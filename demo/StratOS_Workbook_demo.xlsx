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30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5.xml.rels" ContentType="application/vnd.openxmlformats-package.relationships+xml"/>
  <Override PartName="/xl/worksheets/_rels/sheet5.xml.rels" ContentType="application/vnd.openxmlformats-package.relationships+xml"/>
  <Override PartName="/xl/worksheets/_rels/sheet32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3.xml.rels" ContentType="application/vnd.openxmlformats-package.relationships+xml"/>
  <Override PartName="/xl/worksheets/_rels/sheet2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32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Management Interviews" sheetId="2" state="visible" r:id="rId4"/>
    <sheet name="Industry Overview" sheetId="3" state="visible" r:id="rId5"/>
    <sheet name="Competitive Analysis" sheetId="4" state="visible" r:id="rId6"/>
    <sheet name="PESTEL" sheetId="5" state="visible" r:id="rId7"/>
    <sheet name="Five Forces" sheetId="6" state="visible" r:id="rId8"/>
    <sheet name="Trending Factors" sheetId="7" state="visible" r:id="rId9"/>
    <sheet name="KSF Scorecard" sheetId="8" state="visible" r:id="rId10"/>
    <sheet name="Strategic Mapping" sheetId="9" state="visible" r:id="rId11"/>
    <sheet name="Value Chain" sheetId="10" state="visible" r:id="rId12"/>
    <sheet name="Unit Economics" sheetId="11" state="visible" r:id="rId13"/>
    <sheet name="Resources &amp; Capabilities" sheetId="12" state="visible" r:id="rId14"/>
    <sheet name="VRIO" sheetId="13" state="visible" r:id="rId15"/>
    <sheet name="Full Potential" sheetId="14" state="visible" r:id="rId16"/>
    <sheet name="Growth Barriers" sheetId="15" state="visible" r:id="rId17"/>
    <sheet name="SWOT-TOWS" sheetId="16" state="visible" r:id="rId18"/>
    <sheet name="Positioning" sheetId="17" state="visible" r:id="rId19"/>
    <sheet name="Strategic Options" sheetId="18" state="visible" r:id="rId20"/>
    <sheet name="Decision Matrix" sheetId="19" state="visible" r:id="rId21"/>
    <sheet name="Business Case" sheetId="20" state="visible" r:id="rId22"/>
    <sheet name="Expected Value" sheetId="21" state="visible" r:id="rId23"/>
    <sheet name="Risk Analysis" sheetId="22" state="visible" r:id="rId24"/>
    <sheet name="Pricing" sheetId="23" state="visible" r:id="rId25"/>
    <sheet name="Stress Test" sheetId="24" state="visible" r:id="rId26"/>
    <sheet name="Go-to-Market" sheetId="25" state="visible" r:id="rId27"/>
    <sheet name="Initiatives" sheetId="26" state="visible" r:id="rId28"/>
    <sheet name="Operating Model" sheetId="27" state="visible" r:id="rId29"/>
    <sheet name="Execution Roadmap" sheetId="28" state="visible" r:id="rId30"/>
    <sheet name="Balanced Scorecard" sheetId="29" state="visible" r:id="rId31"/>
    <sheet name="Strategy Map" sheetId="30" state="visible" r:id="rId32"/>
    <sheet name="GLO-BUS CIR" sheetId="31" state="visible" r:id="rId33"/>
    <sheet name="GLO-BUS Planner" sheetId="32" state="visible" r:id="rId34"/>
    <sheet name="Season by Year" sheetId="33" state="visible" r:id="rId35"/>
    <sheet name="Competition by Year" sheetId="34" state="visible" r:id="rId36"/>
    <sheet name="KPI Charts" sheetId="35" state="visible" r:id="rId37"/>
    <sheet name="Findings &amp; Questions" sheetId="36" state="visible" r:id="rId38"/>
  </sheets>
  <definedNames>
    <definedName function="false" hidden="false" name="CreditScale" vbProcedure="false">'Season by Year'!$R$6:$R$26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sharedStrings.xml><?xml version="1.0" encoding="utf-8"?>
<sst xmlns="http://schemas.openxmlformats.org/spreadsheetml/2006/main" count="2249" uniqueCount="1197">
  <si>
    <t xml:space="preserve">StratOS Workbook</t>
  </si>
  <si>
    <t xml:space="preserve">Global electric vehicles (passenger BEV and PHEV) · base company BYD</t>
  </si>
  <si>
    <t xml:space="preserve">Pre-filled from the StratOS ledger (global-ev-demo-2026, as of 2026-10-01).</t>
  </si>
  <si>
    <t xml:space="preserve">How to use</t>
  </si>
  <si>
    <t xml:space="preserve">Each sheet is one StratOS step, in process order. Type only in the cream cells (blue text). Grey cells are formulas: they score, rank and flag automatically. Every finding should name its evidence, the same rule StratOS follows.</t>
  </si>
  <si>
    <t xml:space="preserve">Colour key</t>
  </si>
  <si>
    <t xml:space="preserve">Blue on cream = input · black on grey = formula · green / amber / red = status.</t>
  </si>
  <si>
    <t xml:space="preserve">Management Interviews</t>
  </si>
  <si>
    <t xml:space="preserve">Start here. What management told you: the decisions they need made, the goals you must reach, the questions they need answered, nine questions every team answers, your own questions, and the takeaways you hold yourselves to.</t>
  </si>
  <si>
    <t xml:space="preserve">PART 1 · THE INDUSTRY</t>
  </si>
  <si>
    <t xml:space="preserve">Industry Overview</t>
  </si>
  <si>
    <t xml:space="preserve">Setup (scope, competitors, base company) and the industry introduction: market size side by side, a CAGR calculator, segments, top-4 share and HHI, history, life-cycle stage.</t>
  </si>
  <si>
    <t xml:space="preserve">Competitive Analysis</t>
  </si>
  <si>
    <t xml:space="preserve">Each competitor's financials and moat against the peer median, margin rank, moat score, signals, and annual-report seeds for PESTEL.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</si>
  <si>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</si>
  <si>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</si>
  <si>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</si>
  <si>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</si>
  <si>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Trending Factors</t>
  </si>
  <si>
    <t xml:space="preserve">Candidate drivers through the four tests; Driver or Demoted, and a 3-5 driver check.</t>
  </si>
  <si>
    <t xml:space="preserve">KSF Scorecard</t>
  </si>
  <si>
    <t xml:space="preserve">Weighted KSFs, every competitor scored, totals and rank; weights must sum to 100%.</t>
  </si>
  <si>
    <t xml:space="preserve">Strategic Mapping</t>
  </si>
  <si>
    <t xml:space="preserve">Every company scored on two vectors, plotted on a map, and the white-space candidates with ERRC and a capability stamp.</t>
  </si>
  <si>
    <t xml:space="preserve">PART 2 · THE COMPANY</t>
  </si>
  <si>
    <t xml:space="preserve">Value Chain</t>
  </si>
  <si>
    <t xml:space="preserve">Activities by cost share and value share; value minus cost reads as differentiating engine, in balance or value trap.</t>
  </si>
  <si>
    <t xml:space="preserve">Unit Economics</t>
  </si>
  <si>
    <t xml:space="preserve">Contribution, break-even, margin of safety, LTV, LTV/CAC, CAC payback and a sensitivity table (J-1).</t>
  </si>
  <si>
    <t xml:space="preserve">Resources &amp; Capabilities</t>
  </si>
  <si>
    <t xml:space="preserve">Resources, capabilities (threshold or distinctive) and core competencies.</t>
  </si>
  <si>
    <t xml:space="preserve">VRIO</t>
  </si>
  <si>
    <t xml:space="preserve">Yes / No / ? for each test; the verdict and the KSF reality check are calculated.</t>
  </si>
  <si>
    <t xml:space="preserve">Full Potential</t>
  </si>
  <si>
    <t xml:space="preserve">The profit gap to benchmark, driver by driver in sequence, with a bridge chart (K-1).</t>
  </si>
  <si>
    <t xml:space="preserve">Growth Barriers</t>
  </si>
  <si>
    <t xml:space="preserve">Six barriers marked binding, tight or slack; the binding constraint is named (K-2).</t>
  </si>
  <si>
    <t xml:space="preserve">SWOT-TOWS</t>
  </si>
  <si>
    <t xml:space="preserve">Four traced lists and the TOWS options that pair them.</t>
  </si>
  <si>
    <t xml:space="preserve">PART 3 · THE STRATEGY</t>
  </si>
  <si>
    <t xml:space="preserve">Positioning</t>
  </si>
  <si>
    <t xml:space="preserve">The strategy you chose, in your words, and five fit tests including management fit.</t>
  </si>
  <si>
    <t xml:space="preserve">Strategic Options</t>
  </si>
  <si>
    <t xml:space="preserve">SCQ framing and three or more options plus do nothing, each staged with a gate (P).</t>
  </si>
  <si>
    <t xml:space="preserve">Decision Matrix</t>
  </si>
  <si>
    <t xml:space="preserve">Criteria weights × option scores, with a weighted total and rank; do nothing included.</t>
  </si>
  <si>
    <t xml:space="preserve">Business Case</t>
  </si>
  <si>
    <t xml:space="preserve">Driver-based cash flows, NPV, IRR and cumulative cash (Q-1).</t>
  </si>
  <si>
    <t xml:space="preserve">Expected Value</t>
  </si>
  <si>
    <t xml:space="preserve">Scenario probabilities × NPVs, expected NPV, worst case, maximin, value of information, and a Bayes' rule pilot check (Q-2).</t>
  </si>
  <si>
    <t xml:space="preserve">Risk Analysis</t>
  </si>
  <si>
    <t xml:space="preserve">A tornado chart and a 1,000-run Monte Carlo simulation over your low / likely / high ranges (Q-3).</t>
  </si>
  <si>
    <t xml:space="preserve">Pricing</t>
  </si>
  <si>
    <t xml:space="preserve">Optional: price points against expected volume; the profit-maximising price inside the acceptable range.</t>
  </si>
  <si>
    <t xml:space="preserve">Stress Test</t>
  </si>
  <si>
    <t xml:space="preserve">Assumption audit with headroom, competitor war-game, and a risk register with owners and triggers (R).</t>
  </si>
  <si>
    <t xml:space="preserve">Go-to-Market</t>
  </si>
  <si>
    <t xml:space="preserve">Beachhead, ICP, a channel funnel worked back to CAC, CAC checked against LTV, launch phases (T).</t>
  </si>
  <si>
    <t xml:space="preserve">Initiatives</t>
  </si>
  <si>
    <t xml:space="preserve">RICE scores and rank; every initiative traces to a finding (S).</t>
  </si>
  <si>
    <t xml:space="preserve">Operating Model</t>
  </si>
  <si>
    <t xml:space="preserve">Decision rights (RAPID) and a stakeholder power-interest map.</t>
  </si>
  <si>
    <t xml:space="preserve">Execution Roadmap</t>
  </si>
  <si>
    <t xml:space="preserve">First 100 days as bars by week, milestones and stage gates (S).</t>
  </si>
  <si>
    <t xml:space="preserve">Balanced Scorecard</t>
  </si>
  <si>
    <t xml:space="preserve">Objectives and measures in four perspectives, leading vs lagging, status vs target, balance check (U).</t>
  </si>
  <si>
    <t xml:space="preserve">Strategy Map</t>
  </si>
  <si>
    <t xml:space="preserve">Objectives by perspective and their cause-and-effect links (U).</t>
  </si>
  <si>
    <t xml:space="preserve">GLO-BUS</t>
  </si>
  <si>
    <t xml:space="preserve">GLO-BUS CIR</t>
  </si>
  <si>
    <t xml:space="preserve">Paste the CIR figures; each company is placed in a strategic group automatically.</t>
  </si>
  <si>
    <t xml:space="preserve">GLO-BUS Planner</t>
  </si>
  <si>
    <t xml:space="preserve">Plan every decision for each year in screen order; flags big changes and years where price and advertising are both cut. You enter the decisions in GLO-BUS yourself.</t>
  </si>
  <si>
    <t xml:space="preserve">Season by Year</t>
  </si>
  <si>
    <t xml:space="preserve">All years on one tab: every decision entered (top) and every result (below), each year followed by its change (▲ ▼, green = better). The first columns stay put as you scroll.</t>
  </si>
  <si>
    <t xml:space="preserve">Competition by Year</t>
  </si>
  <si>
    <t xml:space="preserve">Every company's score, rank, KPIs, price, P/Q and share by year with the change, from the class-wide reports only, plus your rank on each measure.</t>
  </si>
  <si>
    <t xml:space="preserve">KPI Charts</t>
  </si>
  <si>
    <t xml:space="preserve">Graphs of how you're doing: KPIs vs investor expectations, score by company, rank, share, cost per unit and position vs the industry, revenue, profit and margins.</t>
  </si>
  <si>
    <t xml:space="preserve">Findings &amp; Questions</t>
  </si>
  <si>
    <t xml:space="preserve">Findings, watch items and questions to consider, year by year (filled from the weekly review), with the team's response and status.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</si>
  <si>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</si>
  <si>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</si>
  <si>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</si>
  <si>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What management told you, in their words. It sets up everything after it: the memo's Key Issues and Exhibit B, the decision criteria, the strategy you choose, and the weekly check.</t>
  </si>
  <si>
    <t xml:space="preserve">Pre-filled from your StratOS ledger. Blue text on cream = inputs you can change.  Black on grey = formulas (do not type over them).</t>
  </si>
  <si>
    <t xml:space="preserve">1. Key issues from the interview  (these become your memo's Key Issues and Exhibit B)</t>
  </si>
  <si>
    <t xml:space="preserve">Central problem: the decision management needs made</t>
  </si>
  <si>
    <t xml:space="preserve">How should Company C position cameras and drones to beat investor expectations every year while protecting its credit rating?</t>
  </si>
  <si>
    <t xml:space="preserve">#</t>
  </si>
  <si>
    <t xml:space="preserve">Decisions management needs us to make</t>
  </si>
  <si>
    <t xml:space="preserve">By when</t>
  </si>
  <si>
    <t xml:space="preserve">Notes</t>
  </si>
  <si>
    <t xml:space="preserve">D1</t>
  </si>
  <si>
    <t xml:space="preserve">Choose a competitive strategy for cameras and for drones</t>
  </si>
  <si>
    <t xml:space="preserve">Before Year 6</t>
  </si>
  <si>
    <t xml:space="preserve">D2</t>
  </si>
  <si>
    <t xml:space="preserve">Set the yearly price, quality and marketing plan</t>
  </si>
  <si>
    <t xml:space="preserve">Every round</t>
  </si>
  <si>
    <t xml:space="preserve">D3</t>
  </si>
  <si>
    <t xml:space="preserve">D4</t>
  </si>
  <si>
    <t xml:space="preserve">D5</t>
  </si>
  <si>
    <t xml:space="preserve">Required goals (the decision criteria come from these)</t>
  </si>
  <si>
    <t xml:space="preserve">Measure / KPI</t>
  </si>
  <si>
    <t xml:space="preserve">Target</t>
  </si>
  <si>
    <t xml:space="preserve">B1</t>
  </si>
  <si>
    <t xml:space="preserve">Beat investor expectations for EPS</t>
  </si>
  <si>
    <t xml:space="preserve">EPS</t>
  </si>
  <si>
    <t xml:space="preserve">Every year</t>
  </si>
  <si>
    <t xml:space="preserve">B2</t>
  </si>
  <si>
    <t xml:space="preserve">Hold a credit rating of BB or better</t>
  </si>
  <si>
    <t xml:space="preserve">Credit rating</t>
  </si>
  <si>
    <t xml:space="preserve">BB</t>
  </si>
  <si>
    <t xml:space="preserve">B3</t>
  </si>
  <si>
    <t xml:space="preserve">Keep the image rating at or above expectations</t>
  </si>
  <si>
    <t xml:space="preserve">Image rating</t>
  </si>
  <si>
    <t xml:space="preserve">From Year 7</t>
  </si>
  <si>
    <t xml:space="preserve">B4</t>
  </si>
  <si>
    <t xml:space="preserve">B5</t>
  </si>
  <si>
    <t xml:space="preserve">Questions management needs answered</t>
  </si>
  <si>
    <t xml:space="preserve">Why it matters to them</t>
  </si>
  <si>
    <t xml:space="preserve">Q1</t>
  </si>
  <si>
    <t xml:space="preserve">Can we grow drone share without hurting the credit rating?</t>
  </si>
  <si>
    <t xml:space="preserve">Debt worries the board</t>
  </si>
  <si>
    <t xml:space="preserve">Q2</t>
  </si>
  <si>
    <t xml:space="preserve">Q3</t>
  </si>
  <si>
    <t xml:space="preserve">Q4</t>
  </si>
  <si>
    <t xml:space="preserve">Q5</t>
  </si>
  <si>
    <t xml:space="preserve">2. Questions every team must answer</t>
  </si>
  <si>
    <t xml:space="preserve">Area</t>
  </si>
  <si>
    <t xml:space="preserve">Question</t>
  </si>
  <si>
    <t xml:space="preserve">What management said</t>
  </si>
  <si>
    <t xml:space="preserve">Their words (quote)</t>
  </si>
  <si>
    <t xml:space="preserve">What it means for our strategy</t>
  </si>
  <si>
    <t xml:space="preserve">Touches</t>
  </si>
  <si>
    <t xml:space="preserve">How sure</t>
  </si>
  <si>
    <t xml:space="preserve">Follow-up question</t>
  </si>
  <si>
    <t xml:space="preserve">M1</t>
  </si>
  <si>
    <t xml:space="preserve">Goals</t>
  </si>
  <si>
    <t xml:space="preserve">Which scored measures matter most to management: EPS, ROE, stock price, credit rating or image rating?</t>
  </si>
  <si>
    <t xml:space="preserve">EPS first, then the credit rating</t>
  </si>
  <si>
    <t xml:space="preserve">We will not take on debt that risks our rating.</t>
  </si>
  <si>
    <t xml:space="preserve">Growth funded mostly from earnings</t>
  </si>
  <si>
    <t xml:space="preserve">Stated</t>
  </si>
  <si>
    <t xml:space="preserve">M2</t>
  </si>
  <si>
    <t xml:space="preserve">What would management call a successful season, and what would be a failure?</t>
  </si>
  <si>
    <t xml:space="preserve">M3</t>
  </si>
  <si>
    <t xml:space="preserve">Strategy</t>
  </si>
  <si>
    <t xml:space="preserve">What strategy does management favour for cameras, and for drones? Why?</t>
  </si>
  <si>
    <t xml:space="preserve">Value for money in cameras; premium in drones</t>
  </si>
  <si>
    <t xml:space="preserve">Best-cost cameras, differentiated drones</t>
  </si>
  <si>
    <t xml:space="preserve">Whole strategy</t>
  </si>
  <si>
    <t xml:space="preserve">Implied</t>
  </si>
  <si>
    <t xml:space="preserve">M4</t>
  </si>
  <si>
    <t xml:space="preserve">Markets</t>
  </si>
  <si>
    <t xml:space="preserve">Are there regions or segments management wants to lead in, or to avoid?</t>
  </si>
  <si>
    <t xml:space="preserve">M5</t>
  </si>
  <si>
    <t xml:space="preserve">Risk</t>
  </si>
  <si>
    <t xml:space="preserve">How much risk will management accept: debt, issuing stock, dividends, the lowest credit rating it will tolerate?</t>
  </si>
  <si>
    <t xml:space="preserve">No new debt beyond current levels</t>
  </si>
  <si>
    <t xml:space="preserve">Little room for big capacity bets</t>
  </si>
  <si>
    <t xml:space="preserve">Finance</t>
  </si>
  <si>
    <t xml:space="preserve">M6</t>
  </si>
  <si>
    <t xml:space="preserve">Brand</t>
  </si>
  <si>
    <t xml:space="preserve">Are there minimum quality, warranty, image or CSR standards the company must keep?</t>
  </si>
  <si>
    <t xml:space="preserve">M7</t>
  </si>
  <si>
    <t xml:space="preserve">Operations</t>
  </si>
  <si>
    <t xml:space="preserve">What are management's views on capacity, workforce and pay?</t>
  </si>
  <si>
    <t xml:space="preserve">M8</t>
  </si>
  <si>
    <t xml:space="preserve">Rivals</t>
  </si>
  <si>
    <t xml:space="preserve">What does management expect competitors to do?</t>
  </si>
  <si>
    <t xml:space="preserve">M9</t>
  </si>
  <si>
    <t xml:space="preserve">Decision rights</t>
  </si>
  <si>
    <t xml:space="preserve">Which decisions must the team check with management before entering them?</t>
  </si>
  <si>
    <t xml:space="preserve">3. Our own questions  (anything else the team asked)</t>
  </si>
  <si>
    <t xml:space="preserve">T1</t>
  </si>
  <si>
    <t xml:space="preserve">Is Latin America worth defending?</t>
  </si>
  <si>
    <t xml:space="preserve">Only if it pays its way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</si>
  <si>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</si>
  <si>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</si>
  <si>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</si>
  <si>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</si>
  <si>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</si>
  <si>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</si>
  <si>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</si>
  <si>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4. Management brief: the takeaways we hold ourselves to</t>
  </si>
  <si>
    <t xml:space="preserve">Takeaway</t>
  </si>
  <si>
    <t xml:space="preserve">From (row)</t>
  </si>
  <si>
    <t xml:space="preserve">How we'll check it each round</t>
  </si>
  <si>
    <t xml:space="preserve">K1</t>
  </si>
  <si>
    <t xml:space="preserve">Protect the credit rating: no growth that needs new debt</t>
  </si>
  <si>
    <t xml:space="preserve">Credit rating each round</t>
  </si>
  <si>
    <t xml:space="preserve">K2</t>
  </si>
  <si>
    <t xml:space="preserve">Cameras compete on value, drones on quality</t>
  </si>
  <si>
    <t xml:space="preserve">Position in the weekly report</t>
  </si>
  <si>
    <t xml:space="preserve">K3</t>
  </si>
  <si>
    <t xml:space="preserve">K4</t>
  </si>
  <si>
    <t xml:space="preserve">K5</t>
  </si>
  <si>
    <t xml:space="preserve">Completeness</t>
  </si>
  <si>
    <t xml:space="preserve">Record what management said, not what you hoped they meant. Mark anything you are inferring as 'Our interpretation'. This sheet stays with your team.</t>
  </si>
  <si>
    <t xml:space="preserve">Setup and Industry Overview</t>
  </si>
  <si>
    <t xml:space="preserve">Part 1, steps 1-2. The scope every later step uses, and the business-plan-style introduction to the industry. Cite a source for every figure.</t>
  </si>
  <si>
    <t xml:space="preserve">Scope (from setup)</t>
  </si>
  <si>
    <t xml:space="preserve">Industry</t>
  </si>
  <si>
    <t xml:space="preserve">Global electric vehicles (passenger BEV and PHEV)</t>
  </si>
  <si>
    <t xml:space="preserve">In scope / out of scope</t>
  </si>
  <si>
    <t xml:space="preserve">Geography</t>
  </si>
  <si>
    <t xml:space="preserve">Global, with the EU as the decision market</t>
  </si>
  <si>
    <t xml:space="preserve">Horizon</t>
  </si>
  <si>
    <t xml:space="preserve">2026-2030</t>
  </si>
  <si>
    <t xml:space="preserve">Competitor set</t>
  </si>
  <si>
    <t xml:space="preserve">BYD, Tesla, Volkswagen Group, Geely, Xiaomi, Stellantis</t>
  </si>
  <si>
    <t xml:space="preserve">Base company</t>
  </si>
  <si>
    <t xml:space="preserve">BYD</t>
  </si>
  <si>
    <t xml:space="preserve">Market size (estimates differ by definition: show them side by side)</t>
  </si>
  <si>
    <t xml:space="preserve">Value</t>
  </si>
  <si>
    <t xml:space="preserve">Unit</t>
  </si>
  <si>
    <t xml:space="preserve">Year</t>
  </si>
  <si>
    <t xml:space="preserve">Publisher</t>
  </si>
  <si>
    <t xml:space="preserve">Definition</t>
  </si>
  <si>
    <t xml:space="preserve">Matches scope?</t>
  </si>
  <si>
    <t xml:space="preserve">Growth: compound annual growth rate calculator</t>
  </si>
  <si>
    <t xml:space="preserve">Start value</t>
  </si>
  <si>
    <t xml:space="preserve">End value</t>
  </si>
  <si>
    <t xml:space="preserve">Number of years</t>
  </si>
  <si>
    <t xml:space="preserve">CAGR</t>
  </si>
  <si>
    <t xml:space="preserve">Forecast: publisher</t>
  </si>
  <si>
    <t xml:space="preserve">To year</t>
  </si>
  <si>
    <t xml:space="preserve">Published</t>
  </si>
  <si>
    <t xml:space="preserve">Segments and customers</t>
  </si>
  <si>
    <t xml:space="preserve">Segment</t>
  </si>
  <si>
    <t xml:space="preserve">Share</t>
  </si>
  <si>
    <t xml:space="preserve">Growth</t>
  </si>
  <si>
    <t xml:space="preserve">Who buys, and why</t>
  </si>
  <si>
    <t xml:space="preserve">Key players and concentration</t>
  </si>
  <si>
    <t xml:space="preserve">Company</t>
  </si>
  <si>
    <t xml:space="preserve">Market share</t>
  </si>
  <si>
    <t xml:space="preserve">Top-4 share</t>
  </si>
  <si>
    <t xml:space="preserve">HHI (shares listed)</t>
  </si>
  <si>
    <t xml:space="preserve">Below 1,500 unconcentrated; above 2,500 highly concentrated.</t>
  </si>
  <si>
    <t xml:space="preserve">Recent history: the events that explain today's structure</t>
  </si>
  <si>
    <t xml:space="preserve">Event</t>
  </si>
  <si>
    <t xml:space="preserve">Why it mattered</t>
  </si>
  <si>
    <t xml:space="preserve">Life-cycle stage</t>
  </si>
  <si>
    <t xml:space="preserve">Stage</t>
  </si>
  <si>
    <t xml:space="preserve">What it implies</t>
  </si>
  <si>
    <t xml:space="preserve">Part 1, step 3. Each competitor's financials, moat and signals, benchmarked against the peer median. Same fiscal year for all; note the currency.</t>
  </si>
  <si>
    <t xml:space="preserve">Financial benchmark and moat</t>
  </si>
  <si>
    <t xml:space="preserve">Fiscal year</t>
  </si>
  <si>
    <t xml:space="preserve">Currency</t>
  </si>
  <si>
    <t xml:space="preserve">Revenue (m)</t>
  </si>
  <si>
    <t xml:space="preserve">Gross margin</t>
  </si>
  <si>
    <t xml:space="preserve">Op. margin</t>
  </si>
  <si>
    <t xml:space="preserve">R&amp;D % rev.</t>
  </si>
  <si>
    <t xml:space="preserve">Moat: network</t>
  </si>
  <si>
    <t xml:space="preserve">Moat: switching</t>
  </si>
  <si>
    <t xml:space="preserve">Moat: scale</t>
  </si>
  <si>
    <t xml:space="preserve">Moat: intangibles</t>
  </si>
  <si>
    <t xml:space="preserve">Apparent strategy</t>
  </si>
  <si>
    <t xml:space="preserve">Tesla</t>
  </si>
  <si>
    <t xml:space="preserve">Volkswagen Group</t>
  </si>
  <si>
    <t xml:space="preserve">Geely</t>
  </si>
  <si>
    <t xml:space="preserve">Xiaomi</t>
  </si>
  <si>
    <t xml:space="preserve">Stellantis</t>
  </si>
  <si>
    <t xml:space="preserve">Peer median</t>
  </si>
  <si>
    <t xml:space="preserve">Op. margin vs median</t>
  </si>
  <si>
    <t xml:space="preserve">Margin rank</t>
  </si>
  <si>
    <t xml:space="preserve">Moat score (0-8)</t>
  </si>
  <si>
    <t xml:space="preserve">Signals: what competitors are doing (hiring, patents, launches, capex, pricing)</t>
  </si>
  <si>
    <t xml:space="preserve">Kind</t>
  </si>
  <si>
    <t xml:space="preserve">Observation</t>
  </si>
  <si>
    <t xml:space="preserve">What it suggests</t>
  </si>
  <si>
    <t xml:space="preserve">Annual-report seeds for PESTEL (risk factors and management discussion)</t>
  </si>
  <si>
    <t xml:space="preserve">Text</t>
  </si>
  <si>
    <t xml:space="preserve">P&amp;L line</t>
  </si>
  <si>
    <t xml:space="preserve">Firms citing it</t>
  </si>
  <si>
    <t xml:space="preserve">PESTEL Analysis</t>
  </si>
  <si>
    <t xml:space="preserve">Macro findings, each tied to a P&amp;L line. Priority = impact × certainty (1-25).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</si>
  <si>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</si>
  <si>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</si>
  <si>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</si>
  <si>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</si>
  <si>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</si>
  <si>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</si>
  <si>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</si>
  <si>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Source / evidence</t>
  </si>
  <si>
    <t xml:space="preserve">P1</t>
  </si>
  <si>
    <t xml:space="preserve">Economic</t>
  </si>
  <si>
    <t xml:space="preserve">Battery cell prices keep falling</t>
  </si>
  <si>
    <t xml:space="preserve">+</t>
  </si>
  <si>
    <t xml:space="preserve">cogs.inputs</t>
  </si>
  <si>
    <t xml:space="preserve">E003</t>
  </si>
  <si>
    <t xml:space="preserve">P2</t>
  </si>
  <si>
    <t xml:space="preserve">Political</t>
  </si>
  <si>
    <t xml:space="preserve">EU tariffs on China-built BEVs</t>
  </si>
  <si>
    <t xml:space="preserve">-</t>
  </si>
  <si>
    <t xml:space="preserve">tax_and_levies</t>
  </si>
  <si>
    <t xml:space="preserve">E002</t>
  </si>
  <si>
    <t xml:space="preserve">P3</t>
  </si>
  <si>
    <t xml:space="preserve">Technological</t>
  </si>
  <si>
    <t xml:space="preserve">Software-defined vehicles shift value to features</t>
  </si>
  <si>
    <t xml:space="preserve">revenue.mix</t>
  </si>
  <si>
    <t xml:space="preserve">E008</t>
  </si>
  <si>
    <t xml:space="preserve">P4</t>
  </si>
  <si>
    <t xml:space="preserve">Social</t>
  </si>
  <si>
    <t xml:space="preserve">Range and charging anxiety slow mass-market adoption</t>
  </si>
  <si>
    <t xml:space="preserve">revenue.volume</t>
  </si>
  <si>
    <t xml:space="preserve">E007</t>
  </si>
  <si>
    <t xml:space="preserve">P5</t>
  </si>
  <si>
    <t xml:space="preserve">Env</t>
  </si>
  <si>
    <t xml:space="preserve">Fleet CO2 targets push OEMs to sell more BEVs</t>
  </si>
  <si>
    <t xml:space="preserve">E005</t>
  </si>
  <si>
    <t xml:space="preserve">P6</t>
  </si>
  <si>
    <t xml:space="preserve">Legal</t>
  </si>
  <si>
    <t xml:space="preserve">Local-content rules for EU incentives</t>
  </si>
  <si>
    <t xml:space="preserve">revenue.price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</si>
  <si>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</si>
  <si>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</si>
  <si>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</si>
  <si>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</si>
  <si>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</si>
  <si>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</si>
  <si>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</si>
  <si>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</si>
  <si>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</si>
  <si>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</si>
  <si>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</si>
  <si>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</si>
  <si>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</si>
  <si>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</si>
  <si>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</si>
  <si>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</si>
  <si>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</si>
  <si>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</si>
  <si>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</si>
  <si>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</si>
  <si>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</si>
  <si>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</si>
  <si>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</si>
  <si>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</si>
  <si>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</si>
  <si>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</si>
  <si>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</si>
  <si>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</si>
  <si>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</si>
  <si>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</si>
  <si>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</si>
  <si>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</si>
  <si>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</si>
  <si>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</si>
  <si>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</si>
  <si>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</si>
  <si>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</si>
  <si>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</si>
  <si>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</si>
  <si>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</si>
  <si>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</si>
  <si>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Trending Influence Factors</t>
  </si>
  <si>
    <t xml:space="preserve">Part 1, step 6. Candidates from PESTEL and Competitive Analysis; a driver must pass all four tests. Keep 3-5.</t>
  </si>
  <si>
    <t xml:space="preserve">Candidate driver</t>
  </si>
  <si>
    <t xml:space="preserve">From (PESTEL / CI ids)</t>
  </si>
  <si>
    <t xml:space="preserve">Mechanism → P&amp;L</t>
  </si>
  <si>
    <t xml:space="preserve">Forces moved</t>
  </si>
  <si>
    <t xml:space="preserve">Moves a force ≥1 pt?</t>
  </si>
  <si>
    <t xml:space="preserve">Moves P&amp;L for most firms?</t>
  </si>
  <si>
    <t xml:space="preserve">Acts within horizon?</t>
  </si>
  <si>
    <t xml:space="preserve">Two source types?</t>
  </si>
  <si>
    <t xml:space="preserve">Verdict</t>
  </si>
  <si>
    <t xml:space="preserve">Profit pool</t>
  </si>
  <si>
    <t xml:space="preserve">Cell cost curve</t>
  </si>
  <si>
    <t xml:space="preserve">Yes</t>
  </si>
  <si>
    <t xml:space="preserve">Trade barriers</t>
  </si>
  <si>
    <t xml:space="preserve">Software value shift</t>
  </si>
  <si>
    <t xml:space="preserve">Drivers kept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</si>
  <si>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</si>
  <si>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</si>
  <si>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</si>
  <si>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</si>
  <si>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</si>
  <si>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Battery cost and supply</t>
  </si>
  <si>
    <t xml:space="preserve">suppliers, D1</t>
  </si>
  <si>
    <t xml:space="preserve">Software and UX</t>
  </si>
  <si>
    <t xml:space="preserve">rivalry, D3</t>
  </si>
  <si>
    <t xml:space="preserve">Local production footprint</t>
  </si>
  <si>
    <t xml:space="preserve">Brand trust in Europe</t>
  </si>
  <si>
    <t xml:space="preserve">buyers</t>
  </si>
  <si>
    <t xml:space="preserve">Charging and service network</t>
  </si>
  <si>
    <t xml:space="preserve">Weight check (must be 100%)</t>
  </si>
  <si>
    <t xml:space="preserve">Weighted score (out of 5)</t>
  </si>
  <si>
    <t xml:space="preserve">Rank</t>
  </si>
  <si>
    <t xml:space="preserve">Part 1, step 8. Score each company on two vectors (0-10), see the map, then list the white space and stamp each candidate after VRIO.</t>
  </si>
  <si>
    <t xml:space="preserve">Horizontal axis (vector)</t>
  </si>
  <si>
    <t xml:space="preserve">Vertical axis (vector)</t>
  </si>
  <si>
    <t xml:space="preserve">X score (0-10)</t>
  </si>
  <si>
    <t xml:space="preserve">Y score (0-10)</t>
  </si>
  <si>
    <t xml:space="preserve">Size (share or revenue)</t>
  </si>
  <si>
    <t xml:space="preserve">White space and blue-ocean candidates</t>
  </si>
  <si>
    <t xml:space="preserve">X</t>
  </si>
  <si>
    <t xml:space="preserve">Y</t>
  </si>
  <si>
    <t xml:space="preserve">Demand</t>
  </si>
  <si>
    <t xml:space="preserve">Thesis</t>
  </si>
  <si>
    <t xml:space="preserve">Eliminate</t>
  </si>
  <si>
    <t xml:space="preserve">Reduce</t>
  </si>
  <si>
    <t xml:space="preserve">Raise</t>
  </si>
  <si>
    <t xml:space="preserve">Create</t>
  </si>
  <si>
    <t xml:space="preserve">Capability (after VRIO)</t>
  </si>
  <si>
    <t xml:space="preserve">Part 2, step 9. Each activity's share of cost and of the value customers pay for. Value minus cost shows where the firm earns its margin.</t>
  </si>
  <si>
    <t xml:space="preserve">Activity</t>
  </si>
  <si>
    <t xml:space="preserve">Porter category</t>
  </si>
  <si>
    <t xml:space="preserve">Sourcing</t>
  </si>
  <si>
    <t xml:space="preserve">Cost share</t>
  </si>
  <si>
    <t xml:space="preserve">Value share</t>
  </si>
  <si>
    <t xml:space="preserve">Value − cost</t>
  </si>
  <si>
    <t xml:space="preserve">Reading</t>
  </si>
  <si>
    <t xml:space="preserve">Delivers KSF</t>
  </si>
  <si>
    <t xml:space="preserve">Totals</t>
  </si>
  <si>
    <t xml:space="preserve">Unit Economics (Exhibit J-1)</t>
  </si>
  <si>
    <t xml:space="preserve">Part 2, step 10. Does one more unit make money, and what does a customer cost? Matches unit_economics.py.</t>
  </si>
  <si>
    <t xml:space="preserve">Inputs</t>
  </si>
  <si>
    <t xml:space="preserve">Results</t>
  </si>
  <si>
    <t xml:space="preserve">Contribution per unit</t>
  </si>
  <si>
    <t xml:space="preserve">Price per unit</t>
  </si>
  <si>
    <t xml:space="preserve">Contribution margin</t>
  </si>
  <si>
    <t xml:space="preserve">Variable cost per unit</t>
  </si>
  <si>
    <t xml:space="preserve">Break-even volume</t>
  </si>
  <si>
    <t xml:space="preserve">Fixed costs per period</t>
  </si>
  <si>
    <t xml:space="preserve">Margin of safety</t>
  </si>
  <si>
    <t xml:space="preserve">Volume per period</t>
  </si>
  <si>
    <t xml:space="preserve">Operating profit</t>
  </si>
  <si>
    <t xml:space="preserve">Customer acquisition cost (CAC)</t>
  </si>
  <si>
    <t xml:space="preserve">Annual contribution per customer</t>
  </si>
  <si>
    <t xml:space="preserve">Units per customer per year</t>
  </si>
  <si>
    <t xml:space="preserve">Customer lifetime (years, max 10)</t>
  </si>
  <si>
    <t xml:space="preserve">Retention (share kept each year)</t>
  </si>
  <si>
    <t xml:space="preserve">Lifetime value (LTV)</t>
  </si>
  <si>
    <t xml:space="preserve">Discount rate</t>
  </si>
  <si>
    <t xml:space="preserve">LTV / CAC</t>
  </si>
  <si>
    <t xml:space="preserve">Service margin per customer per year</t>
  </si>
  <si>
    <t xml:space="preserve">CAC payback (months)</t>
  </si>
  <si>
    <t xml:space="preserve">Sensitivity: operating profit when one input moves</t>
  </si>
  <si>
    <t xml:space="preserve">Input</t>
  </si>
  <si>
    <t xml:space="preserve">−10%</t>
  </si>
  <si>
    <t xml:space="preserve">Plan</t>
  </si>
  <si>
    <t xml:space="preserve">+10%</t>
  </si>
  <si>
    <t xml:space="preserve">Price</t>
  </si>
  <si>
    <t xml:space="preserve">Variable cost</t>
  </si>
  <si>
    <t xml:space="preserve">Volume</t>
  </si>
  <si>
    <t xml:space="preserve">Fixed costs</t>
  </si>
  <si>
    <t xml:space="preserve">Resources and Capabilities</t>
  </si>
  <si>
    <t xml:space="preserve">Part 2, step 11. What the firm owns, what it does well, and which capabilities might be core competencies (VRIO tests them next).</t>
  </si>
  <si>
    <t xml:space="preserve">Resources</t>
  </si>
  <si>
    <t xml:space="preserve">Resource</t>
  </si>
  <si>
    <t xml:space="preserve">Type</t>
  </si>
  <si>
    <t xml:space="preserve">Measure or evidence</t>
  </si>
  <si>
    <t xml:space="preserve">R1</t>
  </si>
  <si>
    <t xml:space="preserve">In-house cell and pack plants</t>
  </si>
  <si>
    <t xml:space="preserve">R2</t>
  </si>
  <si>
    <t xml:space="preserve">Scale in China</t>
  </si>
  <si>
    <t xml:space="preserve">Capabilities</t>
  </si>
  <si>
    <t xml:space="preserve">Capability</t>
  </si>
  <si>
    <t xml:space="preserve">Combines (resources)</t>
  </si>
  <si>
    <t xml:space="preserve">Performance evidence</t>
  </si>
  <si>
    <t xml:space="preserve">From activity</t>
  </si>
  <si>
    <t xml:space="preserve">Class</t>
  </si>
  <si>
    <t xml:space="preserve">C1</t>
  </si>
  <si>
    <t xml:space="preserve">Vertical battery integration</t>
  </si>
  <si>
    <t xml:space="preserve">C2</t>
  </si>
  <si>
    <t xml:space="preserve">Fast model cadence</t>
  </si>
  <si>
    <t xml:space="preserve">C3</t>
  </si>
  <si>
    <t xml:space="preserve">In-car software and OTA</t>
  </si>
  <si>
    <t xml:space="preserve">Core competencies (Prahalad and Hamel: customer benefit, hard to imitate, extendable)</t>
  </si>
  <si>
    <t xml:space="preserve">Customer benefit (KSF)</t>
  </si>
  <si>
    <t xml:space="preserve">Hard to imitate because</t>
  </si>
  <si>
    <t xml:space="preserve">Extends to</t>
  </si>
  <si>
    <t xml:space="preserve">Status</t>
  </si>
  <si>
    <t xml:space="preserve">Counts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</si>
  <si>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</si>
  <si>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</si>
  <si>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</si>
  <si>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Valuable?</t>
  </si>
  <si>
    <t xml:space="preserve">Rare?</t>
  </si>
  <si>
    <t xml:space="preserve">Inimitable?</t>
  </si>
  <si>
    <t xml:space="preserve">Organized?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</si>
  <si>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</si>
  <si>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</si>
  <si>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</si>
  <si>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</si>
  <si>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capability</t>
  </si>
  <si>
    <t xml:space="preserve">E010</t>
  </si>
  <si>
    <t xml:space="preserve">No</t>
  </si>
  <si>
    <t xml:space="preserve">E001</t>
  </si>
  <si>
    <t xml:space="preserve">?</t>
  </si>
  <si>
    <t xml:space="preserve">resource</t>
  </si>
  <si>
    <t xml:space="preserve">Full Potential (Exhibit K-1)</t>
  </si>
  <si>
    <t xml:space="preserve">Part 2, step 14. The profit gap to a benchmark, driver by driver, applied in sequence so overlaps count once. A ceiling, not a forecast. Matches full_potential.py.</t>
  </si>
  <si>
    <t xml:space="preserve">Driver</t>
  </si>
  <si>
    <t xml:space="preserve">Today</t>
  </si>
  <si>
    <t xml:space="preserve">Benchmark</t>
  </si>
  <si>
    <t xml:space="preserve">Benchmark source</t>
  </si>
  <si>
    <t xml:space="preserve">Controllability</t>
  </si>
  <si>
    <t xml:space="preserve">Value after step</t>
  </si>
  <si>
    <t xml:space="preserve">Gap captured</t>
  </si>
  <si>
    <t xml:space="preserve">Mix premium per unit</t>
  </si>
  <si>
    <t xml:space="preserve">Operating profit today</t>
  </si>
  <si>
    <t xml:space="preserve">Full-potential operating profit</t>
  </si>
  <si>
    <t xml:space="preserve">Uplift</t>
  </si>
  <si>
    <t xml:space="preserve">Largest gap</t>
  </si>
  <si>
    <t xml:space="preserve">Growth Barriers (Exhibit K-2)</t>
  </si>
  <si>
    <t xml:space="preserve">Part 2, step 15. Which constraint binds growth now? Exactly one should be binding; lifting it is what unlocks the next stage.</t>
  </si>
  <si>
    <t xml:space="preserve">Barrier</t>
  </si>
  <si>
    <t xml:space="preserve">What lifting it unlocks</t>
  </si>
  <si>
    <t xml:space="preserve">Demand: enough customers want it</t>
  </si>
  <si>
    <t xml:space="preserve">Supply / capacity</t>
  </si>
  <si>
    <t xml:space="preserve">Capability / talent</t>
  </si>
  <si>
    <t xml:space="preserve">Capital / funding</t>
  </si>
  <si>
    <t xml:space="preserve">Distribution / market access</t>
  </si>
  <si>
    <t xml:space="preserve">Regulation / licences</t>
  </si>
  <si>
    <t xml:space="preserve">Binding constraint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</si>
  <si>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</si>
  <si>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</si>
  <si>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</si>
  <si>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</si>
  <si>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</si>
  <si>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</si>
  <si>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cell cost in the industry</t>
  </si>
  <si>
    <t xml:space="preserve">W1</t>
  </si>
  <si>
    <t xml:space="preserve">Low brand trust in Europe</t>
  </si>
  <si>
    <t xml:space="preserve">S2</t>
  </si>
  <si>
    <t xml:space="preserve">W2</t>
  </si>
  <si>
    <t xml:space="preserve">Software lags the leaders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</si>
  <si>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</si>
  <si>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</si>
  <si>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</si>
  <si>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</si>
  <si>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</si>
  <si>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</si>
  <si>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</si>
  <si>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</si>
  <si>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</si>
  <si>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</si>
  <si>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</si>
  <si>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Affordable EU compact segment is under-served</t>
  </si>
  <si>
    <t xml:space="preserve">O2</t>
  </si>
  <si>
    <t xml:space="preserve">Fleet CO2 targets lift BEV demand</t>
  </si>
  <si>
    <t xml:space="preserve">Local-content rules for incentives</t>
  </si>
  <si>
    <t xml:space="preserve">O3</t>
  </si>
  <si>
    <t xml:space="preserve">O4</t>
  </si>
  <si>
    <t xml:space="preserve">O5</t>
  </si>
  <si>
    <t xml:space="preserve">O6</t>
  </si>
  <si>
    <t xml:space="preserve">Cell</t>
  </si>
  <si>
    <t xml:space="preserve">TOWS strategic option</t>
  </si>
  <si>
    <t xml:space="preserve">Pairs (e.g. S1 × O1)</t>
  </si>
  <si>
    <t xml:space="preserve">ST</t>
  </si>
  <si>
    <t xml:space="preserve">Build an EU plant to avoid tariffs</t>
  </si>
  <si>
    <t xml:space="preserve">S1 × T1</t>
  </si>
  <si>
    <t xml:space="preserve">SO</t>
  </si>
  <si>
    <t xml:space="preserve">Launch a sub-EUR 25k compact</t>
  </si>
  <si>
    <t xml:space="preserve">S1 × O1</t>
  </si>
  <si>
    <t xml:space="preserve">WT</t>
  </si>
  <si>
    <t xml:space="preserve">Partner with a European OEM for local assembly and brand</t>
  </si>
  <si>
    <t xml:space="preserve">W1 × T2</t>
  </si>
  <si>
    <t xml:space="preserve">Positioning (Strategy Interview)</t>
  </si>
  <si>
    <t xml:space="preserve">Part 3, step 17. The strategy you chose, in your words, and the four fit tests. The workbook records; it never chooses.</t>
  </si>
  <si>
    <t xml:space="preserve">Generic strategy</t>
  </si>
  <si>
    <t xml:space="preserve">Target customers</t>
  </si>
  <si>
    <t xml:space="preserve">Source of advantage</t>
  </si>
  <si>
    <t xml:space="preserve">Why now</t>
  </si>
  <si>
    <t xml:space="preserve">What we will not do</t>
  </si>
  <si>
    <t xml:space="preserve">Positioning statement (your words)</t>
  </si>
  <si>
    <t xml:space="preserve">Fit test</t>
  </si>
  <si>
    <t xml:space="preserve">Market fit</t>
  </si>
  <si>
    <t xml:space="preserve">Is there demand where you are aiming (maps, segments, trends)?</t>
  </si>
  <si>
    <t xml:space="preserve">Competitive fit</t>
  </si>
  <si>
    <t xml:space="preserve">Can you hold the position against the rivals near it?</t>
  </si>
  <si>
    <t xml:space="preserve">Capability fit</t>
  </si>
  <si>
    <t xml:space="preserve">Do VRIO and the capability stamps support it?</t>
  </si>
  <si>
    <t xml:space="preserve">Economic fit</t>
  </si>
  <si>
    <t xml:space="preserve">Do unit economics and the business case work?</t>
  </si>
  <si>
    <t xml:space="preserve">Management fit</t>
  </si>
  <si>
    <t xml:space="preserve">Does it fit the goals and limits from your management interview?</t>
  </si>
  <si>
    <t xml:space="preserve">Fit summary</t>
  </si>
  <si>
    <t xml:space="preserve">Strategic Options (Exhibit P)</t>
  </si>
  <si>
    <t xml:space="preserve">Part 3, step 18. Frame the decision, then three or more distinct options plus do nothing, each with a staged first step and a gate.</t>
  </si>
  <si>
    <t xml:space="preserve">Situation</t>
  </si>
  <si>
    <t xml:space="preserve">Complication</t>
  </si>
  <si>
    <t xml:space="preserve">Option</t>
  </si>
  <si>
    <t xml:space="preserve">Route</t>
  </si>
  <si>
    <t xml:space="preserve">Exploits (TOWS ids)</t>
  </si>
  <si>
    <t xml:space="preserve">Staged first step</t>
  </si>
  <si>
    <t xml:space="preserve">Gate to the next stage</t>
  </si>
  <si>
    <t xml:space="preserve">Suggested?</t>
  </si>
  <si>
    <t xml:space="preserve">A. EU plant</t>
  </si>
  <si>
    <t xml:space="preserve">B. Partner</t>
  </si>
  <si>
    <t xml:space="preserve">0. Do nothing</t>
  </si>
  <si>
    <t xml:space="preserve">Checks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</si>
  <si>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</si>
  <si>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</si>
  <si>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</si>
  <si>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</si>
  <si>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Option 4</t>
  </si>
  <si>
    <t xml:space="preserve">Option 5</t>
  </si>
  <si>
    <t xml:space="preserve">Profit by 2029</t>
  </si>
  <si>
    <t xml:space="preserve">Avoids tariffs</t>
  </si>
  <si>
    <t xml:space="preserve">Capital at risk (low = good)</t>
  </si>
  <si>
    <t xml:space="preserve">Builds EU brand trust</t>
  </si>
  <si>
    <t xml:space="preserve">The matrix ranks; it does not choose. The recommendation is yours.</t>
  </si>
  <si>
    <t xml:space="preserve">One option. Year 0 is the investment year. Working capital is released in the final year. Money in $.</t>
  </si>
  <si>
    <t xml:space="preserve">Option: A. EU plant (from the ledger)</t>
  </si>
  <si>
    <t xml:space="preserve">Assumptions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</si>
  <si>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</si>
  <si>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</si>
  <si>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</si>
  <si>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</si>
  <si>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</si>
  <si>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</si>
  <si>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</si>
  <si>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</si>
  <si>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</si>
  <si>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</si>
  <si>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</si>
  <si>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</si>
  <si>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</si>
  <si>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</si>
  <si>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</si>
  <si>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</si>
  <si>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</si>
  <si>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</si>
  <si>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</si>
  <si>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</si>
  <si>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</si>
  <si>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</si>
  <si>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</si>
  <si>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Probabilities as percentages that sum to 100% per option; NPV in $M. Follows the course handout 'Choosing Among Strategic Alternatives'.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</si>
  <si>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</si>
  <si>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</si>
  <si>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</si>
  <si>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</si>
  <si>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</si>
  <si>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</si>
  <si>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</si>
  <si>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</si>
  <si>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</si>
  <si>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</si>
  <si>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</si>
  <si>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</si>
  <si>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</si>
  <si>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</si>
  <si>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</si>
  <si>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</si>
  <si>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</si>
  <si>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</si>
  <si>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</si>
  <si>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</si>
  <si>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</si>
  <si>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</si>
  <si>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</si>
  <si>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</si>
  <si>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</si>
  <si>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</si>
  <si>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</si>
  <si>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</si>
  <si>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</si>
  <si>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</si>
  <si>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</si>
  <si>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</si>
  <si>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</si>
  <si>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</si>
  <si>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</si>
  <si>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</si>
  <si>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</si>
  <si>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</si>
  <si>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</si>
  <si>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</si>
  <si>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</si>
  <si>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</si>
  <si>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</si>
  <si>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</si>
  <si>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</si>
  <si>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</si>
  <si>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</si>
  <si>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</si>
  <si>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</si>
  <si>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</si>
  <si>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</si>
  <si>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</si>
  <si>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</si>
  <si>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</si>
  <si>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</si>
  <si>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</si>
  <si>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</si>
  <si>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</si>
  <si>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</si>
  <si>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</si>
  <si>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</si>
  <si>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</si>
  <si>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</si>
  <si>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</si>
  <si>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</si>
  <si>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</si>
  <si>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</si>
  <si>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</si>
  <si>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</si>
  <si>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</si>
  <si>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</si>
  <si>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</si>
  <si>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</si>
  <si>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</si>
  <si>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</si>
  <si>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</si>
  <si>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</si>
  <si>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</si>
  <si>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</si>
  <si>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</si>
  <si>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</si>
  <si>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</si>
  <si>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</si>
  <si>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</si>
  <si>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</si>
  <si>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</si>
  <si>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</si>
  <si>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</si>
  <si>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</si>
  <si>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</si>
  <si>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</si>
  <si>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</si>
  <si>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</si>
  <si>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</si>
  <si>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</si>
  <si>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</si>
  <si>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</si>
  <si>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</si>
  <si>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</si>
  <si>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</si>
  <si>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</si>
  <si>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Pricing (optional)</t>
  </si>
  <si>
    <t xml:space="preserve">Part 3. Only when price is a lever. Test price points against the volume you expect at each; the sheet finds the profit-maximising point inside the acceptable range.</t>
  </si>
  <si>
    <t xml:space="preserve">Acceptable range: low</t>
  </si>
  <si>
    <t xml:space="preserve">Acceptable range: high</t>
  </si>
  <si>
    <t xml:space="preserve">Price point</t>
  </si>
  <si>
    <t xml:space="preserve">Expected volume</t>
  </si>
  <si>
    <t xml:space="preserve">In range?</t>
  </si>
  <si>
    <t xml:space="preserve">Best price in range</t>
  </si>
  <si>
    <t xml:space="preserve">Profit there</t>
  </si>
  <si>
    <t xml:space="preserve">Stress Test (Exhibit R)</t>
  </si>
  <si>
    <t xml:space="preserve">Part 3, step 22. Attack the leading option before anyone plans: the assumptions it rests on, how rivals respond, and a risk register with owners and triggers.</t>
  </si>
  <si>
    <t xml:space="preserve">Assumption audit</t>
  </si>
  <si>
    <t xml:space="preserve">Assumption</t>
  </si>
  <si>
    <t xml:space="preserve">Value used</t>
  </si>
  <si>
    <t xml:space="preserve">Break-even value</t>
  </si>
  <si>
    <t xml:space="preserve">Headroom</t>
  </si>
  <si>
    <t xml:space="preserve">Danger zone?</t>
  </si>
  <si>
    <t xml:space="preserve">Competitor war-game</t>
  </si>
  <si>
    <t xml:space="preserve">Rival</t>
  </si>
  <si>
    <t xml:space="preserve">Most likely response</t>
  </si>
  <si>
    <t xml:space="preserve">Effect on us</t>
  </si>
  <si>
    <t xml:space="preserve">Our counter</t>
  </si>
  <si>
    <t xml:space="preserve">Risk register</t>
  </si>
  <si>
    <t xml:space="preserve">Likelihood (1-5)</t>
  </si>
  <si>
    <t xml:space="preserve">Impact (1-5)</t>
  </si>
  <si>
    <t xml:space="preserve">Score</t>
  </si>
  <si>
    <t xml:space="preserve">Rating</t>
  </si>
  <si>
    <t xml:space="preserve">Owner</t>
  </si>
  <si>
    <t xml:space="preserve">Mitigation</t>
  </si>
  <si>
    <t xml:space="preserve">Early-warning trigger</t>
  </si>
  <si>
    <t xml:space="preserve">High risks without an owner</t>
  </si>
  <si>
    <t xml:space="preserve">Go-to-Market (Exhibit T)</t>
  </si>
  <si>
    <t xml:space="preserve">Part 3, step 23. One named beachhead, the funnel worked back to spend and CAC, and launch gates. CAC must fit the unit economics.</t>
  </si>
  <si>
    <t xml:space="preserve">Beachhead segment</t>
  </si>
  <si>
    <t xml:space="preserve">Ideal customer profile</t>
  </si>
  <si>
    <t xml:space="preserve">Value proposition</t>
  </si>
  <si>
    <t xml:space="preserve">Channel</t>
  </si>
  <si>
    <t xml:space="preserve">Spend</t>
  </si>
  <si>
    <t xml:space="preserve">Reach</t>
  </si>
  <si>
    <t xml:space="preserve">Lead rate</t>
  </si>
  <si>
    <t xml:space="preserve">Close rate</t>
  </si>
  <si>
    <t xml:space="preserve">Leads</t>
  </si>
  <si>
    <t xml:space="preserve">Customers</t>
  </si>
  <si>
    <t xml:space="preserve">CAC</t>
  </si>
  <si>
    <t xml:space="preserve">CAC vs LTV</t>
  </si>
  <si>
    <t xml:space="preserve">Blended</t>
  </si>
  <si>
    <t xml:space="preserve">Launch phases and gates</t>
  </si>
  <si>
    <t xml:space="preserve">Phase</t>
  </si>
  <si>
    <t xml:space="preserve">When</t>
  </si>
  <si>
    <t xml:space="preserve">Goal</t>
  </si>
  <si>
    <t xml:space="preserve">Gate to the next phase</t>
  </si>
  <si>
    <t xml:space="preserve">Initiative Prioritizer (Exhibit S)</t>
  </si>
  <si>
    <t xml:space="preserve">Part 3, step 24. RICE score = reach × impact × confidence ÷ effort. The binding constraint goes first; every initiative traces to a finding.</t>
  </si>
  <si>
    <t xml:space="preserve">Initiative</t>
  </si>
  <si>
    <t xml:space="preserve">Traces to</t>
  </si>
  <si>
    <t xml:space="preserve">Impact (0.25-3)</t>
  </si>
  <si>
    <t xml:space="preserve">Confidence</t>
  </si>
  <si>
    <t xml:space="preserve">Effort (person-months)</t>
  </si>
  <si>
    <t xml:space="preserve">RICE</t>
  </si>
  <si>
    <t xml:space="preserve">Depends on</t>
  </si>
  <si>
    <t xml:space="preserve">Initiatives with nothing to trace to</t>
  </si>
  <si>
    <t xml:space="preserve">Operating Model and Stakeholders</t>
  </si>
  <si>
    <t xml:space="preserve">Part 3, steps 25-26. Who decides what (RAPID), and who must say yes: power and interest place each stakeholder in a quadrant.</t>
  </si>
  <si>
    <t xml:space="preserve">Decision rights (RAPID)</t>
  </si>
  <si>
    <t xml:space="preserve">Decision</t>
  </si>
  <si>
    <t xml:space="preserve">Recommend</t>
  </si>
  <si>
    <t xml:space="preserve">Agree</t>
  </si>
  <si>
    <t xml:space="preserve">Perform</t>
  </si>
  <si>
    <t xml:space="preserve">Decide</t>
  </si>
  <si>
    <t xml:space="preserve">Stakeholder map</t>
  </si>
  <si>
    <t xml:space="preserve">Stakeholder</t>
  </si>
  <si>
    <t xml:space="preserve">Power (1-5)</t>
  </si>
  <si>
    <t xml:space="preserve">Interest (1-5)</t>
  </si>
  <si>
    <t xml:space="preserve">Stance (−2..+2)</t>
  </si>
  <si>
    <t xml:space="preserve">Quadrant</t>
  </si>
  <si>
    <t xml:space="preserve">Action</t>
  </si>
  <si>
    <t xml:space="preserve">Execution Roadmap (Exhibit S)</t>
  </si>
  <si>
    <t xml:space="preserve">Part 3, step 27. The first 100 days by workstream (the bars fill in from the start and end weeks), milestones and stage gates.</t>
  </si>
  <si>
    <t xml:space="preserve">Workstream / action</t>
  </si>
  <si>
    <t xml:space="preserve">Start wk</t>
  </si>
  <si>
    <t xml:space="preserve">End wk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</si>
  <si>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</si>
  <si>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</si>
  <si>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</si>
  <si>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</si>
  <si>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</si>
  <si>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</si>
  <si>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</si>
  <si>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</si>
  <si>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</si>
  <si>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</si>
  <si>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</si>
  <si>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</si>
  <si>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</si>
  <si>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</si>
  <si>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</si>
  <si>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Milestones</t>
  </si>
  <si>
    <t xml:space="preserve">Milestone</t>
  </si>
  <si>
    <t xml:space="preserve">Date</t>
  </si>
  <si>
    <t xml:space="preserve">KPI</t>
  </si>
  <si>
    <t xml:space="preserve">Stage gates (go / no-go)</t>
  </si>
  <si>
    <t xml:space="preserve">Gate</t>
  </si>
  <si>
    <t xml:space="preserve">Criteria to pass</t>
  </si>
  <si>
    <t xml:space="preserve">Evidence we will use</t>
  </si>
  <si>
    <t xml:space="preserve">Decision date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</si>
  <si>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</si>
  <si>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</si>
  <si>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</si>
  <si>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</si>
  <si>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</si>
  <si>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</si>
  <si>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Actual</t>
  </si>
  <si>
    <t xml:space="preserve">% of target</t>
  </si>
  <si>
    <t xml:space="preserve">Financial</t>
  </si>
  <si>
    <t xml:space="preserve">Profitable EU growth</t>
  </si>
  <si>
    <t xml:space="preserve">EU operating margin</t>
  </si>
  <si>
    <t xml:space="preserve">Lagging</t>
  </si>
  <si>
    <t xml:space="preserve">Higher</t>
  </si>
  <si>
    <t xml:space="preserve">CFO</t>
  </si>
  <si>
    <t xml:space="preserve">Customer</t>
  </si>
  <si>
    <t xml:space="preserve">Value choice below EUR 30k</t>
  </si>
  <si>
    <t xml:space="preserve">EU registrations (000s)</t>
  </si>
  <si>
    <t xml:space="preserve">CMO</t>
  </si>
  <si>
    <t xml:space="preserve">Internal process</t>
  </si>
  <si>
    <t xml:space="preserve">Local cell supply</t>
  </si>
  <si>
    <t xml:space="preserve">Local cell share</t>
  </si>
  <si>
    <t xml:space="preserve">Leading</t>
  </si>
  <si>
    <t xml:space="preserve">COO</t>
  </si>
  <si>
    <t xml:space="preserve">Learning and growth</t>
  </si>
  <si>
    <t xml:space="preserve">EU plant workforce</t>
  </si>
  <si>
    <t xml:space="preserve">Trained line staff</t>
  </si>
  <si>
    <t xml:space="preserve">CHRO</t>
  </si>
  <si>
    <t xml:space="preserve">Balance check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</si>
  <si>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</si>
  <si>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</si>
  <si>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</si>
  <si>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</si>
  <si>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</si>
  <si>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</si>
  <si>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</si>
  <si>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I1</t>
  </si>
  <si>
    <t xml:space="preserve">L1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</si>
  <si>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</si>
  <si>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</si>
  <si>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From the capture of Year 7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</si>
  <si>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</si>
  <si>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</si>
  <si>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</si>
  <si>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</si>
  <si>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</si>
  <si>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</si>
  <si>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Industry averages (share-weighted)</t>
  </si>
  <si>
    <t xml:space="preserve">P/Q</t>
  </si>
  <si>
    <t xml:space="preserve">Camera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</si>
  <si>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</si>
  <si>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</si>
  <si>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</si>
  <si>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</si>
  <si>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</si>
  <si>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</si>
  <si>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</si>
  <si>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</si>
  <si>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</si>
  <si>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</si>
  <si>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</si>
  <si>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</si>
  <si>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</si>
  <si>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</si>
  <si>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</si>
  <si>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</si>
  <si>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</si>
  <si>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</si>
  <si>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</si>
  <si>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</si>
  <si>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</si>
  <si>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</si>
  <si>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</si>
  <si>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</si>
  <si>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</si>
  <si>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</si>
  <si>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</si>
  <si>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</si>
  <si>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</si>
  <si>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</si>
  <si>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</si>
  <si>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</si>
  <si>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</si>
  <si>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</si>
  <si>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</si>
  <si>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</si>
  <si>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</si>
  <si>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</si>
  <si>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</si>
  <si>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</si>
  <si>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</si>
  <si>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</si>
  <si>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</si>
  <si>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</si>
  <si>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</si>
  <si>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</si>
  <si>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</si>
  <si>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</si>
  <si>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</si>
  <si>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</si>
  <si>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</si>
  <si>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</si>
  <si>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</si>
  <si>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</si>
  <si>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</si>
  <si>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</si>
  <si>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</si>
  <si>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</si>
  <si>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</si>
  <si>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</si>
  <si>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</si>
  <si>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</si>
  <si>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</si>
  <si>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</si>
  <si>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</si>
  <si>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</si>
  <si>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</si>
  <si>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</si>
  <si>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</si>
  <si>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</si>
  <si>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</si>
  <si>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</si>
  <si>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</si>
  <si>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</si>
  <si>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</si>
  <si>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</si>
  <si>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</si>
  <si>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</si>
  <si>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</si>
  <si>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</si>
  <si>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</si>
  <si>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</si>
  <si>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</si>
  <si>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</si>
  <si>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</si>
  <si>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</si>
  <si>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</si>
  <si>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</si>
  <si>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</si>
  <si>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</si>
  <si>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</si>
  <si>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</si>
  <si>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</si>
  <si>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</si>
  <si>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</si>
  <si>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</si>
  <si>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</si>
  <si>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</si>
  <si>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</si>
  <si>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</si>
  <si>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</si>
  <si>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</si>
  <si>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</si>
  <si>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</si>
  <si>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</si>
  <si>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</si>
  <si>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</si>
  <si>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</si>
  <si>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</si>
  <si>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</si>
  <si>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</si>
  <si>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</si>
  <si>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</si>
  <si>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</si>
  <si>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</si>
  <si>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</si>
  <si>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</si>
  <si>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</si>
  <si>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</si>
  <si>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</si>
  <si>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</si>
  <si>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</si>
  <si>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</si>
  <si>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</si>
  <si>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</si>
  <si>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</si>
  <si>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</si>
  <si>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</si>
  <si>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</si>
  <si>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</si>
  <si>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</si>
  <si>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</si>
  <si>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</si>
  <si>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</si>
  <si>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</si>
  <si>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</si>
  <si>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</si>
  <si>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</si>
  <si>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</si>
  <si>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</si>
  <si>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</si>
  <si>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</si>
  <si>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</si>
  <si>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</si>
  <si>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</si>
  <si>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</si>
  <si>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</si>
  <si>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</si>
  <si>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</si>
  <si>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</si>
  <si>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</si>
  <si>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</si>
  <si>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</si>
  <si>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</si>
  <si>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</si>
  <si>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</si>
  <si>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</si>
  <si>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</si>
  <si>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</si>
  <si>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</si>
  <si>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</si>
  <si>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</si>
  <si>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</si>
  <si>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</si>
  <si>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</si>
  <si>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</si>
  <si>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</si>
  <si>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</si>
  <si>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</si>
  <si>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</si>
  <si>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</si>
  <si>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</si>
  <si>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season by year</t>
  </si>
  <si>
    <t xml:space="preserve">Every decision and result, one pair of columns per year: the value, then the change from the year before (▲ up, ▼ down; green = better, red = worse). The first three columns stay put as you scroll right. Rebuild after each round to add the new year.</t>
  </si>
  <si>
    <t xml:space="preserve">Decision or result</t>
  </si>
  <si>
    <t xml:space="preserve">Change</t>
  </si>
  <si>
    <t xml:space="preserve">DECISIONS ENTERED  (from your captures; planned values in grey italics where nothing was captured)</t>
  </si>
  <si>
    <t xml:space="preserve">AAA</t>
  </si>
  <si>
    <t xml:space="preserve">AA+</t>
  </si>
  <si>
    <t xml:space="preserve">AA</t>
  </si>
  <si>
    <t xml:space="preserve">AA-</t>
  </si>
  <si>
    <t xml:space="preserve">A+</t>
  </si>
  <si>
    <t xml:space="preserve">A</t>
  </si>
  <si>
    <t xml:space="preserve">A-</t>
  </si>
  <si>
    <t xml:space="preserve">BBB+</t>
  </si>
  <si>
    <t xml:space="preserve">BBB</t>
  </si>
  <si>
    <t xml:space="preserve">BBB-</t>
  </si>
  <si>
    <t xml:space="preserve">BB+</t>
  </si>
  <si>
    <t xml:space="preserve">BB-</t>
  </si>
  <si>
    <t xml:space="preserve">B+</t>
  </si>
  <si>
    <t xml:space="preserve">B</t>
  </si>
  <si>
    <t xml:space="preserve">B-</t>
  </si>
  <si>
    <t xml:space="preserve">CCC+</t>
  </si>
  <si>
    <t xml:space="preserve">CCC</t>
  </si>
  <si>
    <t xml:space="preserve">CCC-</t>
  </si>
  <si>
    <t xml:space="preserve">CC</t>
  </si>
  <si>
    <t xml:space="preserve">C</t>
  </si>
  <si>
    <t xml:space="preserve">RESULTS  (from your captures: the scorecard, company and product reports)</t>
  </si>
  <si>
    <t xml:space="preserve">Scored KPIs</t>
  </si>
  <si>
    <t xml:space="preserve">EPS: investor expectation</t>
  </si>
  <si>
    <t xml:space="preserve">ROE</t>
  </si>
  <si>
    <t xml:space="preserve">ROE: investor expectation</t>
  </si>
  <si>
    <t xml:space="preserve">Stock price</t>
  </si>
  <si>
    <t xml:space="preserve">Stock price: investor expectation</t>
  </si>
  <si>
    <t xml:space="preserve">Credit rating: investor expectation</t>
  </si>
  <si>
    <t xml:space="preserve">Credit rating score (AAA = 21)</t>
  </si>
  <si>
    <t xml:space="preserve">Image rating: investor expectation</t>
  </si>
  <si>
    <t xml:space="preserve">Overall score</t>
  </si>
  <si>
    <t xml:space="preserve">Rank in the industry</t>
  </si>
  <si>
    <t xml:space="preserve">Net revenues ($000s)</t>
  </si>
  <si>
    <t xml:space="preserve">Net profit ($000s)</t>
  </si>
  <si>
    <t xml:space="preserve">Ending cash ($000s)</t>
  </si>
  <si>
    <t xml:space="preserve">Cameras</t>
  </si>
  <si>
    <t xml:space="preserve">Cameras: units sold (000s)</t>
  </si>
  <si>
    <t xml:space="preserve">Cameras: average price ($)</t>
  </si>
  <si>
    <t xml:space="preserve">Cameras: industry average price ($)</t>
  </si>
  <si>
    <t xml:space="preserve">Cameras: price vs industry</t>
  </si>
  <si>
    <t xml:space="preserve">Cameras: P/Q rating</t>
  </si>
  <si>
    <t xml:space="preserve">Cameras: industry average P/Q</t>
  </si>
  <si>
    <t xml:space="preserve">Cameras: cost per unit ($)</t>
  </si>
  <si>
    <t xml:space="preserve">Cameras: industry cost per unit ($)</t>
  </si>
  <si>
    <t xml:space="preserve">Cameras: cost per unit vs industry</t>
  </si>
  <si>
    <t xml:space="preserve">Cameras: operating margin</t>
  </si>
  <si>
    <t xml:space="preserve">Cameras: share, North America (%)</t>
  </si>
  <si>
    <t xml:space="preserve">Cameras: share, Europe-Africa (%)</t>
  </si>
  <si>
    <t xml:space="preserve">Cameras: share, Asia-Pacific (%)</t>
  </si>
  <si>
    <t xml:space="preserve">Cameras: share, Latin America (%)</t>
  </si>
  <si>
    <t xml:space="preserve">Cameras: share, average of regions (%)</t>
  </si>
  <si>
    <t xml:space="preserve">Drones</t>
  </si>
  <si>
    <t xml:space="preserve">Drones: units sold (000s)</t>
  </si>
  <si>
    <t xml:space="preserve">Drones: average price ($)</t>
  </si>
  <si>
    <t xml:space="preserve">Drones: industry average price ($)</t>
  </si>
  <si>
    <t xml:space="preserve">Drones: price vs industry</t>
  </si>
  <si>
    <t xml:space="preserve">Drones: P/Q rating</t>
  </si>
  <si>
    <t xml:space="preserve">Drones: industry average P/Q</t>
  </si>
  <si>
    <t xml:space="preserve">Drones: cost per unit ($)</t>
  </si>
  <si>
    <t xml:space="preserve">Drones: industry cost per unit ($)</t>
  </si>
  <si>
    <t xml:space="preserve">Drones: cost per unit vs industry</t>
  </si>
  <si>
    <t xml:space="preserve">Drones: operating margin</t>
  </si>
  <si>
    <t xml:space="preserve">Drones: share, North America (%)</t>
  </si>
  <si>
    <t xml:space="preserve">Drones: share, Europe-Africa (%)</t>
  </si>
  <si>
    <t xml:space="preserve">Drones: share, Asia-Pacific (%)</t>
  </si>
  <si>
    <t xml:space="preserve">Drones: share, Latin America (%)</t>
  </si>
  <si>
    <t xml:space="preserve">Drones: share, average of regions (%)</t>
  </si>
  <si>
    <t xml:space="preserve">Competition by year</t>
  </si>
  <si>
    <t xml:space="preserve">Every company on the measures that decide the contest, from the class-wide reports only (scoreboard and Competitive Intelligence Report). Each year: the value, then the change (▲ ▼). Your row is highlighted; the last row of each block is your rank on that measure.</t>
  </si>
  <si>
    <t xml:space="preserve">Company A</t>
  </si>
  <si>
    <t xml:space="preserve">Company B</t>
  </si>
  <si>
    <t xml:space="preserve">Company C  (you)</t>
  </si>
  <si>
    <t xml:space="preserve">Company D</t>
  </si>
  <si>
    <t xml:space="preserve">Company E</t>
  </si>
  <si>
    <t xml:space="preserve">Company F</t>
  </si>
  <si>
    <t xml:space="preserve">Company G</t>
  </si>
  <si>
    <t xml:space="preserve">Company H</t>
  </si>
  <si>
    <t xml:space="preserve">Industry average</t>
  </si>
  <si>
    <t xml:space="preserve">Your rank on this measure</t>
  </si>
  <si>
    <t xml:space="preserve">EPS ($)</t>
  </si>
  <si>
    <t xml:space="preserve">Stock price ($)</t>
  </si>
  <si>
    <t xml:space="preserve">Cameras: price ($)</t>
  </si>
  <si>
    <t xml:space="preserve">Cameras: P/Q</t>
  </si>
  <si>
    <t xml:space="preserve">Cameras: market share (%)</t>
  </si>
  <si>
    <t xml:space="preserve">Drones: price ($)</t>
  </si>
  <si>
    <t xml:space="preserve">Drones: P/Q</t>
  </si>
  <si>
    <t xml:space="preserve">Drones: market share (%)</t>
  </si>
  <si>
    <t xml:space="preserve">Key performance indicators</t>
  </si>
  <si>
    <t xml:space="preserve">Charts update from Season by Year and Competition by Year for the years captured so far; rebuild the workbook after each round to add the new year. The chart data below the charts is formulas; do not type over it.</t>
  </si>
  <si>
    <t xml:space="preserve">Chart data (formulas)</t>
  </si>
  <si>
    <t xml:space="preserve">Series</t>
  </si>
  <si>
    <t xml:space="preserve">Y6</t>
  </si>
  <si>
    <t xml:space="preserve">Y7</t>
  </si>
  <si>
    <t xml:space="preserve">EPS expectation</t>
  </si>
  <si>
    <t xml:space="preserve">ROE expectation</t>
  </si>
  <si>
    <t xml:space="preserve">Stock price expectation</t>
  </si>
  <si>
    <t xml:space="preserve">Image rating expectation</t>
  </si>
  <si>
    <t xml:space="preserve">Cameras: share (%)</t>
  </si>
  <si>
    <t xml:space="preserve">Drones: share (%)</t>
  </si>
  <si>
    <t xml:space="preserve">Cameras: cost per unit</t>
  </si>
  <si>
    <t xml:space="preserve">Cameras: industry cost per unit</t>
  </si>
  <si>
    <t xml:space="preserve">Drones: cost per unit</t>
  </si>
  <si>
    <t xml:space="preserve">Drones: industry cost per unit</t>
  </si>
  <si>
    <t xml:space="preserve">Cameras: cost vs industry</t>
  </si>
  <si>
    <t xml:space="preserve">Drones: cost vs industry</t>
  </si>
  <si>
    <t xml:space="preserve">Company C (you)</t>
  </si>
  <si>
    <t xml:space="preserve">Findings and questions to consider</t>
  </si>
  <si>
    <t xml:space="preserve">One row per finding, watch item or question, year by year. Rows from the weekly report are filled in; add your own. The 'Our response' column is the team's.</t>
  </si>
  <si>
    <t xml:space="preserve">What we see</t>
  </si>
  <si>
    <t xml:space="preserve">General lesson</t>
  </si>
  <si>
    <t xml:space="preserve">Our response or decision</t>
  </si>
  <si>
    <t xml:space="preserve">Apparent position: Best-cost provider (mixed)</t>
  </si>
  <si>
    <t xml:space="preserve">Price -4.4% vs industry; P/Q +0.1 stars; cost -4.3%</t>
  </si>
  <si>
    <t xml:space="preserve">Open</t>
  </si>
  <si>
    <t xml:space="preserve">Price +3.5% vs industry; P/Q +0.2 stars; cost +0.6%</t>
  </si>
  <si>
    <t xml:space="preserve">Watch item</t>
  </si>
  <si>
    <t xml:space="preserve">Drones: the position your inputs show differs from the strategy you chose</t>
  </si>
  <si>
    <t xml:space="preserve">You chose differentiation; price +3.5% vs the industry and P/Q +0.2 stars put you closer to best-cost provider.</t>
  </si>
  <si>
    <t xml:space="preserve">Teams that drift between positions usually pay for both and get credit for neither. Decide whether the drift is deliberate.</t>
  </si>
  <si>
    <t xml:space="preserve">Management goal</t>
  </si>
  <si>
    <t xml:space="preserve">Management goal B1 missed: Beat investor expectations for EPS</t>
  </si>
  <si>
    <t xml:space="preserve">EPS: 2.1 against investor expectation 2.15. This goal came from your management interview.</t>
  </si>
  <si>
    <t xml:space="preserve">EPS reflects price, cost and volume together; look for which of the three moved against you.</t>
  </si>
  <si>
    <t xml:space="preserve">Management goal B2 missed: Hold a credit rating of BB or better</t>
  </si>
  <si>
    <t xml:space="preserve">Credit rating: BB- against BB. This goal came from your management interview.</t>
  </si>
  <si>
    <t xml:space="preserve">Credit rating follows debt, interest coverage and cash; it also sets borrowing costs.</t>
  </si>
  <si>
    <t xml:space="preserve">Management goal B3 missed: Keep the image rating at or above expectations</t>
  </si>
  <si>
    <t xml:space="preserve">Image rating: 71 against investor expectation 72. This goal came from your management interview.</t>
  </si>
  <si>
    <t xml:space="preserve">Image rating builds slowly from P/Q, models, warranty, advertising and CSR.</t>
  </si>
  <si>
    <t xml:space="preserve">Question to consider</t>
  </si>
  <si>
    <t xml:space="preserve">Is the drones position your inputs now show the one you meant to build?</t>
  </si>
  <si>
    <t xml:space="preserve">Which input did you change most this year, and did the result move the way the projections said?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</si>
</sst>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.0"/>
    <numFmt numFmtId="166" formatCode="0"/>
    <numFmt numFmtId="167" formatCode="0.0%"/>
    <numFmt numFmtId="168" formatCode="#,##0"/>
    <numFmt numFmtId="169" formatCode="\+0.0%;\-0.0%;0.0%"/>
    <numFmt numFmtId="170" formatCode="0.0"/>
    <numFmt numFmtId="171" formatCode="0%"/>
    <numFmt numFmtId="172" formatCode="0.00"/>
    <numFmt numFmtId="173" formatCode="\+0%;\-0%;0%"/>
    <numFmt numFmtId="174" formatCode="\$#,##0"/>
    <numFmt numFmtId="175" formatCode="\$#,##0;&quot;($&quot;#,##0\)"/>
    <numFmt numFmtId="176" formatCode="#,##0;\(#,##0\)"/>
    <numFmt numFmtId="177" formatCode="\$#,##0;&quot;($&quot;#,##0\);\-"/>
    <numFmt numFmtId="178" formatCode="\$#,##0,,\M"/>
    <numFmt numFmtId="179" formatCode="General"/>
    <numFmt numFmtId="180" formatCode="#,##0.##"/>
    <numFmt numFmtId="181" formatCode="\+0;\-0;0"/>
    <numFmt numFmtId="182" formatCode="#,##0.00"/>
    <numFmt numFmtId="183" formatCode="\$#,##0.00"/>
    <numFmt numFmtId="184" formatCode="&quot;▲ &quot;0.0;&quot;▼ &quot;0.0;\–"/>
    <numFmt numFmtId="185" formatCode="&quot;▲ &quot;0;&quot;▼ &quot;0;\–"/>
    <numFmt numFmtId="186" formatCode="&quot;▲ &quot;#,##0;&quot;▼ &quot;#,##0;\–"/>
    <numFmt numFmtId="187" formatCode="&quot;▲ $&quot;#,##0.00;&quot;▼ $&quot;#,##0.00;\–"/>
    <numFmt numFmtId="188" formatCode="&quot;▲ &quot;0.0%;&quot;▼ &quot;0.0%;\–"/>
    <numFmt numFmtId="189" formatCode="&quot;▲ $&quot;#,##0;&quot;▼ $&quot;#,##0;\–"/>
    <numFmt numFmtId="190" formatCode="\$0.00"/>
    <numFmt numFmtId="191" formatCode="&quot;▲ $&quot;0.00;&quot;▼ $&quot;0.00;\–"/>
    <numFmt numFmtId="192" formatCode="\$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9A55C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D3557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BBBBB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color rgb="FF8A949E"/>
      <name val="Arial"/>
      <family val="0"/>
      <charset val="1"/>
    </font>
    <font>
      <sz val="9"/>
      <color rgb="FF5F6B7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DB"/>
        <bgColor rgb="FFF3F1EC"/>
      </patternFill>
    </fill>
    <fill>
      <patternFill patternType="solid">
        <fgColor rgb="FF1D3557"/>
        <bgColor rgb="FF264653"/>
      </patternFill>
    </fill>
    <fill>
      <patternFill patternType="solid">
        <fgColor rgb="FFEEF2F7"/>
        <bgColor rgb="FFF3F1EC"/>
      </patternFill>
    </fill>
    <fill>
      <patternFill patternType="solid">
        <fgColor rgb="FFF3F1EC"/>
        <bgColor rgb="FFEEF2F7"/>
      </patternFill>
    </fill>
    <fill>
      <patternFill patternType="solid">
        <fgColor rgb="FFFBE9C9"/>
        <bgColor rgb="FFFFF0C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 diagonalUp="false" diagonalDown="false">
      <left style="thin">
        <color rgb="FFC8CDD3"/>
      </left>
      <right/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5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7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3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8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9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1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  <dxf>
      <fill>
        <patternFill>
          <bgColor rgb="FFC9A55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6C757D"/>
      <rgbColor rgb="FFBBBBBB"/>
      <rgbColor rgb="FF878787"/>
      <rgbColor rgb="FF8A949E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C"/>
      <rgbColor rgb="FFD8F0DF"/>
      <rgbColor rgb="FFFFF0C2"/>
      <rgbColor rgb="FFA8DADC"/>
      <rgbColor rgb="FFFBE9C9"/>
      <rgbColor rgb="FFD9D9D9"/>
      <rgbColor rgb="FFF8D7D3"/>
      <rgbColor rgb="FF457B9D"/>
      <rgbColor rgb="FF33CCCC"/>
      <rgbColor rgb="FF888888"/>
      <rgbColor rgb="FFFFCC00"/>
      <rgbColor rgb="FFFF9900"/>
      <rgbColor rgb="FFFF6600"/>
      <rgbColor rgb="FF5F6B76"/>
      <rgbColor rgb="FF999999"/>
      <rgbColor rgb="FF1D3557"/>
      <rgbColor rgb="FF2D936C"/>
      <rgbColor rgb="FF003300"/>
      <rgbColor rgb="FF333300"/>
      <rgbColor rgb="FF993300"/>
      <rgbColor rgb="FF8D6A9F"/>
      <rgbColor rgb="FF555555"/>
      <rgbColor rgb="FF26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Strategic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'Strategic Mapping'!$A$9</c:f>
              <c:strCache>
                <c:ptCount val="1"/>
                <c:pt idx="0">
                  <c:v>BYD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Mapping'!$B$9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Mapping'!$C$9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1"/>
          <c:order val="1"/>
          <c:tx>
            <c:strRef>
              <c:f>'Strategic Mapping'!$A$10</c:f>
              <c:strCache>
                <c:ptCount val="1"/>
                <c:pt idx="0">
                  <c:v>Tesla</c:v>
                </c:pt>
              </c:strCache>
            </c:strRef>
          </c:tx>
          <c:spPr>
            <a:solidFill>
              <a:srgbClr val="c9a55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9a5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Mapping'!$B$10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Mapping'!$C$10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2"/>
          <c:order val="2"/>
          <c:tx>
            <c:strRef>
              <c:f>'Strategic Mapping'!$A$11</c:f>
              <c:strCache>
                <c:ptCount val="1"/>
                <c:pt idx="0">
                  <c:v>Volkswagen Group</c:v>
                </c:pt>
              </c:strCache>
            </c:strRef>
          </c:tx>
          <c:spPr>
            <a:solidFill>
              <a:srgbClr val="2d936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d936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Mapping'!$B$11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Mapping'!$C$11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3"/>
          <c:order val="3"/>
          <c:tx>
            <c:strRef>
              <c:f>'Strategic Mapping'!$A$12</c:f>
              <c:strCache>
                <c:ptCount val="1"/>
                <c:pt idx="0">
                  <c:v>Geely</c:v>
                </c:pt>
              </c:strCache>
            </c:strRef>
          </c:tx>
          <c:spPr>
            <a:solidFill>
              <a:srgbClr val="c44536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445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Mapping'!$B$12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Mapping'!$C$12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4"/>
          <c:order val="4"/>
          <c:tx>
            <c:strRef>
              <c:f>'Strategic Mapping'!$A$13</c:f>
              <c:strCache>
                <c:ptCount val="1"/>
                <c:pt idx="0">
                  <c:v>Xiaomi</c:v>
                </c:pt>
              </c:strCache>
            </c:strRef>
          </c:tx>
          <c:spPr>
            <a:solidFill>
              <a:srgbClr val="457b9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457b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Mapping'!$B$13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Mapping'!$C$13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5"/>
          <c:order val="5"/>
          <c:tx>
            <c:strRef>
              <c:f>'Strategic Mapping'!$A$14</c:f>
              <c:strCache>
                <c:ptCount val="1"/>
                <c:pt idx="0">
                  <c:v>Stellantis</c:v>
                </c:pt>
              </c:strCache>
            </c:strRef>
          </c:tx>
          <c:spPr>
            <a:solidFill>
              <a:srgbClr val="8d6a9f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8d6a9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Mapping'!$B$14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Mapping'!$C$14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6"/>
          <c:order val="6"/>
          <c:tx>
            <c:strRef>
              <c:f>'Strategic Mapping'!$A$15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c757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6c757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Mapping'!$B$15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Mapping'!$C$15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7"/>
          <c:order val="7"/>
          <c:tx>
            <c:strRef>
              <c:f>'Strategic Mapping'!$A$16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5651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b5651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Mapping'!$B$16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Mapping'!$C$16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8"/>
          <c:order val="8"/>
          <c:tx>
            <c:strRef>
              <c:f>'Strategic Mapping'!$A$17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dad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a8dad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Mapping'!$B$17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Mapping'!$C$17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9"/>
          <c:order val="9"/>
          <c:tx>
            <c:strRef>
              <c:f>'Strategic Mapping'!$A$18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64653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6465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Mapping'!$B$18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Mapping'!$C$18</c:f>
              <c:numCache>
                <c:formatCode>General</c:formatCode>
                <c:ptCount val="1"/>
              </c:numCache>
            </c:numRef>
          </c:yVal>
          <c:smooth val="1"/>
        </c:ser>
        <c:axId val="17481808"/>
        <c:axId val="23662315"/>
      </c:scatterChart>
      <c:valAx>
        <c:axId val="17481808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62315"/>
        <c:crosses val="autoZero"/>
        <c:crossBetween val="midCat"/>
      </c:valAx>
      <c:valAx>
        <c:axId val="23662315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48180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gap captured by driver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'Full Potential'!G5</c:f>
              <c:strCache>
                <c:ptCount val="1"/>
                <c:pt idx="0">
                  <c:v>Gap captured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'Full Potential'!$A$6:$A$10</c:f>
              <c:strCache>
                <c:ptCount val="5"/>
                <c:pt idx="0">
                  <c:v>Price per unit</c:v>
                </c:pt>
                <c:pt idx="1">
                  <c:v>Mix premium per unit</c:v>
                </c:pt>
                <c:pt idx="2">
                  <c:v>Volume</c:v>
                </c:pt>
                <c:pt idx="3">
                  <c:v>Variable cost per unit</c:v>
                </c:pt>
                <c:pt idx="4">
                  <c:v>Fixed costs</c:v>
                </c:pt>
              </c:strCache>
            </c:strRef>
          </c:cat>
          <c:val>
            <c:numRef>
              <c:f>'Full Potential'!$G$6:$G$10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2260001"/>
        <c:axId val="69741986"/>
      </c:barChart>
      <c:catAx>
        <c:axId val="226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41986"/>
        <c:crosses val="autoZero"/>
        <c:auto val="1"/>
        <c:lblAlgn val="ctr"/>
        <c:lblOffset val="100"/>
        <c:noMultiLvlLbl val="0"/>
      </c:catAx>
      <c:valAx>
        <c:axId val="6974198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00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-556163357.34643</c:v>
                </c:pt>
                <c:pt idx="1">
                  <c:v>-597697671.18242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68958129.8795793</c:v>
                </c:pt>
                <c:pt idx="5">
                  <c:v>26952493.9304941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298848835.59121</c:v>
                </c:pt>
                <c:pt idx="2">
                  <c:v>-375232328.243848</c:v>
                </c:pt>
                <c:pt idx="3">
                  <c:v>-455263239.594911</c:v>
                </c:pt>
                <c:pt idx="4">
                  <c:v>-128773005.650056</c:v>
                </c:pt>
                <c:pt idx="5">
                  <c:v>-53904987.8609881</c:v>
                </c:pt>
              </c:numCache>
            </c:numRef>
          </c:val>
        </c:ser>
        <c:gapWidth val="150"/>
        <c:overlap val="100"/>
        <c:axId val="31732486"/>
        <c:axId val="45793038"/>
      </c:barChart>
      <c:catAx>
        <c:axId val="317324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93038"/>
        <c:crosses val="autoZero"/>
        <c:auto val="1"/>
        <c:lblAlgn val="ctr"/>
        <c:lblOffset val="100"/>
        <c:noMultiLvlLbl val="0"/>
      </c:catAx>
      <c:valAx>
        <c:axId val="45793038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324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-$1,176M</c:v>
                </c:pt>
                <c:pt idx="1">
                  <c:v>-$1,076M</c:v>
                </c:pt>
                <c:pt idx="2">
                  <c:v>-$976M</c:v>
                </c:pt>
                <c:pt idx="3">
                  <c:v>-$877M</c:v>
                </c:pt>
                <c:pt idx="4">
                  <c:v>-$777M</c:v>
                </c:pt>
                <c:pt idx="5">
                  <c:v>-$677M</c:v>
                </c:pt>
                <c:pt idx="6">
                  <c:v>-$577M</c:v>
                </c:pt>
                <c:pt idx="7">
                  <c:v>-$478M</c:v>
                </c:pt>
                <c:pt idx="8">
                  <c:v>-$378M</c:v>
                </c:pt>
                <c:pt idx="9">
                  <c:v>-$278M</c:v>
                </c:pt>
                <c:pt idx="10">
                  <c:v>-$178M</c:v>
                </c:pt>
                <c:pt idx="11">
                  <c:v>-$79M</c:v>
                </c:pt>
                <c:pt idx="12">
                  <c:v>$21M</c:v>
                </c:pt>
                <c:pt idx="13">
                  <c:v>$121M</c:v>
                </c:pt>
                <c:pt idx="14">
                  <c:v>$221M</c:v>
                </c:pt>
                <c:pt idx="15">
                  <c:v>$320M</c:v>
                </c:pt>
                <c:pt idx="16">
                  <c:v>$420M</c:v>
                </c:pt>
                <c:pt idx="17">
                  <c:v>$520M</c:v>
                </c:pt>
                <c:pt idx="18">
                  <c:v>$620M</c:v>
                </c:pt>
                <c:pt idx="19">
                  <c:v>$719M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4</c:v>
                </c:pt>
                <c:pt idx="1">
                  <c:v>7</c:v>
                </c:pt>
                <c:pt idx="2">
                  <c:v>13</c:v>
                </c:pt>
                <c:pt idx="3">
                  <c:v>30</c:v>
                </c:pt>
                <c:pt idx="4">
                  <c:v>36</c:v>
                </c:pt>
                <c:pt idx="5">
                  <c:v>74</c:v>
                </c:pt>
                <c:pt idx="6">
                  <c:v>99</c:v>
                </c:pt>
                <c:pt idx="7">
                  <c:v>95</c:v>
                </c:pt>
                <c:pt idx="8">
                  <c:v>110</c:v>
                </c:pt>
                <c:pt idx="9">
                  <c:v>128</c:v>
                </c:pt>
                <c:pt idx="10">
                  <c:v>122</c:v>
                </c:pt>
                <c:pt idx="11">
                  <c:v>89</c:v>
                </c:pt>
                <c:pt idx="12">
                  <c:v>84</c:v>
                </c:pt>
                <c:pt idx="13">
                  <c:v>47</c:v>
                </c:pt>
                <c:pt idx="14">
                  <c:v>26</c:v>
                </c:pt>
                <c:pt idx="15">
                  <c:v>17</c:v>
                </c:pt>
                <c:pt idx="16">
                  <c:v>6</c:v>
                </c:pt>
                <c:pt idx="17">
                  <c:v>10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</c:ser>
        <c:gapWidth val="10"/>
        <c:overlap val="0"/>
        <c:axId val="43813720"/>
        <c:axId val="11094847"/>
      </c:barChart>
      <c:catAx>
        <c:axId val="43813720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94847"/>
        <c:crosses val="autoZero"/>
        <c:auto val="1"/>
        <c:lblAlgn val="ctr"/>
        <c:lblOffset val="100"/>
        <c:noMultiLvlLbl val="0"/>
      </c:catAx>
      <c:valAx>
        <c:axId val="110948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137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Power and interest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"Stakeholders"</c:f>
              <c:strCache>
                <c:ptCount val="1"/>
                <c:pt idx="0">
                  <c:v>Stakeholders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'Operating Model'!$H$16:$H$25</c:f>
              <c:numCache>
                <c:formatCode>General</c:formatCode>
                <c:ptCount val="10"/>
              </c:numCache>
            </c:numRef>
          </c:xVal>
          <c:yVal>
            <c:numRef>
              <c:f>'Operating Model'!$G$16:$G$25</c:f>
              <c:numCache>
                <c:formatCode>General</c:formatCode>
                <c:ptCount val="10"/>
              </c:numCache>
            </c:numRef>
          </c:yVal>
          <c:smooth val="1"/>
        </c:ser>
        <c:axId val="19526521"/>
        <c:axId val="27852406"/>
      </c:scatterChart>
      <c:valAx>
        <c:axId val="19526521"/>
        <c:scaling>
          <c:orientation val="minMax"/>
          <c:max val="5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52406"/>
        <c:crosses val="autoZero"/>
        <c:crossBetween val="midCat"/>
      </c:valAx>
      <c:valAx>
        <c:axId val="27852406"/>
        <c:scaling>
          <c:orientation val="minMax"/>
          <c:max val="5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2652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Charts'!A60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Charts'!$B$60:$C$60</c:f>
              <c:numCache>
                <c:formatCode>\$0.00</c:formatCode>
                <c:ptCount val="2"/>
                <c:pt idx="0">
                  <c:v>1.85</c:v>
                </c:pt>
                <c:pt idx="1">
                  <c:v>2.1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Charts'!A61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Charts'!$B$61:$C$61</c:f>
              <c:numCache>
                <c:formatCode>\$0.00</c:formatCode>
                <c:ptCount val="2"/>
                <c:pt idx="0">
                  <c:v>2</c:v>
                </c:pt>
                <c:pt idx="1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181720"/>
        <c:axId val="61545181"/>
      </c:lineChart>
      <c:catAx>
        <c:axId val="25181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45181"/>
        <c:crosses val="autoZero"/>
        <c:auto val="1"/>
        <c:lblAlgn val="ctr"/>
        <c:lblOffset val="100"/>
        <c:noMultiLvlLbl val="0"/>
      </c:catAx>
      <c:valAx>
        <c:axId val="61545181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817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Charts'!A62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Charts'!$B$62:$C$62</c:f>
              <c:numCache>
                <c:formatCode>0.0%</c:formatCode>
                <c:ptCount val="2"/>
                <c:pt idx="0">
                  <c:v>0.142</c:v>
                </c:pt>
                <c:pt idx="1">
                  <c:v>0.155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Charts'!A63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Charts'!$B$63:$C$63</c:f>
              <c:numCache>
                <c:formatCode>0.0%</c:formatCode>
                <c:ptCount val="2"/>
                <c:pt idx="0">
                  <c:v>0.15</c:v>
                </c:pt>
                <c:pt idx="1">
                  <c:v>0.155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519720"/>
        <c:axId val="41350769"/>
      </c:lineChart>
      <c:catAx>
        <c:axId val="82519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50769"/>
        <c:crosses val="autoZero"/>
        <c:auto val="1"/>
        <c:lblAlgn val="ctr"/>
        <c:lblOffset val="100"/>
        <c:noMultiLvlLbl val="0"/>
      </c:catAx>
      <c:valAx>
        <c:axId val="4135076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197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Charts'!A64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Charts'!$B$64:$C$64</c:f>
              <c:numCache>
                <c:formatCode>\$0.00</c:formatCode>
                <c:ptCount val="2"/>
                <c:pt idx="0">
                  <c:v>22.4</c:v>
                </c:pt>
                <c:pt idx="1">
                  <c:v>26.1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Charts'!A65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Charts'!$B$65:$C$65</c:f>
              <c:numCache>
                <c:formatCode>\$0.00</c:formatCode>
                <c:ptCount val="2"/>
                <c:pt idx="0">
                  <c:v>25</c:v>
                </c:pt>
                <c:pt idx="1">
                  <c:v>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490530"/>
        <c:axId val="25357095"/>
      </c:lineChart>
      <c:catAx>
        <c:axId val="484905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57095"/>
        <c:crosses val="autoZero"/>
        <c:auto val="1"/>
        <c:lblAlgn val="ctr"/>
        <c:lblOffset val="100"/>
        <c:noMultiLvlLbl val="0"/>
      </c:catAx>
      <c:valAx>
        <c:axId val="25357095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905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Charts'!A66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Charts'!$B$66:$C$66</c:f>
              <c:numCache>
                <c:formatCode>0</c:formatCode>
                <c:ptCount val="2"/>
                <c:pt idx="0">
                  <c:v>68</c:v>
                </c:pt>
                <c:pt idx="1">
                  <c:v>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Charts'!A67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Charts'!$B$67:$C$67</c:f>
              <c:numCache>
                <c:formatCode>0</c:formatCode>
                <c:ptCount val="2"/>
                <c:pt idx="0">
                  <c:v>70</c:v>
                </c:pt>
                <c:pt idx="1">
                  <c:v>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001191"/>
        <c:axId val="55379281"/>
      </c:lineChart>
      <c:catAx>
        <c:axId val="15001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79281"/>
        <c:crosses val="autoZero"/>
        <c:auto val="1"/>
        <c:lblAlgn val="ctr"/>
        <c:lblOffset val="100"/>
        <c:noMultiLvlLbl val="0"/>
      </c:catAx>
      <c:valAx>
        <c:axId val="55379281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011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Credit rating score (AAA = 21, higher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Charts'!A68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Charts'!$B$68:$C$68</c:f>
              <c:numCache>
                <c:formatCode>0</c:formatCode>
                <c:ptCount val="2"/>
                <c:pt idx="0">
                  <c:v>8</c:v>
                </c:pt>
                <c:pt idx="1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652074"/>
        <c:axId val="96889012"/>
      </c:lineChart>
      <c:catAx>
        <c:axId val="526520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89012"/>
        <c:crosses val="autoZero"/>
        <c:auto val="1"/>
        <c:lblAlgn val="ctr"/>
        <c:lblOffset val="100"/>
        <c:noMultiLvlLbl val="0"/>
      </c:catAx>
      <c:valAx>
        <c:axId val="9688901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520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 (scoreboard)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Charts'!A85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Charts'!$B$85:$C$85</c:f>
              <c:numCache>
                <c:formatCode>0</c:formatCode>
                <c:ptCount val="2"/>
                <c:pt idx="0">
                  <c:v>81</c:v>
                </c:pt>
                <c:pt idx="1">
                  <c:v>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Charts'!A86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Charts'!$B$86:$C$86</c:f>
              <c:numCache>
                <c:formatCode>0</c:formatCode>
                <c:ptCount val="2"/>
                <c:pt idx="0">
                  <c:v>70</c:v>
                </c:pt>
                <c:pt idx="1">
                  <c:v>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Charts'!A87</c:f>
              <c:strCache>
                <c:ptCount val="1"/>
                <c:pt idx="0">
                  <c:v>Company C (you)</c:v>
                </c:pt>
              </c:strCache>
            </c:strRef>
          </c:tx>
          <c:spPr>
            <a:solidFill>
              <a:srgbClr val="c9a55c"/>
            </a:solidFill>
            <a:ln w="381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Charts'!$B$87:$C$87</c:f>
              <c:numCache>
                <c:formatCode>0</c:formatCode>
                <c:ptCount val="2"/>
                <c:pt idx="0">
                  <c:v>78</c:v>
                </c:pt>
                <c:pt idx="1">
                  <c:v>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Charts'!A88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Charts'!$B$88:$C$88</c:f>
              <c:numCache>
                <c:formatCode>0</c:formatCode>
                <c:ptCount val="2"/>
                <c:pt idx="0">
                  <c:v>83</c:v>
                </c:pt>
                <c:pt idx="1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'KPI Charts'!A89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2196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Charts'!$B$89:$C$89</c:f>
              <c:numCache>
                <c:formatCode>0</c:formatCode>
                <c:ptCount val="2"/>
                <c:pt idx="0">
                  <c:v>66</c:v>
                </c:pt>
                <c:pt idx="1">
                  <c:v>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'KPI Charts'!A90</c:f>
              <c:strCache>
                <c:ptCount val="1"/>
                <c:pt idx="0">
                  <c:v>Company F</c:v>
                </c:pt>
              </c:strCache>
            </c:strRef>
          </c:tx>
          <c:spPr>
            <a:solidFill>
              <a:srgbClr val="8d6a9f"/>
            </a:solidFill>
            <a:ln w="21960">
              <a:solidFill>
                <a:srgbClr val="8d6a9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Charts'!$B$90:$C$90</c:f>
              <c:numCache>
                <c:formatCode>0</c:formatCode>
                <c:ptCount val="2"/>
                <c:pt idx="0">
                  <c:v>74</c:v>
                </c:pt>
                <c:pt idx="1">
                  <c:v>75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'KPI Charts'!A91</c:f>
              <c:strCache>
                <c:ptCount val="1"/>
                <c:pt idx="0">
                  <c:v>Company G</c:v>
                </c:pt>
              </c:strCache>
            </c:strRef>
          </c:tx>
          <c:spPr>
            <a:solidFill>
              <a:srgbClr val="6c757d"/>
            </a:solidFill>
            <a:ln w="21960">
              <a:solidFill>
                <a:srgbClr val="6c757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Charts'!$B$91:$C$91</c:f>
              <c:numCache>
                <c:formatCode>0</c:formatCode>
                <c:ptCount val="2"/>
                <c:pt idx="0">
                  <c:v>77</c:v>
                </c:pt>
                <c:pt idx="1">
                  <c:v>80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'KPI Charts'!A92</c:f>
              <c:strCache>
                <c:ptCount val="1"/>
                <c:pt idx="0">
                  <c:v>Company H</c:v>
                </c:pt>
              </c:strCache>
            </c:strRef>
          </c:tx>
          <c:spPr>
            <a:solidFill>
              <a:srgbClr val="b5651d"/>
            </a:solidFill>
            <a:ln w="21960">
              <a:solidFill>
                <a:srgbClr val="b5651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Charts'!$B$92:$C$92</c:f>
              <c:numCache>
                <c:formatCode>0</c:formatCode>
                <c:ptCount val="2"/>
                <c:pt idx="0">
                  <c:v>69</c:v>
                </c:pt>
                <c:pt idx="1">
                  <c:v>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872840"/>
        <c:axId val="78902730"/>
      </c:lineChart>
      <c:catAx>
        <c:axId val="3087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02730"/>
        <c:crosses val="autoZero"/>
        <c:auto val="1"/>
        <c:lblAlgn val="ctr"/>
        <c:lblOffset val="100"/>
        <c:noMultiLvlLbl val="0"/>
      </c:catAx>
      <c:valAx>
        <c:axId val="78902730"/>
        <c:scaling>
          <c:orientation val="minMax"/>
          <c:max val="95"/>
          <c:min val="55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728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Your rank (1 = top)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Charts'!A70</c:f>
              <c:strCache>
                <c:ptCount val="1"/>
                <c:pt idx="0">
                  <c:v>Rank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Charts'!$B$70:$C$70</c:f>
              <c:numCache>
                <c:formatCode>0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930352"/>
        <c:axId val="80737805"/>
      </c:lineChart>
      <c:catAx>
        <c:axId val="9893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37805"/>
        <c:crosses val="autoZero"/>
        <c:auto val="1"/>
        <c:lblAlgn val="ctr"/>
        <c:lblOffset val="100"/>
        <c:noMultiLvlLbl val="0"/>
      </c:catAx>
      <c:valAx>
        <c:axId val="80737805"/>
        <c:scaling>
          <c:orientation val="maxMin"/>
          <c:min val="1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303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Charts'!A73</c:f>
              <c:strCache>
                <c:ptCount val="1"/>
                <c:pt idx="0">
                  <c:v>Cameras: share (%)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Charts'!$B$73:$C$73</c:f>
              <c:numCache>
                <c:formatCode>0.0</c:formatCode>
                <c:ptCount val="2"/>
                <c:pt idx="0">
                  <c:v>12.225</c:v>
                </c:pt>
                <c:pt idx="1">
                  <c:v>12.975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Charts'!A74</c:f>
              <c:strCache>
                <c:ptCount val="1"/>
                <c:pt idx="0">
                  <c:v>Drones: share (%)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Charts'!$B$74:$C$74</c:f>
              <c:numCache>
                <c:formatCode>0.0</c:formatCode>
                <c:ptCount val="2"/>
                <c:pt idx="0">
                  <c:v>11.975</c:v>
                </c:pt>
                <c:pt idx="1">
                  <c:v>12.55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760111"/>
        <c:axId val="51994565"/>
      </c:lineChart>
      <c:catAx>
        <c:axId val="1076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94565"/>
        <c:crosses val="autoZero"/>
        <c:auto val="1"/>
        <c:lblAlgn val="ctr"/>
        <c:lblOffset val="100"/>
        <c:noMultiLvlLbl val="0"/>
      </c:catAx>
      <c:valAx>
        <c:axId val="51994565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601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Charts'!A75</c:f>
              <c:strCache>
                <c:ptCount val="1"/>
                <c:pt idx="0">
                  <c:v>Cameras: cost per unit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Charts'!$B$75:$C$75</c:f>
              <c:numCache>
                <c:formatCode>\$#,##0</c:formatCode>
                <c:ptCount val="2"/>
                <c:pt idx="0">
                  <c:v>182</c:v>
                </c:pt>
                <c:pt idx="1">
                  <c:v>176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Charts'!A76</c:f>
              <c:strCache>
                <c:ptCount val="1"/>
                <c:pt idx="0">
                  <c:v>Cameras: industry cost per unit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Charts'!$B$76:$C$76</c:f>
              <c:numCache>
                <c:formatCode>\$#,##0</c:formatCode>
                <c:ptCount val="2"/>
                <c:pt idx="0">
                  <c:v>186</c:v>
                </c:pt>
                <c:pt idx="1">
                  <c:v>184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Charts'!A77</c:f>
              <c:strCache>
                <c:ptCount val="1"/>
                <c:pt idx="0">
                  <c:v>Drones: cost per unit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Charts'!$B$77:$C$77</c:f>
              <c:numCache>
                <c:formatCode>\$#,##0</c:formatCode>
                <c:ptCount val="2"/>
                <c:pt idx="0">
                  <c:v>905</c:v>
                </c:pt>
                <c:pt idx="1">
                  <c:v>884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Charts'!A78</c:f>
              <c:strCache>
                <c:ptCount val="1"/>
                <c:pt idx="0">
                  <c:v>Drones: industry cost per unit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Charts'!$B$78:$C$78</c:f>
              <c:numCache>
                <c:formatCode>\$#,##0</c:formatCode>
                <c:ptCount val="2"/>
                <c:pt idx="0">
                  <c:v>890</c:v>
                </c:pt>
                <c:pt idx="1">
                  <c:v>879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500634"/>
        <c:axId val="18927416"/>
      </c:lineChart>
      <c:catAx>
        <c:axId val="75500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27416"/>
        <c:crosses val="autoZero"/>
        <c:auto val="1"/>
        <c:lblAlgn val="ctr"/>
        <c:lblOffset val="100"/>
        <c:noMultiLvlLbl val="0"/>
      </c:catAx>
      <c:valAx>
        <c:axId val="18927416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006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and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Charts'!A79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Charts'!$B$79:$C$79</c:f>
              <c:numCache>
                <c:formatCode>\+0.0%;\-0.0%;0.0%</c:formatCode>
                <c:ptCount val="2"/>
                <c:pt idx="0">
                  <c:v>-0.0434782608695652</c:v>
                </c:pt>
                <c:pt idx="1">
                  <c:v>-0.044280442804428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Charts'!A80</c:f>
              <c:strCache>
                <c:ptCount val="1"/>
                <c:pt idx="0">
                  <c:v>Cameras: cost vs industry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Charts'!$B$80:$C$80</c:f>
              <c:numCache>
                <c:formatCode>\+0.0%;\-0.0%;0.0%</c:formatCode>
                <c:ptCount val="2"/>
                <c:pt idx="0">
                  <c:v>-0.021505376344086</c:v>
                </c:pt>
                <c:pt idx="1">
                  <c:v>-0.0434782608695652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Charts'!A81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Charts'!$B$81:$C$81</c:f>
              <c:numCache>
                <c:formatCode>\+0.0%;\-0.0%;0.0%</c:formatCode>
                <c:ptCount val="2"/>
                <c:pt idx="0">
                  <c:v>0.0351464435146442</c:v>
                </c:pt>
                <c:pt idx="1">
                  <c:v>0.0345117845117846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Charts'!A82</c:f>
              <c:strCache>
                <c:ptCount val="1"/>
                <c:pt idx="0">
                  <c:v>Drones: cost vs industry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Charts'!$B$82:$C$82</c:f>
              <c:numCache>
                <c:formatCode>\+0.0%;\-0.0%;0.0%</c:formatCode>
                <c:ptCount val="2"/>
                <c:pt idx="0">
                  <c:v>0.0168539325842696</c:v>
                </c:pt>
                <c:pt idx="1">
                  <c:v>0.00568828213879402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627937"/>
        <c:axId val="8879130"/>
      </c:lineChart>
      <c:catAx>
        <c:axId val="626279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9130"/>
        <c:crosses val="autoZero"/>
        <c:auto val="1"/>
        <c:lblAlgn val="ctr"/>
        <c:lblOffset val="100"/>
        <c:noMultiLvlLbl val="0"/>
      </c:catAx>
      <c:valAx>
        <c:axId val="887913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279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Charts'!A71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Charts'!$B$71:$C$71</c:f>
              <c:numCache>
                <c:formatCode>#,##0</c:formatCode>
                <c:ptCount val="2"/>
                <c:pt idx="0">
                  <c:v>412000</c:v>
                </c:pt>
                <c:pt idx="1">
                  <c:v>455000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Charts'!A72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Charts'!$B$72:$C$72</c:f>
              <c:numCache>
                <c:formatCode>#,##0</c:formatCode>
                <c:ptCount val="2"/>
                <c:pt idx="0">
                  <c:v>18500</c:v>
                </c:pt>
                <c:pt idx="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73693"/>
        <c:axId val="19460200"/>
      </c:lineChart>
      <c:catAx>
        <c:axId val="9073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60200"/>
        <c:crosses val="autoZero"/>
        <c:auto val="1"/>
        <c:lblAlgn val="ctr"/>
        <c:lblOffset val="100"/>
        <c:noMultiLvlLbl val="0"/>
      </c:catAx>
      <c:valAx>
        <c:axId val="1946020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36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Charts'!A83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Charts'!$B$83:$C$83</c:f>
              <c:numCache>
                <c:formatCode>0.0%</c:formatCode>
                <c:ptCount val="2"/>
                <c:pt idx="0">
                  <c:v>0.11</c:v>
                </c:pt>
                <c:pt idx="1">
                  <c:v>0.125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Charts'!A84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Charts'!$B$84:$C$84</c:f>
              <c:numCache>
                <c:formatCode>0.0%</c:formatCode>
                <c:ptCount val="2"/>
                <c:pt idx="0">
                  <c:v>0.09</c:v>
                </c:pt>
                <c:pt idx="1">
                  <c:v>0.105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652081"/>
        <c:axId val="26923481"/>
      </c:lineChart>
      <c:catAx>
        <c:axId val="92652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23481"/>
        <c:crosses val="autoZero"/>
        <c:auto val="1"/>
        <c:lblAlgn val="ctr"/>
        <c:lblOffset val="100"/>
        <c:noMultiLvlLbl val="0"/>
      </c:catAx>
      <c:valAx>
        <c:axId val="26923481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520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<Relationship Id="rId12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7</xdr:col>
      <xdr:colOff>1374480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6343560" y="762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18360</xdr:rowOff>
    </xdr:from>
    <xdr:to>
      <xdr:col>3</xdr:col>
      <xdr:colOff>1155240</xdr:colOff>
      <xdr:row>29</xdr:row>
      <xdr:rowOff>61560</xdr:rowOff>
    </xdr:to>
    <xdr:graphicFrame>
      <xdr:nvGraphicFramePr>
        <xdr:cNvPr id="1" name="Chart 1"/>
        <xdr:cNvGraphicFramePr/>
      </xdr:nvGraphicFramePr>
      <xdr:xfrm>
        <a:off x="0" y="3429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2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362160</xdr:rowOff>
    </xdr:to>
    <xdr:graphicFrame>
      <xdr:nvGraphicFramePr>
        <xdr:cNvPr id="3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231480</xdr:colOff>
      <xdr:row>41</xdr:row>
      <xdr:rowOff>153000</xdr:rowOff>
    </xdr:to>
    <xdr:graphicFrame>
      <xdr:nvGraphicFramePr>
        <xdr:cNvPr id="4" name="Chart 1"/>
        <xdr:cNvGraphicFramePr/>
      </xdr:nvGraphicFramePr>
      <xdr:xfrm>
        <a:off x="0" y="5524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3</xdr:col>
      <xdr:colOff>552600</xdr:colOff>
      <xdr:row>16</xdr:row>
      <xdr:rowOff>174240</xdr:rowOff>
    </xdr:to>
    <xdr:graphicFrame>
      <xdr:nvGraphicFramePr>
        <xdr:cNvPr id="6" name="Chart 1"/>
        <xdr:cNvGraphicFramePr/>
      </xdr:nvGraphicFramePr>
      <xdr:xfrm>
        <a:off x="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131040</xdr:rowOff>
    </xdr:from>
    <xdr:to>
      <xdr:col>14</xdr:col>
      <xdr:colOff>219240</xdr:colOff>
      <xdr:row>16</xdr:row>
      <xdr:rowOff>174240</xdr:rowOff>
    </xdr:to>
    <xdr:graphicFrame>
      <xdr:nvGraphicFramePr>
        <xdr:cNvPr id="7" name="Chart 2"/>
        <xdr:cNvGraphicFramePr/>
      </xdr:nvGraphicFramePr>
      <xdr:xfrm>
        <a:off x="639324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18</xdr:row>
      <xdr:rowOff>130680</xdr:rowOff>
    </xdr:from>
    <xdr:to>
      <xdr:col>3</xdr:col>
      <xdr:colOff>552600</xdr:colOff>
      <xdr:row>31</xdr:row>
      <xdr:rowOff>173880</xdr:rowOff>
    </xdr:to>
    <xdr:graphicFrame>
      <xdr:nvGraphicFramePr>
        <xdr:cNvPr id="8" name="Chart 3"/>
        <xdr:cNvGraphicFramePr/>
      </xdr:nvGraphicFramePr>
      <xdr:xfrm>
        <a:off x="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18</xdr:row>
      <xdr:rowOff>130680</xdr:rowOff>
    </xdr:from>
    <xdr:to>
      <xdr:col>14</xdr:col>
      <xdr:colOff>219240</xdr:colOff>
      <xdr:row>31</xdr:row>
      <xdr:rowOff>173880</xdr:rowOff>
    </xdr:to>
    <xdr:graphicFrame>
      <xdr:nvGraphicFramePr>
        <xdr:cNvPr id="9" name="Chart 4"/>
        <xdr:cNvGraphicFramePr/>
      </xdr:nvGraphicFramePr>
      <xdr:xfrm>
        <a:off x="639324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3</xdr:col>
      <xdr:colOff>552600</xdr:colOff>
      <xdr:row>46</xdr:row>
      <xdr:rowOff>174240</xdr:rowOff>
    </xdr:to>
    <xdr:graphicFrame>
      <xdr:nvGraphicFramePr>
        <xdr:cNvPr id="10" name="Chart 5"/>
        <xdr:cNvGraphicFramePr/>
      </xdr:nvGraphicFramePr>
      <xdr:xfrm>
        <a:off x="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14</xdr:col>
      <xdr:colOff>219240</xdr:colOff>
      <xdr:row>46</xdr:row>
      <xdr:rowOff>174240</xdr:rowOff>
    </xdr:to>
    <xdr:graphicFrame>
      <xdr:nvGraphicFramePr>
        <xdr:cNvPr id="11" name="Chart 6"/>
        <xdr:cNvGraphicFramePr/>
      </xdr:nvGraphicFramePr>
      <xdr:xfrm>
        <a:off x="639324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48</xdr:row>
      <xdr:rowOff>130680</xdr:rowOff>
    </xdr:from>
    <xdr:to>
      <xdr:col>3</xdr:col>
      <xdr:colOff>552600</xdr:colOff>
      <xdr:row>60</xdr:row>
      <xdr:rowOff>173880</xdr:rowOff>
    </xdr:to>
    <xdr:graphicFrame>
      <xdr:nvGraphicFramePr>
        <xdr:cNvPr id="12" name="Chart 7"/>
        <xdr:cNvGraphicFramePr/>
      </xdr:nvGraphicFramePr>
      <xdr:xfrm>
        <a:off x="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48</xdr:row>
      <xdr:rowOff>130680</xdr:rowOff>
    </xdr:from>
    <xdr:to>
      <xdr:col>14</xdr:col>
      <xdr:colOff>219240</xdr:colOff>
      <xdr:row>60</xdr:row>
      <xdr:rowOff>173880</xdr:rowOff>
    </xdr:to>
    <xdr:graphicFrame>
      <xdr:nvGraphicFramePr>
        <xdr:cNvPr id="13" name="Chart 8"/>
        <xdr:cNvGraphicFramePr/>
      </xdr:nvGraphicFramePr>
      <xdr:xfrm>
        <a:off x="639324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63</xdr:row>
      <xdr:rowOff>131040</xdr:rowOff>
    </xdr:from>
    <xdr:to>
      <xdr:col>3</xdr:col>
      <xdr:colOff>552600</xdr:colOff>
      <xdr:row>76</xdr:row>
      <xdr:rowOff>173880</xdr:rowOff>
    </xdr:to>
    <xdr:graphicFrame>
      <xdr:nvGraphicFramePr>
        <xdr:cNvPr id="14" name="Chart 9"/>
        <xdr:cNvGraphicFramePr/>
      </xdr:nvGraphicFramePr>
      <xdr:xfrm>
        <a:off x="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63</xdr:row>
      <xdr:rowOff>131040</xdr:rowOff>
    </xdr:from>
    <xdr:to>
      <xdr:col>14</xdr:col>
      <xdr:colOff>219240</xdr:colOff>
      <xdr:row>76</xdr:row>
      <xdr:rowOff>173880</xdr:rowOff>
    </xdr:to>
    <xdr:graphicFrame>
      <xdr:nvGraphicFramePr>
        <xdr:cNvPr id="15" name="Chart 10"/>
        <xdr:cNvGraphicFramePr/>
      </xdr:nvGraphicFramePr>
      <xdr:xfrm>
        <a:off x="639324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78</xdr:row>
      <xdr:rowOff>130680</xdr:rowOff>
    </xdr:from>
    <xdr:to>
      <xdr:col>3</xdr:col>
      <xdr:colOff>552600</xdr:colOff>
      <xdr:row>91</xdr:row>
      <xdr:rowOff>173880</xdr:rowOff>
    </xdr:to>
    <xdr:graphicFrame>
      <xdr:nvGraphicFramePr>
        <xdr:cNvPr id="16" name="Chart 11"/>
        <xdr:cNvGraphicFramePr/>
      </xdr:nvGraphicFramePr>
      <xdr:xfrm>
        <a:off x="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7</xdr:col>
      <xdr:colOff>0</xdr:colOff>
      <xdr:row>78</xdr:row>
      <xdr:rowOff>130680</xdr:rowOff>
    </xdr:from>
    <xdr:to>
      <xdr:col>14</xdr:col>
      <xdr:colOff>219240</xdr:colOff>
      <xdr:row>91</xdr:row>
      <xdr:rowOff>173880</xdr:rowOff>
    </xdr:to>
    <xdr:graphicFrame>
      <xdr:nvGraphicFramePr>
        <xdr:cNvPr id="17" name="Chart 12"/>
        <xdr:cNvGraphicFramePr/>
      </xdr:nvGraphicFramePr>
      <xdr:xfrm>
        <a:off x="639324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35.0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6" t="s">
        <v>9</v>
      </c>
      <c r="C9" s="5"/>
    </row>
    <row r="10" customFormat="false" ht="23.85" hidden="false" customHeight="false" outlineLevel="0" collapsed="false">
      <c r="B10" s="4" t="s">
        <v>10</v>
      </c>
      <c r="C10" s="5" t="s">
        <v>11</v>
      </c>
    </row>
    <row r="11" customFormat="false" ht="23.85" hidden="false" customHeight="fals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4" t="s">
        <v>16</v>
      </c>
      <c r="C13" s="5" t="s">
        <v>17</v>
      </c>
    </row>
    <row r="14" customFormat="false" ht="15" hidden="false" customHeight="false" outlineLevel="0" collapsed="false">
      <c r="B14" s="4" t="s">
        <v>18</v>
      </c>
      <c r="C14" s="5" t="s">
        <v>19</v>
      </c>
    </row>
    <row r="15" customFormat="false" ht="15" hidden="false" customHeight="false" outlineLevel="0" collapsed="false">
      <c r="B15" s="4" t="s">
        <v>20</v>
      </c>
      <c r="C15" s="5" t="s">
        <v>21</v>
      </c>
    </row>
    <row r="16" customFormat="false" ht="23.8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6" t="s">
        <v>24</v>
      </c>
      <c r="C17" s="5"/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15" hidden="false" customHeight="false" outlineLevel="0" collapsed="false">
      <c r="B19" s="4" t="s">
        <v>27</v>
      </c>
      <c r="C19" s="5" t="s">
        <v>28</v>
      </c>
    </row>
    <row r="20" customFormat="false" ht="15" hidden="false" customHeight="false" outlineLevel="0" collapsed="false">
      <c r="B20" s="4" t="s">
        <v>29</v>
      </c>
      <c r="C20" s="5" t="s">
        <v>30</v>
      </c>
    </row>
    <row r="21" customFormat="false" ht="15" hidden="false" customHeight="false" outlineLevel="0" collapsed="false">
      <c r="B21" s="4" t="s">
        <v>31</v>
      </c>
      <c r="C21" s="5" t="s">
        <v>32</v>
      </c>
    </row>
    <row r="22" customFormat="false" ht="15" hidden="false" customHeight="false" outlineLevel="0" collapsed="false">
      <c r="B22" s="4" t="s">
        <v>33</v>
      </c>
      <c r="C22" s="5" t="s">
        <v>34</v>
      </c>
    </row>
    <row r="23" customFormat="false" ht="15" hidden="false" customHeight="false" outlineLevel="0" collapsed="false">
      <c r="B23" s="4" t="s">
        <v>35</v>
      </c>
      <c r="C23" s="5" t="s">
        <v>36</v>
      </c>
    </row>
    <row r="24" customFormat="false" ht="15" hidden="false" customHeight="false" outlineLevel="0" collapsed="false">
      <c r="B24" s="4" t="s">
        <v>37</v>
      </c>
      <c r="C24" s="5" t="s">
        <v>38</v>
      </c>
    </row>
    <row r="25" customFormat="false" ht="15" hidden="false" customHeight="false" outlineLevel="0" collapsed="false">
      <c r="B25" s="6" t="s">
        <v>39</v>
      </c>
      <c r="C25" s="5"/>
    </row>
    <row r="26" customFormat="false" ht="15" hidden="false" customHeight="false" outlineLevel="0" collapsed="false">
      <c r="B26" s="4" t="s">
        <v>40</v>
      </c>
      <c r="C26" s="5" t="s">
        <v>41</v>
      </c>
    </row>
    <row r="27" customFormat="false" ht="15" hidden="false" customHeight="false" outlineLevel="0" collapsed="false">
      <c r="B27" s="4" t="s">
        <v>42</v>
      </c>
      <c r="C27" s="5" t="s">
        <v>43</v>
      </c>
    </row>
    <row r="28" customFormat="false" ht="15" hidden="false" customHeight="false" outlineLevel="0" collapsed="false">
      <c r="B28" s="4" t="s">
        <v>44</v>
      </c>
      <c r="C28" s="5" t="s">
        <v>45</v>
      </c>
    </row>
    <row r="29" customFormat="false" ht="15" hidden="false" customHeight="false" outlineLevel="0" collapsed="false">
      <c r="B29" s="4" t="s">
        <v>46</v>
      </c>
      <c r="C29" s="5" t="s">
        <v>47</v>
      </c>
    </row>
    <row r="30" customFormat="false" ht="23.85" hidden="false" customHeight="false" outlineLevel="0" collapsed="false">
      <c r="B30" s="4" t="s">
        <v>48</v>
      </c>
      <c r="C30" s="5" t="s">
        <v>49</v>
      </c>
    </row>
    <row r="31" customFormat="false" ht="15" hidden="false" customHeight="fals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4" t="s">
        <v>52</v>
      </c>
      <c r="C32" s="5" t="s">
        <v>53</v>
      </c>
    </row>
    <row r="33" customFormat="false" ht="15" hidden="false" customHeight="false" outlineLevel="0" collapsed="false">
      <c r="B33" s="4" t="s">
        <v>54</v>
      </c>
      <c r="C33" s="5" t="s">
        <v>55</v>
      </c>
    </row>
    <row r="34" customFormat="false" ht="15" hidden="false" customHeight="false" outlineLevel="0" collapsed="false">
      <c r="B34" s="4" t="s">
        <v>56</v>
      </c>
      <c r="C34" s="5" t="s">
        <v>57</v>
      </c>
    </row>
    <row r="35" customFormat="false" ht="15" hidden="false" customHeight="false" outlineLevel="0" collapsed="false">
      <c r="B35" s="4" t="s">
        <v>58</v>
      </c>
      <c r="C35" s="5" t="s">
        <v>59</v>
      </c>
    </row>
    <row r="36" customFormat="false" ht="15" hidden="false" customHeight="false" outlineLevel="0" collapsed="false">
      <c r="B36" s="4" t="s">
        <v>60</v>
      </c>
      <c r="C36" s="5" t="s">
        <v>61</v>
      </c>
    </row>
    <row r="37" customFormat="false" ht="15" hidden="false" customHeight="false" outlineLevel="0" collapsed="false">
      <c r="B37" s="4" t="s">
        <v>62</v>
      </c>
      <c r="C37" s="5" t="s">
        <v>63</v>
      </c>
    </row>
    <row r="38" customFormat="false" ht="15" hidden="false" customHeight="false" outlineLevel="0" collapsed="false">
      <c r="B38" s="4" t="s">
        <v>64</v>
      </c>
      <c r="C38" s="5" t="s">
        <v>65</v>
      </c>
    </row>
    <row r="39" customFormat="false" ht="15" hidden="false" customHeight="false" outlineLevel="0" collapsed="false">
      <c r="B39" s="4" t="s">
        <v>66</v>
      </c>
      <c r="C39" s="5" t="s">
        <v>67</v>
      </c>
    </row>
    <row r="40" customFormat="false" ht="15" hidden="false" customHeight="false" outlineLevel="0" collapsed="false">
      <c r="B40" s="6" t="s">
        <v>68</v>
      </c>
      <c r="C40" s="5"/>
    </row>
    <row r="41" customFormat="false" ht="15" hidden="false" customHeight="false" outlineLevel="0" collapsed="false">
      <c r="B41" s="4" t="s">
        <v>69</v>
      </c>
      <c r="C41" s="5" t="s">
        <v>70</v>
      </c>
    </row>
    <row r="42" customFormat="false" ht="23.85" hidden="false" customHeight="false" outlineLevel="0" collapsed="false">
      <c r="B42" s="4" t="s">
        <v>71</v>
      </c>
      <c r="C42" s="5" t="s">
        <v>72</v>
      </c>
    </row>
    <row r="43" customFormat="false" ht="23.85" hidden="false" customHeight="false" outlineLevel="0" collapsed="false">
      <c r="B43" s="4" t="s">
        <v>73</v>
      </c>
      <c r="C43" s="5" t="s">
        <v>74</v>
      </c>
    </row>
    <row r="44" customFormat="false" ht="23.85" hidden="false" customHeight="false" outlineLevel="0" collapsed="false">
      <c r="B44" s="4" t="s">
        <v>75</v>
      </c>
      <c r="C44" s="5" t="s">
        <v>76</v>
      </c>
    </row>
    <row r="45" customFormat="false" ht="23.85" hidden="false" customHeight="false" outlineLevel="0" collapsed="false">
      <c r="B45" s="4" t="s">
        <v>77</v>
      </c>
      <c r="C45" s="5" t="s">
        <v>78</v>
      </c>
    </row>
    <row r="46" customFormat="false" ht="23.85" hidden="false" customHeight="false" outlineLevel="0" collapsed="false">
      <c r="B46" s="4" t="s">
        <v>79</v>
      </c>
      <c r="C46" s="5" t="s">
        <v>80</v>
      </c>
    </row>
    <row r="47" customFormat="false" ht="23.85" hidden="false" customHeight="false" outlineLevel="0" collapsed="false">
      <c r="B47" s="4" t="s">
        <v>81</v>
      </c>
      <c r="C47" s="5" t="s">
        <v>82</v>
      </c>
    </row>
    <row r="49" customFormat="false" ht="15" hidden="false" customHeight="false" outlineLevel="0" collapsed="false">
      <c r="B49" s="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8" min="7" style="0" width="18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7" t="s">
        <v>7</v>
      </c>
    </row>
    <row r="2" customFormat="false" ht="15" hidden="false" customHeight="false" outlineLevel="0" collapsed="false">
      <c r="A2" s="3" t="s">
        <v>84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9" t="s">
        <v>86</v>
      </c>
      <c r="B5" s="9"/>
      <c r="C5" s="9"/>
      <c r="D5" s="9"/>
      <c r="E5" s="9"/>
      <c r="F5" s="9"/>
      <c r="G5" s="9"/>
      <c r="H5" s="9"/>
      <c r="I5" s="9"/>
    </row>
    <row r="6" customFormat="false" ht="31.5" hidden="false" customHeight="true" outlineLevel="0" collapsed="false">
      <c r="A6" s="10" t="s">
        <v>87</v>
      </c>
      <c r="B6" s="10"/>
      <c r="C6" s="11" t="s">
        <v>88</v>
      </c>
      <c r="D6" s="11"/>
      <c r="E6" s="11"/>
      <c r="F6" s="11"/>
      <c r="G6" s="11"/>
      <c r="H6" s="11"/>
      <c r="I6" s="11"/>
    </row>
    <row r="8" customFormat="false" ht="30" hidden="false" customHeight="true" outlineLevel="0" collapsed="false">
      <c r="A8" s="12" t="s">
        <v>89</v>
      </c>
      <c r="B8" s="12" t="s">
        <v>90</v>
      </c>
      <c r="C8" s="12"/>
      <c r="D8" s="12" t="s">
        <v>91</v>
      </c>
      <c r="E8" s="12" t="s">
        <v>92</v>
      </c>
    </row>
    <row r="9" customFormat="false" ht="15" hidden="false" customHeight="true" outlineLevel="0" collapsed="false">
      <c r="A9" s="13" t="s">
        <v>93</v>
      </c>
      <c r="B9" s="14" t="s">
        <v>94</v>
      </c>
      <c r="C9" s="14"/>
      <c r="D9" s="11" t="s">
        <v>95</v>
      </c>
      <c r="E9" s="11"/>
    </row>
    <row r="10" customFormat="false" ht="15" hidden="false" customHeight="true" outlineLevel="0" collapsed="false">
      <c r="A10" s="13" t="s">
        <v>96</v>
      </c>
      <c r="B10" s="14" t="s">
        <v>97</v>
      </c>
      <c r="C10" s="14"/>
      <c r="D10" s="11" t="s">
        <v>98</v>
      </c>
      <c r="E10" s="11"/>
    </row>
    <row r="11" customFormat="false" ht="15" hidden="false" customHeight="false" outlineLevel="0" collapsed="false">
      <c r="A11" s="13" t="s">
        <v>99</v>
      </c>
      <c r="B11" s="14"/>
      <c r="C11" s="14"/>
      <c r="D11" s="11"/>
      <c r="E11" s="11"/>
    </row>
    <row r="12" customFormat="false" ht="15" hidden="false" customHeight="false" outlineLevel="0" collapsed="false">
      <c r="A12" s="13" t="s">
        <v>100</v>
      </c>
      <c r="B12" s="14"/>
      <c r="C12" s="14"/>
      <c r="D12" s="11"/>
      <c r="E12" s="11"/>
    </row>
    <row r="13" customFormat="false" ht="15" hidden="false" customHeight="false" outlineLevel="0" collapsed="false">
      <c r="A13" s="13" t="s">
        <v>101</v>
      </c>
      <c r="B13" s="14"/>
      <c r="C13" s="14"/>
      <c r="D13" s="11"/>
      <c r="E13" s="11"/>
    </row>
    <row r="15" customFormat="false" ht="30" hidden="false" customHeight="true" outlineLevel="0" collapsed="false">
      <c r="A15" s="12" t="s">
        <v>89</v>
      </c>
      <c r="B15" s="12" t="s">
        <v>102</v>
      </c>
      <c r="C15" s="12"/>
      <c r="D15" s="12" t="s">
        <v>103</v>
      </c>
      <c r="E15" s="12" t="s">
        <v>104</v>
      </c>
      <c r="F15" s="12" t="s">
        <v>91</v>
      </c>
    </row>
    <row r="16" customFormat="false" ht="15" hidden="false" customHeight="true" outlineLevel="0" collapsed="false">
      <c r="A16" s="13" t="s">
        <v>105</v>
      </c>
      <c r="B16" s="14" t="s">
        <v>106</v>
      </c>
      <c r="C16" s="14"/>
      <c r="D16" s="11" t="s">
        <v>107</v>
      </c>
      <c r="E16" s="11"/>
      <c r="F16" s="11" t="s">
        <v>108</v>
      </c>
    </row>
    <row r="17" customFormat="false" ht="15" hidden="false" customHeight="true" outlineLevel="0" collapsed="false">
      <c r="A17" s="13" t="s">
        <v>109</v>
      </c>
      <c r="B17" s="14" t="s">
        <v>110</v>
      </c>
      <c r="C17" s="14"/>
      <c r="D17" s="11" t="s">
        <v>111</v>
      </c>
      <c r="E17" s="11" t="s">
        <v>112</v>
      </c>
      <c r="F17" s="11" t="s">
        <v>108</v>
      </c>
    </row>
    <row r="18" customFormat="false" ht="15" hidden="false" customHeight="true" outlineLevel="0" collapsed="false">
      <c r="A18" s="13" t="s">
        <v>113</v>
      </c>
      <c r="B18" s="14" t="s">
        <v>114</v>
      </c>
      <c r="C18" s="14"/>
      <c r="D18" s="11" t="s">
        <v>115</v>
      </c>
      <c r="E18" s="11"/>
      <c r="F18" s="11" t="s">
        <v>116</v>
      </c>
    </row>
    <row r="19" customFormat="false" ht="15" hidden="false" customHeight="false" outlineLevel="0" collapsed="false">
      <c r="A19" s="13" t="s">
        <v>117</v>
      </c>
      <c r="B19" s="14"/>
      <c r="C19" s="14"/>
      <c r="D19" s="11"/>
      <c r="E19" s="11"/>
      <c r="F19" s="11"/>
    </row>
    <row r="20" customFormat="false" ht="15" hidden="false" customHeight="false" outlineLevel="0" collapsed="false">
      <c r="A20" s="13" t="s">
        <v>118</v>
      </c>
      <c r="B20" s="14"/>
      <c r="C20" s="14"/>
      <c r="D20" s="11"/>
      <c r="E20" s="11"/>
      <c r="F20" s="11"/>
    </row>
    <row r="22" customFormat="false" ht="30" hidden="false" customHeight="true" outlineLevel="0" collapsed="false">
      <c r="A22" s="12" t="s">
        <v>89</v>
      </c>
      <c r="B22" s="12" t="s">
        <v>119</v>
      </c>
      <c r="C22" s="12"/>
      <c r="D22" s="12" t="s">
        <v>120</v>
      </c>
    </row>
    <row r="23" customFormat="false" ht="15" hidden="false" customHeight="true" outlineLevel="0" collapsed="false">
      <c r="A23" s="13" t="s">
        <v>121</v>
      </c>
      <c r="B23" s="14" t="s">
        <v>122</v>
      </c>
      <c r="C23" s="14"/>
      <c r="D23" s="11" t="s">
        <v>123</v>
      </c>
    </row>
    <row r="24" customFormat="false" ht="15" hidden="false" customHeight="false" outlineLevel="0" collapsed="false">
      <c r="A24" s="13" t="s">
        <v>124</v>
      </c>
      <c r="B24" s="14"/>
      <c r="C24" s="14"/>
      <c r="D24" s="11"/>
    </row>
    <row r="25" customFormat="false" ht="15" hidden="false" customHeight="false" outlineLevel="0" collapsed="false">
      <c r="A25" s="13" t="s">
        <v>125</v>
      </c>
      <c r="B25" s="14"/>
      <c r="C25" s="14"/>
      <c r="D25" s="11"/>
    </row>
    <row r="26" customFormat="false" ht="15" hidden="false" customHeight="false" outlineLevel="0" collapsed="false">
      <c r="A26" s="13" t="s">
        <v>126</v>
      </c>
      <c r="B26" s="14"/>
      <c r="C26" s="14"/>
      <c r="D26" s="11"/>
    </row>
    <row r="27" customFormat="false" ht="15" hidden="false" customHeight="false" outlineLevel="0" collapsed="false">
      <c r="A27" s="13" t="s">
        <v>127</v>
      </c>
      <c r="B27" s="14"/>
      <c r="C27" s="14"/>
      <c r="D27" s="11"/>
    </row>
    <row r="29" customFormat="false" ht="15" hidden="false" customHeight="true" outlineLevel="0" collapsed="false">
      <c r="A29" s="9" t="s">
        <v>128</v>
      </c>
      <c r="B29" s="9"/>
      <c r="C29" s="9"/>
      <c r="D29" s="9"/>
      <c r="E29" s="9"/>
      <c r="F29" s="9"/>
      <c r="G29" s="9"/>
      <c r="H29" s="9"/>
      <c r="I29" s="9"/>
    </row>
    <row r="30" customFormat="false" ht="30" hidden="false" customHeight="true" outlineLevel="0" collapsed="false">
      <c r="A30" s="12" t="s">
        <v>89</v>
      </c>
      <c r="B30" s="12" t="s">
        <v>129</v>
      </c>
      <c r="C30" s="12" t="s">
        <v>130</v>
      </c>
      <c r="D30" s="12" t="s">
        <v>131</v>
      </c>
      <c r="E30" s="12" t="s">
        <v>132</v>
      </c>
      <c r="F30" s="12" t="s">
        <v>133</v>
      </c>
      <c r="G30" s="12" t="s">
        <v>134</v>
      </c>
      <c r="H30" s="12" t="s">
        <v>135</v>
      </c>
      <c r="I30" s="12" t="s">
        <v>136</v>
      </c>
    </row>
    <row r="31" customFormat="false" ht="42" hidden="false" customHeight="true" outlineLevel="0" collapsed="false">
      <c r="A31" s="4" t="s">
        <v>137</v>
      </c>
      <c r="B31" s="5" t="s">
        <v>138</v>
      </c>
      <c r="C31" s="5" t="s">
        <v>139</v>
      </c>
      <c r="D31" s="11" t="s">
        <v>140</v>
      </c>
      <c r="E31" s="11" t="s">
        <v>141</v>
      </c>
      <c r="F31" s="11" t="s">
        <v>142</v>
      </c>
      <c r="G31" s="11" t="s">
        <v>111</v>
      </c>
      <c r="H31" s="11" t="s">
        <v>143</v>
      </c>
      <c r="I31" s="11"/>
    </row>
    <row r="32" customFormat="false" ht="42" hidden="false" customHeight="true" outlineLevel="0" collapsed="false">
      <c r="A32" s="4" t="s">
        <v>144</v>
      </c>
      <c r="B32" s="5" t="s">
        <v>138</v>
      </c>
      <c r="C32" s="5" t="s">
        <v>145</v>
      </c>
      <c r="D32" s="11"/>
      <c r="E32" s="11"/>
      <c r="F32" s="11"/>
      <c r="G32" s="11"/>
      <c r="H32" s="11"/>
      <c r="I32" s="11"/>
    </row>
    <row r="33" customFormat="false" ht="42" hidden="false" customHeight="true" outlineLevel="0" collapsed="false">
      <c r="A33" s="4" t="s">
        <v>146</v>
      </c>
      <c r="B33" s="5" t="s">
        <v>147</v>
      </c>
      <c r="C33" s="5" t="s">
        <v>148</v>
      </c>
      <c r="D33" s="11" t="s">
        <v>149</v>
      </c>
      <c r="E33" s="11"/>
      <c r="F33" s="11" t="s">
        <v>150</v>
      </c>
      <c r="G33" s="11" t="s">
        <v>151</v>
      </c>
      <c r="H33" s="11" t="s">
        <v>152</v>
      </c>
      <c r="I33" s="11"/>
    </row>
    <row r="34" customFormat="false" ht="42" hidden="false" customHeight="true" outlineLevel="0" collapsed="false">
      <c r="A34" s="4" t="s">
        <v>153</v>
      </c>
      <c r="B34" s="5" t="s">
        <v>154</v>
      </c>
      <c r="C34" s="5" t="s">
        <v>155</v>
      </c>
      <c r="D34" s="11"/>
      <c r="E34" s="11"/>
      <c r="F34" s="11"/>
      <c r="G34" s="11"/>
      <c r="H34" s="11"/>
      <c r="I34" s="11"/>
    </row>
    <row r="35" customFormat="false" ht="42" hidden="false" customHeight="true" outlineLevel="0" collapsed="false">
      <c r="A35" s="4" t="s">
        <v>156</v>
      </c>
      <c r="B35" s="5" t="s">
        <v>157</v>
      </c>
      <c r="C35" s="5" t="s">
        <v>158</v>
      </c>
      <c r="D35" s="11" t="s">
        <v>159</v>
      </c>
      <c r="E35" s="11"/>
      <c r="F35" s="11" t="s">
        <v>160</v>
      </c>
      <c r="G35" s="11" t="s">
        <v>161</v>
      </c>
      <c r="H35" s="11" t="s">
        <v>143</v>
      </c>
      <c r="I35" s="11"/>
    </row>
    <row r="36" customFormat="false" ht="42" hidden="false" customHeight="true" outlineLevel="0" collapsed="false">
      <c r="A36" s="4" t="s">
        <v>162</v>
      </c>
      <c r="B36" s="5" t="s">
        <v>163</v>
      </c>
      <c r="C36" s="5" t="s">
        <v>164</v>
      </c>
      <c r="D36" s="11"/>
      <c r="E36" s="11"/>
      <c r="F36" s="11"/>
      <c r="G36" s="11"/>
      <c r="H36" s="11"/>
      <c r="I36" s="11"/>
    </row>
    <row r="37" customFormat="false" ht="42" hidden="false" customHeight="true" outlineLevel="0" collapsed="false">
      <c r="A37" s="4" t="s">
        <v>165</v>
      </c>
      <c r="B37" s="5" t="s">
        <v>166</v>
      </c>
      <c r="C37" s="5" t="s">
        <v>167</v>
      </c>
      <c r="D37" s="11"/>
      <c r="E37" s="11"/>
      <c r="F37" s="11"/>
      <c r="G37" s="11"/>
      <c r="H37" s="11"/>
      <c r="I37" s="11"/>
    </row>
    <row r="38" customFormat="false" ht="42" hidden="false" customHeight="true" outlineLevel="0" collapsed="false">
      <c r="A38" s="4" t="s">
        <v>168</v>
      </c>
      <c r="B38" s="5" t="s">
        <v>169</v>
      </c>
      <c r="C38" s="5" t="s">
        <v>170</v>
      </c>
      <c r="D38" s="11"/>
      <c r="E38" s="11"/>
      <c r="F38" s="11"/>
      <c r="G38" s="11"/>
      <c r="H38" s="11"/>
      <c r="I38" s="11"/>
    </row>
    <row r="39" customFormat="false" ht="42" hidden="false" customHeight="true" outlineLevel="0" collapsed="false">
      <c r="A39" s="4" t="s">
        <v>171</v>
      </c>
      <c r="B39" s="5" t="s">
        <v>172</v>
      </c>
      <c r="C39" s="5" t="s">
        <v>173</v>
      </c>
      <c r="D39" s="11"/>
      <c r="E39" s="11"/>
      <c r="F39" s="11"/>
      <c r="G39" s="11"/>
      <c r="H39" s="11"/>
      <c r="I39" s="11"/>
    </row>
    <row r="41" customFormat="false" ht="15" hidden="false" customHeight="true" outlineLevel="0" collapsed="false">
      <c r="A41" s="9" t="s">
        <v>174</v>
      </c>
      <c r="B41" s="9"/>
      <c r="C41" s="9"/>
      <c r="D41" s="9"/>
      <c r="E41" s="9"/>
      <c r="F41" s="9"/>
      <c r="G41" s="9"/>
      <c r="H41" s="9"/>
      <c r="I41" s="9"/>
    </row>
    <row r="42" customFormat="false" ht="30" hidden="false" customHeight="true" outlineLevel="0" collapsed="false">
      <c r="A42" s="12" t="s">
        <v>89</v>
      </c>
      <c r="B42" s="12" t="s">
        <v>129</v>
      </c>
      <c r="C42" s="12" t="s">
        <v>130</v>
      </c>
      <c r="D42" s="12" t="s">
        <v>131</v>
      </c>
      <c r="E42" s="12" t="s">
        <v>132</v>
      </c>
      <c r="F42" s="12" t="s">
        <v>133</v>
      </c>
      <c r="G42" s="12" t="s">
        <v>134</v>
      </c>
      <c r="H42" s="12" t="s">
        <v>135</v>
      </c>
      <c r="I42" s="12" t="s">
        <v>136</v>
      </c>
    </row>
    <row r="43" customFormat="false" ht="30" hidden="false" customHeight="true" outlineLevel="0" collapsed="false">
      <c r="A43" s="4" t="s">
        <v>175</v>
      </c>
      <c r="B43" s="11" t="s">
        <v>154</v>
      </c>
      <c r="C43" s="11" t="s">
        <v>176</v>
      </c>
      <c r="D43" s="11" t="s">
        <v>177</v>
      </c>
      <c r="E43" s="11"/>
      <c r="F43" s="11"/>
      <c r="G43" s="11"/>
      <c r="H43" s="11" t="s">
        <v>143</v>
      </c>
      <c r="I43" s="11"/>
    </row>
    <row r="44" customFormat="false" ht="30" hidden="false" customHeight="true" outlineLevel="0" collapsed="false">
      <c r="A44" s="4" t="s">
        <v>178</v>
      </c>
      <c r="B44" s="11"/>
      <c r="C44" s="11"/>
      <c r="D44" s="11"/>
      <c r="E44" s="11"/>
      <c r="F44" s="11"/>
      <c r="G44" s="11"/>
      <c r="H44" s="11"/>
      <c r="I44" s="11"/>
    </row>
    <row r="45" customFormat="false" ht="30" hidden="false" customHeight="true" outlineLevel="0" collapsed="false">
      <c r="A45" s="4" t="s">
        <v>179</v>
      </c>
      <c r="B45" s="11"/>
      <c r="C45" s="11"/>
      <c r="D45" s="11"/>
      <c r="E45" s="11"/>
      <c r="F45" s="11"/>
      <c r="G45" s="11"/>
      <c r="H45" s="11"/>
      <c r="I45" s="11"/>
    </row>
    <row r="46" customFormat="false" ht="30" hidden="false" customHeight="true" outlineLevel="0" collapsed="false">
      <c r="A46" s="4" t="s">
        <v>180</v>
      </c>
      <c r="B46" s="11"/>
      <c r="C46" s="11"/>
      <c r="D46" s="11"/>
      <c r="E46" s="11"/>
      <c r="F46" s="11"/>
      <c r="G46" s="11"/>
      <c r="H46" s="11"/>
      <c r="I46" s="11"/>
    </row>
    <row r="47" customFormat="false" ht="30" hidden="false" customHeight="true" outlineLevel="0" collapsed="false">
      <c r="A47" s="4" t="s">
        <v>181</v>
      </c>
      <c r="B47" s="11"/>
      <c r="C47" s="11"/>
      <c r="D47" s="11"/>
      <c r="E47" s="11"/>
      <c r="F47" s="11"/>
      <c r="G47" s="11"/>
      <c r="H47" s="11"/>
      <c r="I47" s="11"/>
    </row>
    <row r="48" customFormat="false" ht="30" hidden="false" customHeight="true" outlineLevel="0" collapsed="false">
      <c r="A48" s="4" t="s">
        <v>182</v>
      </c>
      <c r="B48" s="11"/>
      <c r="C48" s="11"/>
      <c r="D48" s="11"/>
      <c r="E48" s="11"/>
      <c r="F48" s="11"/>
      <c r="G48" s="11"/>
      <c r="H48" s="11"/>
      <c r="I48" s="11"/>
    </row>
    <row r="49" customFormat="false" ht="30" hidden="false" customHeight="true" outlineLevel="0" collapsed="false">
      <c r="A49" s="4" t="s">
        <v>183</v>
      </c>
      <c r="B49" s="11"/>
      <c r="C49" s="11"/>
      <c r="D49" s="11"/>
      <c r="E49" s="11"/>
      <c r="F49" s="11"/>
      <c r="G49" s="11"/>
      <c r="H49" s="11"/>
      <c r="I49" s="11"/>
    </row>
    <row r="50" customFormat="false" ht="30" hidden="false" customHeight="true" outlineLevel="0" collapsed="false">
      <c r="A50" s="4" t="s">
        <v>184</v>
      </c>
      <c r="B50" s="11"/>
      <c r="C50" s="11"/>
      <c r="D50" s="11"/>
      <c r="E50" s="11"/>
      <c r="F50" s="11"/>
      <c r="G50" s="11"/>
      <c r="H50" s="11"/>
      <c r="I50" s="11"/>
    </row>
    <row r="52" customFormat="false" ht="15" hidden="false" customHeight="true" outlineLevel="0" collapsed="false">
      <c r="A52" s="9" t="s">
        <v>185</v>
      </c>
      <c r="B52" s="9"/>
      <c r="C52" s="9"/>
      <c r="D52" s="9"/>
      <c r="E52" s="9"/>
      <c r="F52" s="9"/>
      <c r="G52" s="9"/>
      <c r="H52" s="9"/>
      <c r="I52" s="9"/>
    </row>
    <row r="53" customFormat="false" ht="30" hidden="false" customHeight="true" outlineLevel="0" collapsed="false">
      <c r="A53" s="12" t="s">
        <v>89</v>
      </c>
      <c r="B53" s="12" t="s">
        <v>186</v>
      </c>
      <c r="C53" s="12"/>
      <c r="D53" s="12" t="s">
        <v>187</v>
      </c>
      <c r="E53" s="12" t="s">
        <v>188</v>
      </c>
      <c r="F53" s="12"/>
      <c r="G53" s="12"/>
      <c r="H53" s="12"/>
      <c r="I53" s="12"/>
    </row>
    <row r="54" customFormat="false" ht="15" hidden="false" customHeight="true" outlineLevel="0" collapsed="false">
      <c r="A54" s="4" t="s">
        <v>189</v>
      </c>
      <c r="B54" s="14" t="s">
        <v>190</v>
      </c>
      <c r="C54" s="14"/>
      <c r="D54" s="11" t="s">
        <v>156</v>
      </c>
      <c r="E54" s="14" t="s">
        <v>191</v>
      </c>
      <c r="F54" s="14"/>
      <c r="G54" s="14"/>
      <c r="H54" s="14"/>
      <c r="I54" s="14"/>
    </row>
    <row r="55" customFormat="false" ht="15" hidden="false" customHeight="true" outlineLevel="0" collapsed="false">
      <c r="A55" s="4" t="s">
        <v>192</v>
      </c>
      <c r="B55" s="14" t="s">
        <v>193</v>
      </c>
      <c r="C55" s="14"/>
      <c r="D55" s="11" t="s">
        <v>146</v>
      </c>
      <c r="E55" s="14" t="s">
        <v>194</v>
      </c>
      <c r="F55" s="14"/>
      <c r="G55" s="14"/>
      <c r="H55" s="14"/>
      <c r="I55" s="14"/>
    </row>
    <row r="56" customFormat="false" ht="15" hidden="false" customHeight="false" outlineLevel="0" collapsed="false">
      <c r="A56" s="4" t="s">
        <v>195</v>
      </c>
      <c r="B56" s="14"/>
      <c r="C56" s="14"/>
      <c r="D56" s="11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4" t="s">
        <v>196</v>
      </c>
      <c r="B57" s="14"/>
      <c r="C57" s="14"/>
      <c r="D57" s="11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4" t="s">
        <v>197</v>
      </c>
      <c r="B58" s="14"/>
      <c r="C58" s="14"/>
      <c r="D58" s="11"/>
      <c r="E58" s="14"/>
      <c r="F58" s="14"/>
      <c r="G58" s="14"/>
      <c r="H58" s="14"/>
      <c r="I58" s="14"/>
    </row>
    <row r="60" customFormat="false" ht="23.85" hidden="false" customHeight="true" outlineLevel="0" collapsed="false">
      <c r="A60" s="9" t="s">
        <v>198</v>
      </c>
      <c r="B60" s="9"/>
      <c r="C60" s="15" t="str">
        <f aca="false">COUNTA(D31:D39)&amp;" of 9 required questions answered; "&amp;COUNTA(C43:C50)&amp;" of the team's own questions recorded"</f>
        <v>3 of 9 required questions answered; 1 of the team's own questions recorded</v>
      </c>
      <c r="D60" s="16" t="str">
        <f aca="false">IF(COUNTA(D31:D39)=9,"Complete",IF(COUNTA(D31:D39)&gt;=6,"Nearly there","Keep going"))</f>
        <v>Keep going</v>
      </c>
    </row>
    <row r="61" customFormat="false" ht="15" hidden="false" customHeight="true" outlineLevel="0" collapsed="false">
      <c r="A61" s="10" t="s">
        <v>199</v>
      </c>
      <c r="B61" s="10"/>
      <c r="C61" s="10"/>
      <c r="D61" s="10"/>
      <c r="E61" s="10"/>
      <c r="F61" s="10"/>
      <c r="G61" s="10"/>
      <c r="H61" s="10"/>
      <c r="I61" s="10"/>
    </row>
  </sheetData>
  <mergeCells count="38">
    <mergeCell ref="A5:I5"/>
    <mergeCell ref="A6:B6"/>
    <mergeCell ref="C6:I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A29:I29"/>
    <mergeCell ref="A41:I41"/>
    <mergeCell ref="A52:I52"/>
    <mergeCell ref="B53:C53"/>
    <mergeCell ref="E53:I53"/>
    <mergeCell ref="B54:C54"/>
    <mergeCell ref="E54:I54"/>
    <mergeCell ref="B55:C55"/>
    <mergeCell ref="E55:I55"/>
    <mergeCell ref="B56:C56"/>
    <mergeCell ref="E56:I56"/>
    <mergeCell ref="B57:C57"/>
    <mergeCell ref="E57:I57"/>
    <mergeCell ref="B58:C58"/>
    <mergeCell ref="E58:I58"/>
    <mergeCell ref="A60:B60"/>
    <mergeCell ref="A61:I61"/>
  </mergeCells>
  <conditionalFormatting sqref="D60">
    <cfRule type="expression" priority="2" aboveAverage="0" equalAverage="0" bottom="0" percent="0" rank="0" text="" dxfId="0">
      <formula>D60="Complete"</formula>
    </cfRule>
    <cfRule type="expression" priority="3" aboveAverage="0" equalAverage="0" bottom="0" percent="0" rank="0" text="" dxfId="1">
      <formula>D60="Nearly there"</formula>
    </cfRule>
    <cfRule type="expression" priority="4" aboveAverage="0" equalAverage="0" bottom="0" percent="0" rank="0" text="" dxfId="2">
      <formula>D60="Keep going"</formula>
    </cfRule>
  </conditionalFormatting>
  <dataValidations count="9">
    <dataValidation allowBlank="true" errorStyle="stop" operator="between" showDropDown="false" showErrorMessage="false" showInputMessage="false" sqref="E16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7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8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9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20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G31:G39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G43:G50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H31:H39" type="list">
      <formula1>"Stated,Implied,Our interpretation,Not asked yet"</formula1>
      <formula2>0</formula2>
    </dataValidation>
    <dataValidation allowBlank="true" errorStyle="stop" operator="between" showDropDown="false" showErrorMessage="false" showInputMessage="false" sqref="H43:H50" type="list">
      <formula1>"Stated,Implied,Our interpretation,Not asked yet"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8" min="6" style="0" width="14"/>
  </cols>
  <sheetData>
    <row r="1" customFormat="false" ht="19.7" hidden="false" customHeight="false" outlineLevel="0" collapsed="false">
      <c r="A1" s="7" t="s">
        <v>200</v>
      </c>
    </row>
    <row r="2" customFormat="false" ht="15" hidden="false" customHeight="false" outlineLevel="0" collapsed="false">
      <c r="A2" s="3" t="s">
        <v>201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202</v>
      </c>
    </row>
    <row r="6" customFormat="false" ht="15" hidden="false" customHeight="true" outlineLevel="0" collapsed="false">
      <c r="A6" s="5" t="s">
        <v>203</v>
      </c>
      <c r="B6" s="11" t="s">
        <v>204</v>
      </c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5" t="s">
        <v>205</v>
      </c>
      <c r="B7" s="11"/>
      <c r="C7" s="11"/>
      <c r="D7" s="11"/>
      <c r="E7" s="11"/>
      <c r="F7" s="11"/>
      <c r="G7" s="11"/>
      <c r="H7" s="11"/>
    </row>
    <row r="8" customFormat="false" ht="15" hidden="false" customHeight="true" outlineLevel="0" collapsed="false">
      <c r="A8" s="5" t="s">
        <v>206</v>
      </c>
      <c r="B8" s="11" t="s">
        <v>207</v>
      </c>
      <c r="C8" s="11"/>
      <c r="D8" s="11"/>
      <c r="E8" s="11"/>
      <c r="F8" s="11"/>
      <c r="G8" s="11"/>
      <c r="H8" s="11"/>
    </row>
    <row r="9" customFormat="false" ht="15" hidden="false" customHeight="true" outlineLevel="0" collapsed="false">
      <c r="A9" s="5" t="s">
        <v>208</v>
      </c>
      <c r="B9" s="11" t="s">
        <v>209</v>
      </c>
      <c r="C9" s="11"/>
      <c r="D9" s="11"/>
      <c r="E9" s="11"/>
      <c r="F9" s="11"/>
      <c r="G9" s="11"/>
      <c r="H9" s="11"/>
    </row>
    <row r="10" customFormat="false" ht="15" hidden="false" customHeight="true" outlineLevel="0" collapsed="false">
      <c r="A10" s="5" t="s">
        <v>210</v>
      </c>
      <c r="B10" s="11" t="s">
        <v>211</v>
      </c>
      <c r="C10" s="11"/>
      <c r="D10" s="11"/>
      <c r="E10" s="11"/>
      <c r="F10" s="11"/>
      <c r="G10" s="11"/>
      <c r="H10" s="11"/>
    </row>
    <row r="11" customFormat="false" ht="15" hidden="false" customHeight="true" outlineLevel="0" collapsed="false">
      <c r="A11" s="5" t="s">
        <v>212</v>
      </c>
      <c r="B11" s="11" t="s">
        <v>213</v>
      </c>
      <c r="C11" s="11"/>
      <c r="D11" s="11"/>
      <c r="E11" s="11"/>
      <c r="F11" s="11"/>
      <c r="G11" s="11"/>
      <c r="H11" s="11"/>
    </row>
    <row r="13" customFormat="false" ht="15" hidden="false" customHeight="false" outlineLevel="0" collapsed="false">
      <c r="A13" s="17" t="s">
        <v>214</v>
      </c>
    </row>
    <row r="14" customFormat="false" ht="30" hidden="false" customHeight="true" outlineLevel="0" collapsed="false">
      <c r="A14" s="12" t="s">
        <v>215</v>
      </c>
      <c r="B14" s="12" t="s">
        <v>216</v>
      </c>
      <c r="C14" s="12" t="s">
        <v>217</v>
      </c>
      <c r="D14" s="12" t="s">
        <v>218</v>
      </c>
      <c r="E14" s="12" t="s">
        <v>219</v>
      </c>
      <c r="F14" s="12" t="s">
        <v>220</v>
      </c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1" customFormat="false" ht="15" hidden="false" customHeight="false" outlineLevel="0" collapsed="false">
      <c r="A21" s="17" t="s">
        <v>221</v>
      </c>
    </row>
    <row r="22" customFormat="false" ht="15" hidden="false" customHeight="false" outlineLevel="0" collapsed="false">
      <c r="A22" s="5" t="s">
        <v>222</v>
      </c>
      <c r="B22" s="18"/>
    </row>
    <row r="23" customFormat="false" ht="15" hidden="false" customHeight="false" outlineLevel="0" collapsed="false">
      <c r="A23" s="5" t="s">
        <v>223</v>
      </c>
      <c r="B23" s="18"/>
    </row>
    <row r="24" customFormat="false" ht="15" hidden="false" customHeight="false" outlineLevel="0" collapsed="false">
      <c r="A24" s="5" t="s">
        <v>224</v>
      </c>
      <c r="B24" s="19"/>
    </row>
    <row r="25" customFormat="false" ht="15" hidden="false" customHeight="false" outlineLevel="0" collapsed="false">
      <c r="A25" s="20" t="s">
        <v>225</v>
      </c>
      <c r="B25" s="21" t="str">
        <f aca="false">IFERROR((B23/B22)^(1/B24)-1,"")</f>
        <v/>
      </c>
    </row>
    <row r="27" customFormat="false" ht="30" hidden="false" customHeight="true" outlineLevel="0" collapsed="false">
      <c r="A27" s="12" t="s">
        <v>226</v>
      </c>
      <c r="B27" s="12" t="s">
        <v>225</v>
      </c>
      <c r="C27" s="12" t="s">
        <v>227</v>
      </c>
      <c r="D27" s="12" t="s">
        <v>228</v>
      </c>
    </row>
    <row r="28" customFormat="false" ht="15" hidden="false" customHeight="false" outlineLevel="0" collapsed="false">
      <c r="A28" s="11"/>
      <c r="B28" s="22"/>
      <c r="C28" s="19"/>
      <c r="D28" s="11"/>
    </row>
    <row r="29" customFormat="false" ht="15" hidden="false" customHeight="false" outlineLevel="0" collapsed="false">
      <c r="A29" s="11"/>
      <c r="B29" s="22"/>
      <c r="C29" s="19"/>
      <c r="D29" s="11"/>
    </row>
    <row r="30" customFormat="false" ht="15" hidden="false" customHeight="false" outlineLevel="0" collapsed="false">
      <c r="A30" s="11"/>
      <c r="B30" s="22"/>
      <c r="C30" s="19"/>
      <c r="D30" s="11"/>
    </row>
    <row r="31" customFormat="false" ht="15" hidden="false" customHeight="false" outlineLevel="0" collapsed="false">
      <c r="A31" s="11"/>
      <c r="B31" s="22"/>
      <c r="C31" s="19"/>
      <c r="D31" s="11"/>
    </row>
    <row r="33" customFormat="false" ht="15" hidden="false" customHeight="false" outlineLevel="0" collapsed="false">
      <c r="A33" s="17" t="s">
        <v>229</v>
      </c>
    </row>
    <row r="34" customFormat="false" ht="30" hidden="false" customHeight="true" outlineLevel="0" collapsed="false">
      <c r="A34" s="12" t="s">
        <v>230</v>
      </c>
      <c r="B34" s="12" t="s">
        <v>231</v>
      </c>
      <c r="C34" s="12" t="s">
        <v>232</v>
      </c>
      <c r="D34" s="12" t="s">
        <v>233</v>
      </c>
    </row>
    <row r="35" customFormat="false" ht="15" hidden="false" customHeight="false" outlineLevel="0" collapsed="false">
      <c r="A35" s="11"/>
      <c r="B35" s="11"/>
      <c r="C35" s="11"/>
      <c r="D35" s="11"/>
    </row>
    <row r="36" customFormat="false" ht="15" hidden="false" customHeight="false" outlineLevel="0" collapsed="false">
      <c r="A36" s="11"/>
      <c r="B36" s="11"/>
      <c r="C36" s="11"/>
      <c r="D36" s="11"/>
    </row>
    <row r="37" customFormat="false" ht="15" hidden="false" customHeight="false" outlineLevel="0" collapsed="false">
      <c r="A37" s="11"/>
      <c r="B37" s="11"/>
      <c r="C37" s="11"/>
      <c r="D37" s="11"/>
    </row>
    <row r="38" customFormat="false" ht="15" hidden="false" customHeight="false" outlineLevel="0" collapsed="false">
      <c r="A38" s="11"/>
      <c r="B38" s="11"/>
      <c r="C38" s="11"/>
      <c r="D38" s="11"/>
    </row>
    <row r="39" customFormat="false" ht="15" hidden="false" customHeight="false" outlineLevel="0" collapsed="false">
      <c r="A39" s="11"/>
      <c r="B39" s="11"/>
      <c r="C39" s="11"/>
      <c r="D39" s="11"/>
    </row>
    <row r="41" customFormat="false" ht="15" hidden="false" customHeight="false" outlineLevel="0" collapsed="false">
      <c r="A41" s="17" t="s">
        <v>234</v>
      </c>
    </row>
    <row r="42" customFormat="false" ht="30" hidden="false" customHeight="true" outlineLevel="0" collapsed="false">
      <c r="A42" s="12" t="s">
        <v>235</v>
      </c>
      <c r="B42" s="12" t="s">
        <v>236</v>
      </c>
    </row>
    <row r="43" customFormat="false" ht="15" hidden="false" customHeight="false" outlineLevel="0" collapsed="false">
      <c r="A43" s="11"/>
      <c r="B43" s="22"/>
      <c r="D43" s="20" t="s">
        <v>237</v>
      </c>
      <c r="E43" s="21" t="str">
        <f aca="false">IF(COUNT(B43:B50)&lt;4,"",LARGE(B43:B50,1)+LARGE(B43:B50,2)+LARGE(B43:B50,3)+LARGE(B43:B50,4))</f>
        <v/>
      </c>
    </row>
    <row r="44" customFormat="false" ht="15" hidden="false" customHeight="false" outlineLevel="0" collapsed="false">
      <c r="A44" s="11"/>
      <c r="B44" s="22"/>
      <c r="D44" s="20" t="s">
        <v>238</v>
      </c>
      <c r="E44" s="23" t="str">
        <f aca="false">IF(COUNT(B43:B50)=0,"",SUMPRODUCT(B43:B50*100,B43:B50*100))</f>
        <v/>
      </c>
    </row>
    <row r="45" customFormat="false" ht="35.05" hidden="false" customHeight="false" outlineLevel="0" collapsed="false">
      <c r="A45" s="11"/>
      <c r="B45" s="22"/>
      <c r="D45" s="5" t="s">
        <v>239</v>
      </c>
    </row>
    <row r="46" customFormat="false" ht="15" hidden="false" customHeight="false" outlineLevel="0" collapsed="false">
      <c r="A46" s="11"/>
      <c r="B46" s="22"/>
    </row>
    <row r="47" customFormat="false" ht="15" hidden="false" customHeight="false" outlineLevel="0" collapsed="false">
      <c r="A47" s="11"/>
      <c r="B47" s="22"/>
    </row>
    <row r="48" customFormat="false" ht="15" hidden="false" customHeight="false" outlineLevel="0" collapsed="false">
      <c r="A48" s="11"/>
      <c r="B48" s="22"/>
    </row>
    <row r="49" customFormat="false" ht="15" hidden="false" customHeight="false" outlineLevel="0" collapsed="false">
      <c r="A49" s="11"/>
      <c r="B49" s="22"/>
    </row>
    <row r="50" customFormat="false" ht="15" hidden="false" customHeight="false" outlineLevel="0" collapsed="false">
      <c r="A50" s="11"/>
      <c r="B50" s="22"/>
    </row>
    <row r="52" customFormat="false" ht="15" hidden="false" customHeight="false" outlineLevel="0" collapsed="false">
      <c r="A52" s="17" t="s">
        <v>240</v>
      </c>
    </row>
    <row r="53" customFormat="false" ht="30" hidden="false" customHeight="true" outlineLevel="0" collapsed="false">
      <c r="A53" s="12" t="s">
        <v>217</v>
      </c>
      <c r="B53" s="12" t="s">
        <v>241</v>
      </c>
      <c r="C53" s="12" t="s">
        <v>242</v>
      </c>
    </row>
    <row r="54" customFormat="false" ht="15" hidden="false" customHeight="false" outlineLevel="0" collapsed="false">
      <c r="A54" s="19"/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19"/>
      <c r="B55" s="11"/>
      <c r="C55" s="11"/>
      <c r="D55" s="11"/>
      <c r="E55" s="11"/>
      <c r="F55" s="11"/>
      <c r="G55" s="11"/>
      <c r="H55" s="11"/>
    </row>
    <row r="56" customFormat="false" ht="15" hidden="false" customHeight="false" outlineLevel="0" collapsed="false">
      <c r="A56" s="19"/>
      <c r="B56" s="11"/>
      <c r="C56" s="11"/>
      <c r="D56" s="11"/>
      <c r="E56" s="11"/>
      <c r="F56" s="11"/>
      <c r="G56" s="11"/>
      <c r="H56" s="11"/>
    </row>
    <row r="57" customFormat="false" ht="15" hidden="false" customHeight="false" outlineLevel="0" collapsed="false">
      <c r="A57" s="19"/>
      <c r="B57" s="11"/>
      <c r="C57" s="11"/>
      <c r="D57" s="11"/>
      <c r="E57" s="11"/>
      <c r="F57" s="11"/>
      <c r="G57" s="11"/>
      <c r="H57" s="11"/>
    </row>
    <row r="58" customFormat="false" ht="15" hidden="false" customHeight="false" outlineLevel="0" collapsed="false">
      <c r="A58" s="19"/>
      <c r="B58" s="11"/>
      <c r="C58" s="11"/>
      <c r="D58" s="11"/>
      <c r="E58" s="11"/>
      <c r="F58" s="11"/>
      <c r="G58" s="11"/>
      <c r="H58" s="11"/>
    </row>
    <row r="59" customFormat="false" ht="15" hidden="false" customHeight="false" outlineLevel="0" collapsed="false">
      <c r="A59" s="19"/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19"/>
      <c r="B60" s="11"/>
      <c r="C60" s="11"/>
      <c r="D60" s="11"/>
      <c r="E60" s="11"/>
      <c r="F60" s="11"/>
      <c r="G60" s="11"/>
      <c r="H60" s="11"/>
    </row>
    <row r="61" customFormat="false" ht="15" hidden="false" customHeight="false" outlineLevel="0" collapsed="false">
      <c r="A61" s="19"/>
      <c r="B61" s="11"/>
      <c r="C61" s="11"/>
      <c r="D61" s="11"/>
      <c r="E61" s="11"/>
      <c r="F61" s="11"/>
      <c r="G61" s="11"/>
      <c r="H61" s="11"/>
    </row>
    <row r="63" customFormat="false" ht="15" hidden="false" customHeight="false" outlineLevel="0" collapsed="false">
      <c r="A63" s="17" t="s">
        <v>243</v>
      </c>
    </row>
    <row r="64" customFormat="false" ht="15" hidden="false" customHeight="false" outlineLevel="0" collapsed="false">
      <c r="A64" s="5" t="s">
        <v>244</v>
      </c>
      <c r="B64" s="11"/>
      <c r="C64" s="5" t="s">
        <v>245</v>
      </c>
      <c r="D64" s="11"/>
      <c r="E64" s="11"/>
      <c r="F64" s="11"/>
      <c r="G64" s="11"/>
      <c r="H64" s="11"/>
    </row>
  </sheetData>
  <mergeCells count="15">
    <mergeCell ref="B6:H6"/>
    <mergeCell ref="B7:H7"/>
    <mergeCell ref="B8:H8"/>
    <mergeCell ref="B9:H9"/>
    <mergeCell ref="B10:H10"/>
    <mergeCell ref="B11:H11"/>
    <mergeCell ref="C54:H54"/>
    <mergeCell ref="C55:H55"/>
    <mergeCell ref="C56:H56"/>
    <mergeCell ref="C57:H57"/>
    <mergeCell ref="C58:H58"/>
    <mergeCell ref="C59:H59"/>
    <mergeCell ref="C60:H60"/>
    <mergeCell ref="C61:H61"/>
    <mergeCell ref="D64:H64"/>
  </mergeCells>
  <dataValidations count="2">
    <dataValidation allowBlank="true" errorStyle="stop" operator="between" showDropDown="false" showErrorMessage="false" showInputMessage="false" sqref="F15:F19" type="list">
      <formula1>"Yes,No"</formula1>
      <formula2>0</formula2>
    </dataValidation>
    <dataValidation allowBlank="true" errorStyle="stop" operator="between" showDropDown="false" showErrorMessage="false" showInputMessage="false" sqref="B64" type="list">
      <formula1>"emerging,growth,shakeout,mature,declining"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11"/>
    <col collapsed="false" customWidth="true" hidden="false" outlineLevel="0" max="11" min="8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7" t="s">
        <v>12</v>
      </c>
    </row>
    <row r="2" customFormat="false" ht="15" hidden="false" customHeight="false" outlineLevel="0" collapsed="false">
      <c r="A2" s="3" t="s">
        <v>246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247</v>
      </c>
    </row>
    <row r="6" customFormat="false" ht="30" hidden="false" customHeight="true" outlineLevel="0" collapsed="false">
      <c r="A6" s="12" t="s">
        <v>235</v>
      </c>
      <c r="B6" s="12" t="s">
        <v>248</v>
      </c>
      <c r="C6" s="12" t="s">
        <v>249</v>
      </c>
      <c r="D6" s="12" t="s">
        <v>250</v>
      </c>
      <c r="E6" s="12" t="s">
        <v>251</v>
      </c>
      <c r="F6" s="12" t="s">
        <v>252</v>
      </c>
      <c r="G6" s="12" t="s">
        <v>253</v>
      </c>
      <c r="H6" s="12" t="s">
        <v>254</v>
      </c>
      <c r="I6" s="12" t="s">
        <v>255</v>
      </c>
      <c r="J6" s="12" t="s">
        <v>256</v>
      </c>
      <c r="K6" s="12" t="s">
        <v>257</v>
      </c>
      <c r="L6" s="12" t="s">
        <v>258</v>
      </c>
    </row>
    <row r="7" customFormat="false" ht="15" hidden="false" customHeight="false" outlineLevel="0" collapsed="false">
      <c r="A7" s="11" t="s">
        <v>213</v>
      </c>
      <c r="B7" s="11"/>
      <c r="C7" s="11"/>
      <c r="D7" s="24"/>
      <c r="E7" s="22"/>
      <c r="F7" s="22"/>
      <c r="G7" s="22"/>
      <c r="H7" s="11"/>
      <c r="I7" s="11"/>
      <c r="J7" s="11"/>
      <c r="K7" s="11"/>
      <c r="L7" s="11"/>
    </row>
    <row r="8" customFormat="false" ht="15" hidden="false" customHeight="false" outlineLevel="0" collapsed="false">
      <c r="A8" s="11" t="s">
        <v>259</v>
      </c>
      <c r="B8" s="11"/>
      <c r="C8" s="11"/>
      <c r="D8" s="24"/>
      <c r="E8" s="22"/>
      <c r="F8" s="22"/>
      <c r="G8" s="22"/>
      <c r="H8" s="11"/>
      <c r="I8" s="11"/>
      <c r="J8" s="11"/>
      <c r="K8" s="11"/>
      <c r="L8" s="11"/>
    </row>
    <row r="9" customFormat="false" ht="15" hidden="false" customHeight="false" outlineLevel="0" collapsed="false">
      <c r="A9" s="11" t="s">
        <v>260</v>
      </c>
      <c r="B9" s="11"/>
      <c r="C9" s="11"/>
      <c r="D9" s="24"/>
      <c r="E9" s="22"/>
      <c r="F9" s="22"/>
      <c r="G9" s="22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 t="s">
        <v>261</v>
      </c>
      <c r="B10" s="11"/>
      <c r="C10" s="11"/>
      <c r="D10" s="24"/>
      <c r="E10" s="22"/>
      <c r="F10" s="22"/>
      <c r="G10" s="22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 t="s">
        <v>262</v>
      </c>
      <c r="B11" s="11"/>
      <c r="C11" s="11"/>
      <c r="D11" s="24"/>
      <c r="E11" s="22"/>
      <c r="F11" s="22"/>
      <c r="G11" s="22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 t="s">
        <v>263</v>
      </c>
      <c r="B12" s="11"/>
      <c r="C12" s="11"/>
      <c r="D12" s="24"/>
      <c r="E12" s="22"/>
      <c r="F12" s="22"/>
      <c r="G12" s="22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24"/>
      <c r="E13" s="22"/>
      <c r="F13" s="22"/>
      <c r="G13" s="22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24"/>
      <c r="E14" s="22"/>
      <c r="F14" s="22"/>
      <c r="G14" s="22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24"/>
      <c r="E15" s="22"/>
      <c r="F15" s="22"/>
      <c r="G15" s="22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24"/>
      <c r="E16" s="22"/>
      <c r="F16" s="22"/>
      <c r="G16" s="22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20" t="s">
        <v>264</v>
      </c>
      <c r="D17" s="23" t="str">
        <f aca="false">IF(COUNT(D7:D16)=0,"",MEDIAN(D7:D16))</f>
        <v/>
      </c>
      <c r="E17" s="21" t="str">
        <f aca="false">IF(COUNT(E7:E16)=0,"",MEDIAN(E7:E16))</f>
        <v/>
      </c>
      <c r="F17" s="21" t="str">
        <f aca="false">IF(COUNT(F7:F16)=0,"",MEDIAN(F7:F16))</f>
        <v/>
      </c>
      <c r="G17" s="21" t="str">
        <f aca="false">IF(COUNT(G7:G16)=0,"",MEDIAN(G7:G16))</f>
        <v/>
      </c>
    </row>
    <row r="20" customFormat="false" ht="30" hidden="false" customHeight="true" outlineLevel="0" collapsed="false">
      <c r="A20" s="12" t="s">
        <v>235</v>
      </c>
      <c r="B20" s="12" t="s">
        <v>265</v>
      </c>
      <c r="C20" s="12" t="s">
        <v>266</v>
      </c>
      <c r="D20" s="12" t="s">
        <v>267</v>
      </c>
    </row>
    <row r="21" customFormat="false" ht="15" hidden="false" customHeight="false" outlineLevel="0" collapsed="false">
      <c r="A21" s="15" t="str">
        <f aca="false">IF(A7="","",A7)</f>
        <v>BYD</v>
      </c>
      <c r="B21" s="25" t="str">
        <f aca="false">IF(OR(F7="",$F$17=""),"",F7-$F$17)</f>
        <v/>
      </c>
      <c r="C21" s="26" t="str">
        <f aca="false">IF(F7="","",RANK(F7,$F$7:$F$16))</f>
        <v/>
      </c>
      <c r="D21" s="26" t="n">
        <f aca="false">IF(A7="","",IF(H7="strong",2,IF(H7="moderate",1,0))+IF(I7="strong",2,IF(I7="moderate",1,0))+IF(J7="strong",2,IF(J7="moderate",1,0))+IF(K7="strong",2,IF(K7="moderate",1,0)))</f>
        <v>0</v>
      </c>
    </row>
    <row r="22" customFormat="false" ht="15" hidden="false" customHeight="false" outlineLevel="0" collapsed="false">
      <c r="A22" s="15" t="str">
        <f aca="false">IF(A8="","",A8)</f>
        <v>Tesla</v>
      </c>
      <c r="B22" s="25" t="str">
        <f aca="false">IF(OR(F8="",$F$17=""),"",F8-$F$17)</f>
        <v/>
      </c>
      <c r="C22" s="26" t="str">
        <f aca="false">IF(F8="","",RANK(F8,$F$7:$F$16))</f>
        <v/>
      </c>
      <c r="D22" s="26" t="n">
        <f aca="false">IF(A8="","",IF(H8="strong",2,IF(H8="moderate",1,0))+IF(I8="strong",2,IF(I8="moderate",1,0))+IF(J8="strong",2,IF(J8="moderate",1,0))+IF(K8="strong",2,IF(K8="moderate",1,0)))</f>
        <v>0</v>
      </c>
    </row>
    <row r="23" customFormat="false" ht="15" hidden="false" customHeight="false" outlineLevel="0" collapsed="false">
      <c r="A23" s="15" t="str">
        <f aca="false">IF(A9="","",A9)</f>
        <v>Volkswagen Group</v>
      </c>
      <c r="B23" s="25" t="str">
        <f aca="false">IF(OR(F9="",$F$17=""),"",F9-$F$17)</f>
        <v/>
      </c>
      <c r="C23" s="26" t="str">
        <f aca="false">IF(F9="","",RANK(F9,$F$7:$F$16))</f>
        <v/>
      </c>
      <c r="D23" s="26" t="n">
        <f aca="false">IF(A9="","",IF(H9="strong",2,IF(H9="moderate",1,0))+IF(I9="strong",2,IF(I9="moderate",1,0))+IF(J9="strong",2,IF(J9="moderate",1,0))+IF(K9="strong",2,IF(K9="moderate",1,0)))</f>
        <v>0</v>
      </c>
    </row>
    <row r="24" customFormat="false" ht="15" hidden="false" customHeight="false" outlineLevel="0" collapsed="false">
      <c r="A24" s="15" t="str">
        <f aca="false">IF(A10="","",A10)</f>
        <v>Geely</v>
      </c>
      <c r="B24" s="25" t="str">
        <f aca="false">IF(OR(F10="",$F$17=""),"",F10-$F$17)</f>
        <v/>
      </c>
      <c r="C24" s="26" t="str">
        <f aca="false">IF(F10="","",RANK(F10,$F$7:$F$16))</f>
        <v/>
      </c>
      <c r="D24" s="26" t="n">
        <f aca="false">IF(A10="","",IF(H10="strong",2,IF(H10="moderate",1,0))+IF(I10="strong",2,IF(I10="moderate",1,0))+IF(J10="strong",2,IF(J10="moderate",1,0))+IF(K10="strong",2,IF(K10="moderate",1,0)))</f>
        <v>0</v>
      </c>
    </row>
    <row r="25" customFormat="false" ht="15" hidden="false" customHeight="false" outlineLevel="0" collapsed="false">
      <c r="A25" s="15" t="str">
        <f aca="false">IF(A11="","",A11)</f>
        <v>Xiaomi</v>
      </c>
      <c r="B25" s="25" t="str">
        <f aca="false">IF(OR(F11="",$F$17=""),"",F11-$F$17)</f>
        <v/>
      </c>
      <c r="C25" s="26" t="str">
        <f aca="false">IF(F11="","",RANK(F11,$F$7:$F$16))</f>
        <v/>
      </c>
      <c r="D25" s="26" t="n">
        <f aca="false">IF(A11="","",IF(H11="strong",2,IF(H11="moderate",1,0))+IF(I11="strong",2,IF(I11="moderate",1,0))+IF(J11="strong",2,IF(J11="moderate",1,0))+IF(K11="strong",2,IF(K11="moderate",1,0)))</f>
        <v>0</v>
      </c>
    </row>
    <row r="26" customFormat="false" ht="15" hidden="false" customHeight="false" outlineLevel="0" collapsed="false">
      <c r="A26" s="15" t="str">
        <f aca="false">IF(A12="","",A12)</f>
        <v>Stellantis</v>
      </c>
      <c r="B26" s="25" t="str">
        <f aca="false">IF(OR(F12="",$F$17=""),"",F12-$F$17)</f>
        <v/>
      </c>
      <c r="C26" s="26" t="str">
        <f aca="false">IF(F12="","",RANK(F12,$F$7:$F$16))</f>
        <v/>
      </c>
      <c r="D26" s="26" t="n">
        <f aca="false">IF(A12="","",IF(H12="strong",2,IF(H12="moderate",1,0))+IF(I12="strong",2,IF(I12="moderate",1,0))+IF(J12="strong",2,IF(J12="moderate",1,0))+IF(K12="strong",2,IF(K12="moderate",1,0)))</f>
        <v>0</v>
      </c>
    </row>
    <row r="27" customFormat="false" ht="15" hidden="false" customHeight="false" outlineLevel="0" collapsed="false">
      <c r="A27" s="15" t="str">
        <f aca="false">IF(A13="","",A13)</f>
        <v/>
      </c>
      <c r="B27" s="25" t="str">
        <f aca="false">IF(OR(F13="",$F$17=""),"",F13-$F$17)</f>
        <v/>
      </c>
      <c r="C27" s="26" t="str">
        <f aca="false">IF(F13="","",RANK(F13,$F$7:$F$16))</f>
        <v/>
      </c>
      <c r="D27" s="26" t="str">
        <f aca="false">IF(A13="","",IF(H13="strong",2,IF(H13="moderate",1,0))+IF(I13="strong",2,IF(I13="moderate",1,0))+IF(J13="strong",2,IF(J13="moderate",1,0))+IF(K13="strong",2,IF(K13="moderate",1,0)))</f>
        <v/>
      </c>
    </row>
    <row r="28" customFormat="false" ht="15" hidden="false" customHeight="false" outlineLevel="0" collapsed="false">
      <c r="A28" s="15" t="str">
        <f aca="false">IF(A14="","",A14)</f>
        <v/>
      </c>
      <c r="B28" s="25" t="str">
        <f aca="false">IF(OR(F14="",$F$17=""),"",F14-$F$17)</f>
        <v/>
      </c>
      <c r="C28" s="26" t="str">
        <f aca="false">IF(F14="","",RANK(F14,$F$7:$F$16))</f>
        <v/>
      </c>
      <c r="D28" s="26" t="str">
        <f aca="false">IF(A14="","",IF(H14="strong",2,IF(H14="moderate",1,0))+IF(I14="strong",2,IF(I14="moderate",1,0))+IF(J14="strong",2,IF(J14="moderate",1,0))+IF(K14="strong",2,IF(K14="moderate",1,0)))</f>
        <v/>
      </c>
    </row>
    <row r="29" customFormat="false" ht="15" hidden="false" customHeight="false" outlineLevel="0" collapsed="false">
      <c r="A29" s="15" t="str">
        <f aca="false">IF(A15="","",A15)</f>
        <v/>
      </c>
      <c r="B29" s="25" t="str">
        <f aca="false">IF(OR(F15="",$F$17=""),"",F15-$F$17)</f>
        <v/>
      </c>
      <c r="C29" s="26" t="str">
        <f aca="false">IF(F15="","",RANK(F15,$F$7:$F$16))</f>
        <v/>
      </c>
      <c r="D29" s="26" t="str">
        <f aca="false">IF(A15="","",IF(H15="strong",2,IF(H15="moderate",1,0))+IF(I15="strong",2,IF(I15="moderate",1,0))+IF(J15="strong",2,IF(J15="moderate",1,0))+IF(K15="strong",2,IF(K15="moderate",1,0)))</f>
        <v/>
      </c>
    </row>
    <row r="30" customFormat="false" ht="15" hidden="false" customHeight="false" outlineLevel="0" collapsed="false">
      <c r="A30" s="15" t="str">
        <f aca="false">IF(A16="","",A16)</f>
        <v/>
      </c>
      <c r="B30" s="25" t="str">
        <f aca="false">IF(OR(F16="",$F$17=""),"",F16-$F$17)</f>
        <v/>
      </c>
      <c r="C30" s="26" t="str">
        <f aca="false">IF(F16="","",RANK(F16,$F$7:$F$16))</f>
        <v/>
      </c>
      <c r="D30" s="26" t="str">
        <f aca="false">IF(A16="","",IF(H16="strong",2,IF(H16="moderate",1,0))+IF(I16="strong",2,IF(I16="moderate",1,0))+IF(J16="strong",2,IF(J16="moderate",1,0))+IF(K16="strong",2,IF(K16="moderate",1,0)))</f>
        <v/>
      </c>
    </row>
    <row r="32" customFormat="false" ht="15" hidden="false" customHeight="false" outlineLevel="0" collapsed="false">
      <c r="A32" s="17" t="s">
        <v>268</v>
      </c>
    </row>
    <row r="33" customFormat="false" ht="30" hidden="false" customHeight="true" outlineLevel="0" collapsed="false">
      <c r="A33" s="12" t="s">
        <v>235</v>
      </c>
      <c r="B33" s="12" t="s">
        <v>269</v>
      </c>
      <c r="C33" s="12" t="s">
        <v>270</v>
      </c>
      <c r="D33" s="12"/>
      <c r="E33" s="12"/>
      <c r="F33" s="12"/>
      <c r="G33" s="12"/>
      <c r="H33" s="12" t="s">
        <v>271</v>
      </c>
      <c r="I33" s="12"/>
      <c r="J33" s="12"/>
      <c r="K33" s="12"/>
      <c r="L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5" customFormat="false" ht="15" hidden="false" customHeight="false" outlineLevel="0" collapsed="false">
      <c r="A45" s="17" t="s">
        <v>272</v>
      </c>
    </row>
    <row r="46" customFormat="false" ht="30" hidden="false" customHeight="true" outlineLevel="0" collapsed="false">
      <c r="A46" s="12" t="s">
        <v>14</v>
      </c>
      <c r="B46" s="12" t="s">
        <v>269</v>
      </c>
      <c r="C46" s="12" t="s">
        <v>273</v>
      </c>
      <c r="D46" s="12" t="s">
        <v>274</v>
      </c>
      <c r="E46" s="12" t="s">
        <v>275</v>
      </c>
    </row>
    <row r="47" customFormat="false" ht="15" hidden="false" customHeight="false" outlineLevel="0" collapsed="false">
      <c r="A47" s="11"/>
      <c r="B47" s="11"/>
      <c r="C47" s="11"/>
      <c r="D47" s="11"/>
      <c r="E47" s="19"/>
    </row>
    <row r="48" customFormat="false" ht="15" hidden="false" customHeight="false" outlineLevel="0" collapsed="false">
      <c r="A48" s="11"/>
      <c r="B48" s="11"/>
      <c r="C48" s="11"/>
      <c r="D48" s="11"/>
      <c r="E48" s="19"/>
    </row>
    <row r="49" customFormat="false" ht="15" hidden="false" customHeight="false" outlineLevel="0" collapsed="false">
      <c r="A49" s="11"/>
      <c r="B49" s="11"/>
      <c r="C49" s="11"/>
      <c r="D49" s="11"/>
      <c r="E49" s="19"/>
    </row>
    <row r="50" customFormat="false" ht="15" hidden="false" customHeight="false" outlineLevel="0" collapsed="false">
      <c r="A50" s="11"/>
      <c r="B50" s="11"/>
      <c r="C50" s="11"/>
      <c r="D50" s="11"/>
      <c r="E50" s="19"/>
    </row>
    <row r="51" customFormat="false" ht="15" hidden="false" customHeight="false" outlineLevel="0" collapsed="false">
      <c r="A51" s="11"/>
      <c r="B51" s="11"/>
      <c r="C51" s="11"/>
      <c r="D51" s="11"/>
      <c r="E51" s="19"/>
    </row>
    <row r="52" customFormat="false" ht="15" hidden="false" customHeight="false" outlineLevel="0" collapsed="false">
      <c r="A52" s="11"/>
      <c r="B52" s="11"/>
      <c r="C52" s="11"/>
      <c r="D52" s="11"/>
      <c r="E52" s="19"/>
    </row>
    <row r="53" customFormat="false" ht="15" hidden="false" customHeight="false" outlineLevel="0" collapsed="false">
      <c r="A53" s="11"/>
      <c r="B53" s="11"/>
      <c r="C53" s="11"/>
      <c r="D53" s="11"/>
      <c r="E53" s="19"/>
    </row>
    <row r="54" customFormat="false" ht="15" hidden="false" customHeight="false" outlineLevel="0" collapsed="false">
      <c r="A54" s="11"/>
      <c r="B54" s="11"/>
      <c r="C54" s="11"/>
      <c r="D54" s="11"/>
      <c r="E54" s="19"/>
    </row>
  </sheetData>
  <mergeCells count="22">
    <mergeCell ref="C33:G33"/>
    <mergeCell ref="H33:L33"/>
    <mergeCell ref="C34:G34"/>
    <mergeCell ref="H34:L34"/>
    <mergeCell ref="C35:G35"/>
    <mergeCell ref="H35:L35"/>
    <mergeCell ref="C36:G36"/>
    <mergeCell ref="H36:L36"/>
    <mergeCell ref="C37:G37"/>
    <mergeCell ref="H37:L37"/>
    <mergeCell ref="C38:G38"/>
    <mergeCell ref="H38:L38"/>
    <mergeCell ref="C39:G39"/>
    <mergeCell ref="H39:L39"/>
    <mergeCell ref="C40:G40"/>
    <mergeCell ref="H40:L40"/>
    <mergeCell ref="C41:G41"/>
    <mergeCell ref="H41:L41"/>
    <mergeCell ref="C42:G42"/>
    <mergeCell ref="H42:L42"/>
    <mergeCell ref="C43:G43"/>
    <mergeCell ref="H43:L43"/>
  </mergeCells>
  <conditionalFormatting sqref="B21:B30">
    <cfRule type="expression" priority="2" aboveAverage="0" equalAverage="0" bottom="0" percent="0" rank="0" text="" dxfId="0">
      <formula>AND(ISNUMBER(B21),B21&gt;0.01)</formula>
    </cfRule>
    <cfRule type="expression" priority="3" aboveAverage="0" equalAverage="0" bottom="0" percent="0" rank="0" text="" dxfId="1">
      <formula>AND(ISNUMBER(B21),ABS(B21)&lt;=0.01)</formula>
    </cfRule>
    <cfRule type="expression" priority="4" aboveAverage="0" equalAverage="0" bottom="0" percent="0" rank="0" text="" dxfId="2">
      <formula>AND(ISNUMBER(B21),B21&lt;-0.01)</formula>
    </cfRule>
  </conditionalFormatting>
  <dataValidations count="4">
    <dataValidation allowBlank="true" errorStyle="stop" operator="between" showDropDown="false" showErrorMessage="false" showInputMessage="false" sqref="H7:K16" type="list">
      <formula1>"weak,moderate,strong"</formula1>
      <formula2>0</formula2>
    </dataValidation>
    <dataValidation allowBlank="true" errorStyle="stop" operator="between" showDropDown="false" showErrorMessage="false" showInputMessage="false" sqref="B34:B43" type="list">
      <formula1>"hiring,patents,launch,capex,pricing,partnership,exit,other"</formula1>
      <formula2>0</formula2>
    </dataValidation>
    <dataValidation allowBlank="true" errorStyle="stop" operator="between" showDropDown="false" showErrorMessage="false" showInputMessage="false" sqref="A47:A54" type="list">
      <formula1>"P,E,S,T,Env,L"</formula1>
      <formula2>0</formula2>
    </dataValidation>
    <dataValidation allowBlank="true" errorStyle="stop" operator="between" showDropDown="false" showErrorMessage="false" showInputMessage="false" sqref="B47:B54" type="list">
      <formula1>"risk_factor,mdna_trend"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7" t="s">
        <v>276</v>
      </c>
    </row>
    <row r="2" customFormat="false" ht="15" hidden="false" customHeight="false" outlineLevel="0" collapsed="false">
      <c r="A2" s="3" t="s">
        <v>277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279</v>
      </c>
      <c r="C5" s="12" t="s">
        <v>280</v>
      </c>
      <c r="D5" s="12" t="s">
        <v>281</v>
      </c>
      <c r="E5" s="12" t="s">
        <v>282</v>
      </c>
      <c r="F5" s="12" t="s">
        <v>283</v>
      </c>
      <c r="G5" s="12" t="s">
        <v>284</v>
      </c>
      <c r="H5" s="12" t="s">
        <v>274</v>
      </c>
      <c r="I5" s="12" t="s">
        <v>285</v>
      </c>
    </row>
    <row r="6" customFormat="false" ht="15" hidden="false" customHeight="false" outlineLevel="0" collapsed="false">
      <c r="A6" s="11" t="s">
        <v>286</v>
      </c>
      <c r="B6" s="11" t="s">
        <v>287</v>
      </c>
      <c r="C6" s="11" t="s">
        <v>288</v>
      </c>
      <c r="D6" s="11" t="s">
        <v>289</v>
      </c>
      <c r="E6" s="11" t="n">
        <v>5</v>
      </c>
      <c r="F6" s="11" t="n">
        <v>3</v>
      </c>
      <c r="G6" s="26" t="n">
        <f aca="false">IF(AND(ISNUMBER(E6),ISNUMBER(F6)),E6*F6,"")</f>
        <v>15</v>
      </c>
      <c r="H6" s="11" t="s">
        <v>290</v>
      </c>
      <c r="I6" s="11" t="s">
        <v>291</v>
      </c>
    </row>
    <row r="7" customFormat="false" ht="15" hidden="false" customHeight="false" outlineLevel="0" collapsed="false">
      <c r="A7" s="11" t="s">
        <v>292</v>
      </c>
      <c r="B7" s="11" t="s">
        <v>293</v>
      </c>
      <c r="C7" s="11" t="s">
        <v>294</v>
      </c>
      <c r="D7" s="11" t="s">
        <v>295</v>
      </c>
      <c r="E7" s="11" t="n">
        <v>5</v>
      </c>
      <c r="F7" s="11" t="n">
        <v>5</v>
      </c>
      <c r="G7" s="26" t="n">
        <f aca="false">IF(AND(ISNUMBER(E7),ISNUMBER(F7)),E7*F7,"")</f>
        <v>25</v>
      </c>
      <c r="H7" s="11" t="s">
        <v>296</v>
      </c>
      <c r="I7" s="11" t="s">
        <v>297</v>
      </c>
    </row>
    <row r="8" customFormat="false" ht="15" hidden="false" customHeight="false" outlineLevel="0" collapsed="false">
      <c r="A8" s="11" t="s">
        <v>298</v>
      </c>
      <c r="B8" s="11" t="s">
        <v>299</v>
      </c>
      <c r="C8" s="11" t="s">
        <v>300</v>
      </c>
      <c r="D8" s="11" t="s">
        <v>289</v>
      </c>
      <c r="E8" s="11" t="n">
        <v>5</v>
      </c>
      <c r="F8" s="11" t="n">
        <v>3</v>
      </c>
      <c r="G8" s="26" t="n">
        <f aca="false">IF(AND(ISNUMBER(E8),ISNUMBER(F8)),E8*F8,"")</f>
        <v>15</v>
      </c>
      <c r="H8" s="11" t="s">
        <v>301</v>
      </c>
      <c r="I8" s="11" t="s">
        <v>302</v>
      </c>
    </row>
    <row r="9" customFormat="false" ht="15" hidden="false" customHeight="false" outlineLevel="0" collapsed="false">
      <c r="A9" s="11" t="s">
        <v>303</v>
      </c>
      <c r="B9" s="11" t="s">
        <v>304</v>
      </c>
      <c r="C9" s="11" t="s">
        <v>305</v>
      </c>
      <c r="D9" s="11" t="s">
        <v>295</v>
      </c>
      <c r="E9" s="11" t="n">
        <v>3</v>
      </c>
      <c r="F9" s="11" t="n">
        <v>3</v>
      </c>
      <c r="G9" s="26" t="n">
        <f aca="false">IF(AND(ISNUMBER(E9),ISNUMBER(F9)),E9*F9,"")</f>
        <v>9</v>
      </c>
      <c r="H9" s="11" t="s">
        <v>306</v>
      </c>
      <c r="I9" s="11" t="s">
        <v>307</v>
      </c>
    </row>
    <row r="10" customFormat="false" ht="15" hidden="false" customHeight="false" outlineLevel="0" collapsed="false">
      <c r="A10" s="11" t="s">
        <v>308</v>
      </c>
      <c r="B10" s="11" t="s">
        <v>309</v>
      </c>
      <c r="C10" s="11" t="s">
        <v>310</v>
      </c>
      <c r="D10" s="11" t="s">
        <v>289</v>
      </c>
      <c r="E10" s="11" t="n">
        <v>3</v>
      </c>
      <c r="F10" s="11" t="n">
        <v>5</v>
      </c>
      <c r="G10" s="26" t="n">
        <f aca="false">IF(AND(ISNUMBER(E10),ISNUMBER(F10)),E10*F10,"")</f>
        <v>15</v>
      </c>
      <c r="H10" s="11" t="s">
        <v>306</v>
      </c>
      <c r="I10" s="11" t="s">
        <v>311</v>
      </c>
    </row>
    <row r="11" customFormat="false" ht="15" hidden="false" customHeight="false" outlineLevel="0" collapsed="false">
      <c r="A11" s="11" t="s">
        <v>312</v>
      </c>
      <c r="B11" s="11" t="s">
        <v>313</v>
      </c>
      <c r="C11" s="11" t="s">
        <v>314</v>
      </c>
      <c r="D11" s="11" t="s">
        <v>295</v>
      </c>
      <c r="E11" s="11" t="n">
        <v>3</v>
      </c>
      <c r="F11" s="11" t="n">
        <v>3</v>
      </c>
      <c r="G11" s="26" t="n">
        <f aca="false">IF(AND(ISNUMBER(E11),ISNUMBER(F11)),E11*F11,"")</f>
        <v>9</v>
      </c>
      <c r="H11" s="11" t="s">
        <v>315</v>
      </c>
      <c r="I11" s="11" t="s">
        <v>297</v>
      </c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26" t="str">
        <f aca="false">IF(AND(ISNUMBER(E12),ISNUMBER(F12)),E12*F12,"")</f>
        <v/>
      </c>
      <c r="H12" s="11"/>
      <c r="I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26" t="str">
        <f aca="false">IF(AND(ISNUMBER(E13),ISNUMBER(F13)),E13*F13,"")</f>
        <v/>
      </c>
      <c r="H13" s="11"/>
      <c r="I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26" t="str">
        <f aca="false">IF(AND(ISNUMBER(E14),ISNUMBER(F14)),E14*F14,"")</f>
        <v/>
      </c>
      <c r="H14" s="11"/>
      <c r="I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26" t="str">
        <f aca="false">IF(AND(ISNUMBER(E15),ISNUMBER(F15)),E15*F15,"")</f>
        <v/>
      </c>
      <c r="H15" s="11"/>
      <c r="I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26" t="str">
        <f aca="false">IF(AND(ISNUMBER(E16),ISNUMBER(F16)),E16*F16,"")</f>
        <v/>
      </c>
      <c r="H16" s="11"/>
      <c r="I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26" t="str">
        <f aca="false">IF(AND(ISNUMBER(E17),ISNUMBER(F17)),E17*F17,"")</f>
        <v/>
      </c>
      <c r="H17" s="11"/>
      <c r="I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26" t="str">
        <f aca="false">IF(AND(ISNUMBER(E18),ISNUMBER(F18)),E18*F18,"")</f>
        <v/>
      </c>
      <c r="H18" s="11"/>
      <c r="I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26" t="str">
        <f aca="false">IF(AND(ISNUMBER(E19),ISNUMBER(F19)),E19*F19,"")</f>
        <v/>
      </c>
      <c r="H19" s="11"/>
      <c r="I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26" t="str">
        <f aca="false">IF(AND(ISNUMBER(E20),ISNUMBER(F20)),E20*F20,"")</f>
        <v/>
      </c>
      <c r="H20" s="11"/>
      <c r="I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26" t="str">
        <f aca="false">IF(AND(ISNUMBER(E21),ISNUMBER(F21)),E21*F21,"")</f>
        <v/>
      </c>
      <c r="H21" s="11"/>
      <c r="I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26" t="str">
        <f aca="false">IF(AND(ISNUMBER(E22),ISNUMBER(F22)),E22*F22,"")</f>
        <v/>
      </c>
      <c r="H22" s="11"/>
      <c r="I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26" t="str">
        <f aca="false">IF(AND(ISNUMBER(E23),ISNUMBER(F23)),E23*F23,"")</f>
        <v/>
      </c>
      <c r="H23" s="11"/>
      <c r="I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26" t="str">
        <f aca="false">IF(AND(ISNUMBER(E24),ISNUMBER(F24)),E24*F24,"")</f>
        <v/>
      </c>
      <c r="H24" s="11"/>
      <c r="I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26" t="str">
        <f aca="false">IF(AND(ISNUMBER(E25),ISNUMBER(F25)),E25*F25,"")</f>
        <v/>
      </c>
      <c r="H25" s="11"/>
      <c r="I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26" t="str">
        <f aca="false">IF(AND(ISNUMBER(E26),ISNUMBER(F26)),E26*F26,"")</f>
        <v/>
      </c>
      <c r="H26" s="11"/>
      <c r="I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26" t="str">
        <f aca="false">IF(AND(ISNUMBER(E27),ISNUMBER(F27)),E27*F27,"")</f>
        <v/>
      </c>
      <c r="H27" s="11"/>
      <c r="I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26" t="str">
        <f aca="false">IF(AND(ISNUMBER(E28),ISNUMBER(F28)),E28*F28,"")</f>
        <v/>
      </c>
      <c r="H28" s="11"/>
      <c r="I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26" t="str">
        <f aca="false">IF(AND(ISNUMBER(E29),ISNUMBER(F29)),E29*F29,"")</f>
        <v/>
      </c>
      <c r="H29" s="11"/>
      <c r="I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26" t="str">
        <f aca="false">IF(AND(ISNUMBER(E30),ISNUMBER(F30)),E30*F30,"")</f>
        <v/>
      </c>
      <c r="H30" s="11"/>
      <c r="I30" s="11"/>
    </row>
    <row r="32" customFormat="false" ht="15" hidden="false" customHeight="false" outlineLevel="0" collapsed="false">
      <c r="B32" s="20" t="s">
        <v>316</v>
      </c>
      <c r="C32" s="26" t="n">
        <f aca="false">COUNTA(C6:C30)</f>
        <v>6</v>
      </c>
    </row>
    <row r="33" customFormat="false" ht="23.85" hidden="false" customHeight="false" outlineLevel="0" collapsed="false">
      <c r="B33" s="20" t="s">
        <v>317</v>
      </c>
      <c r="C33" s="26" t="n">
        <f aca="false">COUNTIF(G6:G30,"&gt;=16")</f>
        <v>1</v>
      </c>
    </row>
    <row r="34" customFormat="false" ht="23.85" hidden="false" customHeight="false" outlineLevel="0" collapsed="false">
      <c r="B34" s="20" t="s">
        <v>318</v>
      </c>
      <c r="C34" s="26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7" t="s">
        <v>319</v>
      </c>
    </row>
    <row r="2" customFormat="false" ht="15" hidden="false" customHeight="false" outlineLevel="0" collapsed="false">
      <c r="A2" s="3" t="s">
        <v>320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321</v>
      </c>
      <c r="B5" s="12" t="s">
        <v>322</v>
      </c>
      <c r="C5" s="12" t="s">
        <v>323</v>
      </c>
      <c r="D5" s="12" t="s">
        <v>324</v>
      </c>
    </row>
    <row r="6" customFormat="false" ht="15" hidden="false" customHeight="false" outlineLevel="0" collapsed="false">
      <c r="A6" s="5" t="s">
        <v>325</v>
      </c>
      <c r="B6" s="5" t="s">
        <v>326</v>
      </c>
      <c r="C6" s="11"/>
      <c r="D6" s="11"/>
    </row>
    <row r="7" customFormat="false" ht="15" hidden="false" customHeight="false" outlineLevel="0" collapsed="false">
      <c r="A7" s="5" t="s">
        <v>325</v>
      </c>
      <c r="B7" s="5" t="s">
        <v>327</v>
      </c>
      <c r="C7" s="11"/>
      <c r="D7" s="11"/>
    </row>
    <row r="8" customFormat="false" ht="15" hidden="false" customHeight="false" outlineLevel="0" collapsed="false">
      <c r="A8" s="5" t="s">
        <v>325</v>
      </c>
      <c r="B8" s="5" t="s">
        <v>328</v>
      </c>
      <c r="C8" s="11"/>
      <c r="D8" s="11"/>
    </row>
    <row r="9" customFormat="false" ht="15" hidden="false" customHeight="false" outlineLevel="0" collapsed="false">
      <c r="A9" s="5" t="s">
        <v>325</v>
      </c>
      <c r="B9" s="5" t="s">
        <v>329</v>
      </c>
      <c r="C9" s="11"/>
      <c r="D9" s="11"/>
    </row>
    <row r="10" customFormat="false" ht="15" hidden="false" customHeight="false" outlineLevel="0" collapsed="false">
      <c r="A10" s="5" t="s">
        <v>330</v>
      </c>
      <c r="B10" s="5" t="s">
        <v>331</v>
      </c>
      <c r="C10" s="11"/>
      <c r="D10" s="11"/>
    </row>
    <row r="11" customFormat="false" ht="15" hidden="false" customHeight="false" outlineLevel="0" collapsed="false">
      <c r="A11" s="5" t="s">
        <v>330</v>
      </c>
      <c r="B11" s="5" t="s">
        <v>332</v>
      </c>
      <c r="C11" s="11"/>
      <c r="D11" s="11"/>
    </row>
    <row r="12" customFormat="false" ht="15" hidden="false" customHeight="false" outlineLevel="0" collapsed="false">
      <c r="A12" s="5" t="s">
        <v>330</v>
      </c>
      <c r="B12" s="5" t="s">
        <v>333</v>
      </c>
      <c r="C12" s="11"/>
      <c r="D12" s="11"/>
    </row>
    <row r="13" customFormat="false" ht="15" hidden="false" customHeight="false" outlineLevel="0" collapsed="false">
      <c r="A13" s="5" t="s">
        <v>330</v>
      </c>
      <c r="B13" s="5" t="s">
        <v>334</v>
      </c>
      <c r="C13" s="11"/>
      <c r="D13" s="11"/>
    </row>
    <row r="14" customFormat="false" ht="15" hidden="false" customHeight="false" outlineLevel="0" collapsed="false">
      <c r="A14" s="5" t="s">
        <v>335</v>
      </c>
      <c r="B14" s="5" t="s">
        <v>336</v>
      </c>
      <c r="C14" s="11"/>
      <c r="D14" s="11"/>
    </row>
    <row r="15" customFormat="false" ht="15" hidden="false" customHeight="false" outlineLevel="0" collapsed="false">
      <c r="A15" s="5" t="s">
        <v>335</v>
      </c>
      <c r="B15" s="5" t="s">
        <v>337</v>
      </c>
      <c r="C15" s="11"/>
      <c r="D15" s="11"/>
    </row>
    <row r="16" customFormat="false" ht="15" hidden="false" customHeight="false" outlineLevel="0" collapsed="false">
      <c r="A16" s="5" t="s">
        <v>335</v>
      </c>
      <c r="B16" s="5" t="s">
        <v>332</v>
      </c>
      <c r="C16" s="11"/>
      <c r="D16" s="11"/>
    </row>
    <row r="17" customFormat="false" ht="15" hidden="false" customHeight="false" outlineLevel="0" collapsed="false">
      <c r="A17" s="5" t="s">
        <v>335</v>
      </c>
      <c r="B17" s="5" t="s">
        <v>338</v>
      </c>
      <c r="C17" s="11"/>
      <c r="D17" s="11"/>
    </row>
    <row r="18" customFormat="false" ht="15" hidden="false" customHeight="false" outlineLevel="0" collapsed="false">
      <c r="A18" s="5" t="s">
        <v>339</v>
      </c>
      <c r="B18" s="5" t="s">
        <v>340</v>
      </c>
      <c r="C18" s="11"/>
      <c r="D18" s="11"/>
    </row>
    <row r="19" customFormat="false" ht="15" hidden="false" customHeight="false" outlineLevel="0" collapsed="false">
      <c r="A19" s="5" t="s">
        <v>339</v>
      </c>
      <c r="B19" s="5" t="s">
        <v>341</v>
      </c>
      <c r="C19" s="11"/>
      <c r="D19" s="11"/>
    </row>
    <row r="20" customFormat="false" ht="15" hidden="false" customHeight="false" outlineLevel="0" collapsed="false">
      <c r="A20" s="5" t="s">
        <v>339</v>
      </c>
      <c r="B20" s="5" t="s">
        <v>342</v>
      </c>
      <c r="C20" s="11"/>
      <c r="D20" s="11"/>
    </row>
    <row r="21" customFormat="false" ht="15" hidden="false" customHeight="false" outlineLevel="0" collapsed="false">
      <c r="A21" s="5" t="s">
        <v>339</v>
      </c>
      <c r="B21" s="5" t="s">
        <v>343</v>
      </c>
      <c r="C21" s="11"/>
      <c r="D21" s="11"/>
    </row>
    <row r="22" customFormat="false" ht="15" hidden="false" customHeight="false" outlineLevel="0" collapsed="false">
      <c r="A22" s="5" t="s">
        <v>344</v>
      </c>
      <c r="B22" s="5" t="s">
        <v>345</v>
      </c>
      <c r="C22" s="11"/>
      <c r="D22" s="11"/>
    </row>
    <row r="23" customFormat="false" ht="15" hidden="false" customHeight="false" outlineLevel="0" collapsed="false">
      <c r="A23" s="5" t="s">
        <v>344</v>
      </c>
      <c r="B23" s="5" t="s">
        <v>332</v>
      </c>
      <c r="C23" s="11"/>
      <c r="D23" s="11"/>
    </row>
    <row r="24" customFormat="false" ht="15" hidden="false" customHeight="false" outlineLevel="0" collapsed="false">
      <c r="A24" s="5" t="s">
        <v>344</v>
      </c>
      <c r="B24" s="5" t="s">
        <v>346</v>
      </c>
      <c r="C24" s="11"/>
      <c r="D24" s="11"/>
    </row>
    <row r="25" customFormat="false" ht="15" hidden="false" customHeight="false" outlineLevel="0" collapsed="false">
      <c r="A25" s="5" t="s">
        <v>344</v>
      </c>
      <c r="B25" s="5" t="s">
        <v>347</v>
      </c>
      <c r="C25" s="11"/>
      <c r="D25" s="11"/>
    </row>
    <row r="27" customFormat="false" ht="35.05" hidden="false" customHeight="false" outlineLevel="0" collapsed="false">
      <c r="A27" s="12" t="s">
        <v>321</v>
      </c>
      <c r="B27" s="12" t="s">
        <v>348</v>
      </c>
      <c r="C27" s="12" t="s">
        <v>349</v>
      </c>
      <c r="D27" s="12" t="s">
        <v>350</v>
      </c>
      <c r="E27" s="12" t="s">
        <v>351</v>
      </c>
      <c r="F27" s="12" t="s">
        <v>352</v>
      </c>
    </row>
    <row r="28" customFormat="false" ht="15" hidden="false" customHeight="false" outlineLevel="0" collapsed="false">
      <c r="A28" s="20" t="s">
        <v>325</v>
      </c>
      <c r="B28" s="27" t="str">
        <f aca="false">IFERROR(AVERAGEIF($A$6:$A$25,A28,$C$6:$C$25),"")</f>
        <v/>
      </c>
      <c r="C28" s="28" t="n">
        <v>5</v>
      </c>
      <c r="D28" s="27" t="n">
        <f aca="false">IF(ISNUMBER(C28),C28,B28)</f>
        <v>5</v>
      </c>
      <c r="E28" s="15" t="str">
        <f aca="false">IF(D28="","",IF(D28&gt;=4,"Strong",IF(D28&gt;=2.5,"Moderate","Weak")))</f>
        <v>Strong</v>
      </c>
      <c r="F28" s="28" t="n">
        <v>5</v>
      </c>
    </row>
    <row r="29" customFormat="false" ht="15" hidden="false" customHeight="false" outlineLevel="0" collapsed="false">
      <c r="A29" s="20" t="s">
        <v>330</v>
      </c>
      <c r="B29" s="27" t="str">
        <f aca="false">IFERROR(AVERAGEIF($A$6:$A$25,A29,$C$6:$C$25),"")</f>
        <v/>
      </c>
      <c r="C29" s="28" t="n">
        <v>4</v>
      </c>
      <c r="D29" s="27" t="n">
        <f aca="false">IF(ISNUMBER(C29),C29,B29)</f>
        <v>4</v>
      </c>
      <c r="E29" s="15" t="str">
        <f aca="false">IF(D29="","",IF(D29&gt;=4,"Strong",IF(D29&gt;=2.5,"Moderate","Weak")))</f>
        <v>Strong</v>
      </c>
      <c r="F29" s="28" t="n">
        <v>3</v>
      </c>
    </row>
    <row r="30" customFormat="false" ht="15" hidden="false" customHeight="false" outlineLevel="0" collapsed="false">
      <c r="A30" s="20" t="s">
        <v>335</v>
      </c>
      <c r="B30" s="27" t="str">
        <f aca="false">IFERROR(AVERAGEIF($A$6:$A$25,A30,$C$6:$C$25),"")</f>
        <v/>
      </c>
      <c r="C30" s="28" t="n">
        <v>3</v>
      </c>
      <c r="D30" s="27" t="n">
        <f aca="false">IF(ISNUMBER(C30),C30,B30)</f>
        <v>3</v>
      </c>
      <c r="E30" s="15" t="str">
        <f aca="false">IF(D30="","",IF(D30&gt;=4,"Strong",IF(D30&gt;=2.5,"Moderate","Weak")))</f>
        <v>Moderate</v>
      </c>
      <c r="F30" s="28" t="n">
        <v>4</v>
      </c>
    </row>
    <row r="31" customFormat="false" ht="15" hidden="false" customHeight="false" outlineLevel="0" collapsed="false">
      <c r="A31" s="20" t="s">
        <v>339</v>
      </c>
      <c r="B31" s="27" t="str">
        <f aca="false">IFERROR(AVERAGEIF($A$6:$A$25,A31,$C$6:$C$25),"")</f>
        <v/>
      </c>
      <c r="C31" s="28" t="n">
        <v>4</v>
      </c>
      <c r="D31" s="27" t="n">
        <f aca="false">IF(ISNUMBER(C31),C31,B31)</f>
        <v>4</v>
      </c>
      <c r="E31" s="15" t="str">
        <f aca="false">IF(D31="","",IF(D31&gt;=4,"Strong",IF(D31&gt;=2.5,"Moderate","Weak")))</f>
        <v>Strong</v>
      </c>
      <c r="F31" s="28" t="n">
        <v>4</v>
      </c>
    </row>
    <row r="32" customFormat="false" ht="15" hidden="false" customHeight="false" outlineLevel="0" collapsed="false">
      <c r="A32" s="20" t="s">
        <v>344</v>
      </c>
      <c r="B32" s="27" t="str">
        <f aca="false">IFERROR(AVERAGEIF($A$6:$A$25,A32,$C$6:$C$25),"")</f>
        <v/>
      </c>
      <c r="C32" s="28" t="n">
        <v>2</v>
      </c>
      <c r="D32" s="27" t="n">
        <f aca="false">IF(ISNUMBER(C32),C32,B32)</f>
        <v>2</v>
      </c>
      <c r="E32" s="15" t="str">
        <f aca="false">IF(D32="","",IF(D32&gt;=4,"Strong",IF(D32&gt;=2.5,"Moderate","Weak")))</f>
        <v>Weak</v>
      </c>
      <c r="F32" s="28" t="n">
        <v>2</v>
      </c>
    </row>
    <row r="34" customFormat="false" ht="15" hidden="false" customHeight="false" outlineLevel="0" collapsed="false">
      <c r="A34" s="20" t="s">
        <v>353</v>
      </c>
      <c r="B34" s="29" t="n">
        <f aca="false">IFERROR(6-AVERAGE(D28:D32),"")</f>
        <v>2.4</v>
      </c>
    </row>
    <row r="35" customFormat="false" ht="15" hidden="false" customHeight="false" outlineLevel="0" collapsed="false">
      <c r="A35" s="20" t="s">
        <v>354</v>
      </c>
      <c r="B35" s="27" t="n">
        <f aca="false">IF(COUNT(F28:F32)=5,6-AVERAGE(F28:F32),"")</f>
        <v>2.4</v>
      </c>
    </row>
    <row r="37" customFormat="false" ht="15" hidden="false" customHeight="false" outlineLevel="0" collapsed="false">
      <c r="A37" s="3" t="s">
        <v>355</v>
      </c>
    </row>
    <row r="38" customFormat="false" ht="15" hidden="false" customHeight="false" outlineLevel="0" collapsed="false">
      <c r="A38" s="3" t="s">
        <v>356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16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9.7" hidden="false" customHeight="false" outlineLevel="0" collapsed="false">
      <c r="A1" s="7" t="s">
        <v>357</v>
      </c>
    </row>
    <row r="2" customFormat="false" ht="15" hidden="false" customHeight="false" outlineLevel="0" collapsed="false">
      <c r="A2" s="3" t="s">
        <v>358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359</v>
      </c>
      <c r="C5" s="12" t="s">
        <v>360</v>
      </c>
      <c r="D5" s="12" t="s">
        <v>361</v>
      </c>
      <c r="E5" s="12" t="s">
        <v>274</v>
      </c>
      <c r="F5" s="12" t="s">
        <v>362</v>
      </c>
      <c r="G5" s="12" t="s">
        <v>363</v>
      </c>
      <c r="H5" s="12" t="s">
        <v>364</v>
      </c>
      <c r="I5" s="12" t="s">
        <v>365</v>
      </c>
      <c r="J5" s="12" t="s">
        <v>366</v>
      </c>
      <c r="K5" s="12" t="s">
        <v>367</v>
      </c>
      <c r="L5" s="12" t="s">
        <v>368</v>
      </c>
    </row>
    <row r="6" customFormat="false" ht="30" hidden="false" customHeight="true" outlineLevel="0" collapsed="false">
      <c r="A6" s="11" t="s">
        <v>93</v>
      </c>
      <c r="B6" s="11" t="s">
        <v>369</v>
      </c>
      <c r="C6" s="11"/>
      <c r="D6" s="11"/>
      <c r="E6" s="11"/>
      <c r="F6" s="11"/>
      <c r="G6" s="11" t="s">
        <v>370</v>
      </c>
      <c r="H6" s="11" t="s">
        <v>370</v>
      </c>
      <c r="I6" s="11" t="s">
        <v>370</v>
      </c>
      <c r="J6" s="11" t="s">
        <v>370</v>
      </c>
      <c r="K6" s="16" t="str">
        <f aca="false">IF(B6="","",IF(COUNTIF(G6:J6,"Yes")=4,"Driver","Demoted"))</f>
        <v>Driver</v>
      </c>
      <c r="L6" s="11"/>
    </row>
    <row r="7" customFormat="false" ht="30" hidden="false" customHeight="true" outlineLevel="0" collapsed="false">
      <c r="A7" s="11" t="s">
        <v>96</v>
      </c>
      <c r="B7" s="11" t="s">
        <v>371</v>
      </c>
      <c r="C7" s="11"/>
      <c r="D7" s="11"/>
      <c r="E7" s="11"/>
      <c r="F7" s="11"/>
      <c r="G7" s="11" t="s">
        <v>370</v>
      </c>
      <c r="H7" s="11" t="s">
        <v>370</v>
      </c>
      <c r="I7" s="11" t="s">
        <v>370</v>
      </c>
      <c r="J7" s="11" t="s">
        <v>370</v>
      </c>
      <c r="K7" s="16" t="str">
        <f aca="false">IF(B7="","",IF(COUNTIF(G7:J7,"Yes")=4,"Driver","Demoted"))</f>
        <v>Driver</v>
      </c>
      <c r="L7" s="11"/>
    </row>
    <row r="8" customFormat="false" ht="30" hidden="false" customHeight="true" outlineLevel="0" collapsed="false">
      <c r="A8" s="11" t="s">
        <v>99</v>
      </c>
      <c r="B8" s="11" t="s">
        <v>372</v>
      </c>
      <c r="C8" s="11"/>
      <c r="D8" s="11"/>
      <c r="E8" s="11"/>
      <c r="F8" s="11"/>
      <c r="G8" s="11" t="s">
        <v>370</v>
      </c>
      <c r="H8" s="11" t="s">
        <v>370</v>
      </c>
      <c r="I8" s="11" t="s">
        <v>370</v>
      </c>
      <c r="J8" s="11" t="s">
        <v>370</v>
      </c>
      <c r="K8" s="16" t="str">
        <f aca="false">IF(B8="","",IF(COUNTIF(G8:J8,"Yes")=4,"Driver","Demoted"))</f>
        <v>Driver</v>
      </c>
      <c r="L8" s="11"/>
    </row>
    <row r="9" customFormat="false" ht="30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6" t="str">
        <f aca="false">IF(B9="","",IF(COUNTIF(G9:J9,"Yes")=4,"Driver","Demoted"))</f>
        <v/>
      </c>
      <c r="L9" s="11"/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6" t="str">
        <f aca="false">IF(B10="","",IF(COUNTIF(G10:J10,"Yes")=4,"Driver","Demoted"))</f>
        <v/>
      </c>
      <c r="L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6" t="str">
        <f aca="false">IF(B11="","",IF(COUNTIF(G11:J11,"Yes")=4,"Driver","Demoted"))</f>
        <v/>
      </c>
      <c r="L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6" t="str">
        <f aca="false">IF(B12="","",IF(COUNTIF(G12:J12,"Yes")=4,"Driver","Demoted"))</f>
        <v/>
      </c>
      <c r="L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6" t="str">
        <f aca="false">IF(B13="","",IF(COUNTIF(G13:J13,"Yes")=4,"Driver","Demoted"))</f>
        <v/>
      </c>
      <c r="L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6" t="str">
        <f aca="false">IF(B14="","",IF(COUNTIF(G14:J14,"Yes")=4,"Driver","Demoted"))</f>
        <v/>
      </c>
      <c r="L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6" t="str">
        <f aca="false">IF(B15="","",IF(COUNTIF(G15:J15,"Yes")=4,"Driver","Demoted"))</f>
        <v/>
      </c>
      <c r="L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6" t="str">
        <f aca="false">IF(B16="","",IF(COUNTIF(G16:J16,"Yes")=4,"Driver","Demoted"))</f>
        <v/>
      </c>
      <c r="L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6" t="str">
        <f aca="false">IF(B17="","",IF(COUNTIF(G17:J17,"Yes")=4,"Driver","Demoted"))</f>
        <v/>
      </c>
      <c r="L17" s="11"/>
    </row>
    <row r="19" customFormat="false" ht="23.85" hidden="false" customHeight="false" outlineLevel="0" collapsed="false">
      <c r="A19" s="20" t="s">
        <v>373</v>
      </c>
      <c r="C19" s="16" t="str">
        <f aca="false">COUNTIF(K6:K17,"Driver")&amp;" of "&amp;COUNTA(B6:B17)&amp;" candidates"</f>
        <v>3 of 3 candidates</v>
      </c>
      <c r="D19" s="15" t="str">
        <f aca="false">IF(COUNTA(B6:B17)=0,"",IF(AND(COUNTIF(K6:K17,"Driver")&gt;=3,COUNTIF(K6:K17,"Driver")&lt;=5),"OK: 3-5 drivers","Aim for 3-5 drivers"))</f>
        <v>OK: 3-5 drivers</v>
      </c>
    </row>
  </sheetData>
  <conditionalFormatting sqref="K6:K17">
    <cfRule type="expression" priority="2" aboveAverage="0" equalAverage="0" bottom="0" percent="0" rank="0" text="" dxfId="0">
      <formula>K6="Driver"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K6="Demoted"</formula>
    </cfRule>
  </conditionalFormatting>
  <dataValidations count="2">
    <dataValidation allowBlank="true" errorStyle="stop" operator="between" showDropDown="false" showErrorMessage="false" showInputMessage="false" sqref="G6:J17" type="list">
      <formula1>"Yes,No"</formula1>
      <formula2>0</formula2>
    </dataValidation>
    <dataValidation allowBlank="true" errorStyle="stop" operator="between" showDropDown="false" showErrorMessage="false" showInputMessage="false" sqref="L6:L17" type="list">
      <formula1>"expanding,compressing,redistributing"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7" t="s">
        <v>374</v>
      </c>
    </row>
    <row r="2" customFormat="false" ht="15" hidden="false" customHeight="false" outlineLevel="0" collapsed="false">
      <c r="A2" s="3" t="s">
        <v>375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376</v>
      </c>
      <c r="C5" s="12" t="s">
        <v>377</v>
      </c>
      <c r="D5" s="12" t="s">
        <v>378</v>
      </c>
      <c r="E5" s="30" t="s">
        <v>213</v>
      </c>
      <c r="F5" s="30" t="s">
        <v>259</v>
      </c>
      <c r="G5" s="30" t="s">
        <v>260</v>
      </c>
      <c r="H5" s="30" t="s">
        <v>261</v>
      </c>
      <c r="I5" s="30" t="s">
        <v>262</v>
      </c>
      <c r="J5" s="30" t="s">
        <v>263</v>
      </c>
    </row>
    <row r="6" customFormat="false" ht="15" hidden="false" customHeight="false" outlineLevel="0" collapsed="false">
      <c r="A6" s="11" t="s">
        <v>189</v>
      </c>
      <c r="B6" s="11" t="s">
        <v>379</v>
      </c>
      <c r="C6" s="31" t="n">
        <v>0.3</v>
      </c>
      <c r="D6" s="11" t="s">
        <v>380</v>
      </c>
      <c r="E6" s="11" t="n">
        <v>5</v>
      </c>
      <c r="F6" s="11" t="n">
        <v>4</v>
      </c>
      <c r="G6" s="11" t="n">
        <v>3</v>
      </c>
      <c r="H6" s="11" t="n">
        <v>4</v>
      </c>
      <c r="I6" s="11" t="n">
        <v>3</v>
      </c>
      <c r="J6" s="11" t="n">
        <v>2</v>
      </c>
    </row>
    <row r="7" customFormat="false" ht="15" hidden="false" customHeight="false" outlineLevel="0" collapsed="false">
      <c r="A7" s="11" t="s">
        <v>192</v>
      </c>
      <c r="B7" s="11" t="s">
        <v>381</v>
      </c>
      <c r="C7" s="31" t="n">
        <v>0.25</v>
      </c>
      <c r="D7" s="11" t="s">
        <v>382</v>
      </c>
      <c r="E7" s="11" t="n">
        <v>3</v>
      </c>
      <c r="F7" s="11" t="n">
        <v>5</v>
      </c>
      <c r="G7" s="11" t="n">
        <v>2</v>
      </c>
      <c r="H7" s="11" t="n">
        <v>3</v>
      </c>
      <c r="I7" s="11" t="n">
        <v>5</v>
      </c>
      <c r="J7" s="11" t="n">
        <v>2</v>
      </c>
    </row>
    <row r="8" customFormat="false" ht="15" hidden="false" customHeight="false" outlineLevel="0" collapsed="false">
      <c r="A8" s="11" t="s">
        <v>195</v>
      </c>
      <c r="B8" s="11" t="s">
        <v>383</v>
      </c>
      <c r="C8" s="31" t="n">
        <v>0.2</v>
      </c>
      <c r="D8" s="11" t="s">
        <v>96</v>
      </c>
      <c r="E8" s="11" t="n">
        <v>2</v>
      </c>
      <c r="F8" s="11" t="n">
        <v>4</v>
      </c>
      <c r="G8" s="11" t="n">
        <v>5</v>
      </c>
      <c r="H8" s="11" t="n">
        <v>3</v>
      </c>
      <c r="I8" s="11" t="n">
        <v>1</v>
      </c>
      <c r="J8" s="11" t="n">
        <v>5</v>
      </c>
    </row>
    <row r="9" customFormat="false" ht="15" hidden="false" customHeight="false" outlineLevel="0" collapsed="false">
      <c r="A9" s="11" t="s">
        <v>196</v>
      </c>
      <c r="B9" s="11" t="s">
        <v>384</v>
      </c>
      <c r="C9" s="31" t="n">
        <v>0.15</v>
      </c>
      <c r="D9" s="11" t="s">
        <v>385</v>
      </c>
      <c r="E9" s="11" t="n">
        <v>2</v>
      </c>
      <c r="F9" s="11" t="n">
        <v>3</v>
      </c>
      <c r="G9" s="11" t="n">
        <v>5</v>
      </c>
      <c r="H9" s="11" t="n">
        <v>3</v>
      </c>
      <c r="I9" s="11" t="n">
        <v>2</v>
      </c>
      <c r="J9" s="11" t="n">
        <v>4</v>
      </c>
    </row>
    <row r="10" customFormat="false" ht="15" hidden="false" customHeight="false" outlineLevel="0" collapsed="false">
      <c r="A10" s="11" t="s">
        <v>197</v>
      </c>
      <c r="B10" s="11" t="s">
        <v>386</v>
      </c>
      <c r="C10" s="31" t="n">
        <v>0.1</v>
      </c>
      <c r="D10" s="11" t="s">
        <v>99</v>
      </c>
      <c r="E10" s="11" t="n">
        <v>3</v>
      </c>
      <c r="F10" s="11" t="n">
        <v>5</v>
      </c>
      <c r="G10" s="11" t="n">
        <v>4</v>
      </c>
      <c r="H10" s="11" t="n">
        <v>3</v>
      </c>
      <c r="I10" s="11" t="n">
        <v>2</v>
      </c>
      <c r="J10" s="11" t="n">
        <v>3</v>
      </c>
    </row>
    <row r="11" customFormat="false" ht="15" hidden="false" customHeight="false" outlineLevel="0" collapsed="false">
      <c r="A11" s="11"/>
      <c r="B11" s="11"/>
      <c r="C11" s="31"/>
      <c r="D11" s="11"/>
      <c r="E11" s="11"/>
      <c r="F11" s="11"/>
      <c r="G11" s="11"/>
      <c r="H11" s="11"/>
      <c r="I11" s="11"/>
      <c r="J11" s="11"/>
    </row>
    <row r="12" customFormat="false" ht="15" hidden="false" customHeight="false" outlineLevel="0" collapsed="false">
      <c r="A12" s="11"/>
      <c r="B12" s="11"/>
      <c r="C12" s="3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11"/>
      <c r="B13" s="11"/>
      <c r="C13" s="31"/>
      <c r="D13" s="11"/>
      <c r="E13" s="11"/>
      <c r="F13" s="11"/>
      <c r="G13" s="11"/>
      <c r="H13" s="11"/>
      <c r="I13" s="11"/>
      <c r="J13" s="11"/>
    </row>
    <row r="14" customFormat="false" ht="15" hidden="false" customHeight="false" outlineLevel="0" collapsed="false">
      <c r="A14" s="11"/>
      <c r="B14" s="11"/>
      <c r="C14" s="31"/>
      <c r="D14" s="11"/>
      <c r="E14" s="11"/>
      <c r="F14" s="11"/>
      <c r="G14" s="11"/>
      <c r="H14" s="11"/>
      <c r="I14" s="11"/>
      <c r="J14" s="11"/>
    </row>
    <row r="15" customFormat="false" ht="15" hidden="false" customHeight="false" outlineLevel="0" collapsed="false">
      <c r="A15" s="11"/>
      <c r="B15" s="11"/>
      <c r="C15" s="31"/>
      <c r="D15" s="11"/>
      <c r="E15" s="11"/>
      <c r="F15" s="11"/>
      <c r="G15" s="11"/>
      <c r="H15" s="11"/>
      <c r="I15" s="11"/>
      <c r="J15" s="11"/>
    </row>
    <row r="16" customFormat="false" ht="15" hidden="false" customHeight="false" outlineLevel="0" collapsed="false">
      <c r="B16" s="20" t="s">
        <v>387</v>
      </c>
      <c r="C16" s="32" t="n">
        <f aca="false">SUM(C6:C15)</f>
        <v>1</v>
      </c>
      <c r="D16" s="15" t="str">
        <f aca="false">IF(ABS(C16-1)&lt;0.001,"OK","Weights must sum to 100%")</f>
        <v>OK</v>
      </c>
    </row>
    <row r="17" customFormat="false" ht="15" hidden="false" customHeight="false" outlineLevel="0" collapsed="false">
      <c r="B17" s="20" t="s">
        <v>388</v>
      </c>
      <c r="E17" s="33" t="n">
        <f aca="false">IF(COUNT(E6:E15)=0,"",SUMPRODUCT($C$6:$C$15,E6:E15))</f>
        <v>3.25</v>
      </c>
      <c r="F17" s="33" t="n">
        <f aca="false">IF(COUNT(F6:F15)=0,"",SUMPRODUCT($C$6:$C$15,F6:F15))</f>
        <v>4.2</v>
      </c>
      <c r="G17" s="33" t="n">
        <f aca="false">IF(COUNT(G6:G15)=0,"",SUMPRODUCT($C$6:$C$15,G6:G15))</f>
        <v>3.55</v>
      </c>
      <c r="H17" s="33" t="n">
        <f aca="false">IF(COUNT(H6:H15)=0,"",SUMPRODUCT($C$6:$C$15,H6:H15))</f>
        <v>3.3</v>
      </c>
      <c r="I17" s="33" t="n">
        <f aca="false">IF(COUNT(I6:I15)=0,"",SUMPRODUCT($C$6:$C$15,I6:I15))</f>
        <v>2.85</v>
      </c>
      <c r="J17" s="33" t="n">
        <f aca="false">IF(COUNT(J6:J15)=0,"",SUMPRODUCT($C$6:$C$15,J6:J15))</f>
        <v>3</v>
      </c>
    </row>
    <row r="18" customFormat="false" ht="15" hidden="false" customHeight="false" outlineLevel="0" collapsed="false">
      <c r="B18" s="20" t="s">
        <v>389</v>
      </c>
      <c r="E18" s="26" t="n">
        <f aca="false">IF(E17="","",RANK(E17,$E$17:$J$17))</f>
        <v>4</v>
      </c>
      <c r="F18" s="26" t="n">
        <f aca="false">IF(F17="","",RANK(F17,$E$17:$J$17))</f>
        <v>1</v>
      </c>
      <c r="G18" s="26" t="n">
        <f aca="false">IF(G17="","",RANK(G17,$E$17:$J$17))</f>
        <v>2</v>
      </c>
      <c r="H18" s="26" t="n">
        <f aca="false">IF(H17="","",RANK(H17,$E$17:$J$17))</f>
        <v>3</v>
      </c>
      <c r="I18" s="26" t="n">
        <f aca="false">IF(I17="","",RANK(I17,$E$17:$J$17))</f>
        <v>6</v>
      </c>
      <c r="J18" s="26" t="n">
        <f aca="false">IF(J17="","",RANK(J17,$E$17:$J$17))</f>
        <v>5</v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9" min="6" style="0" width="2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7" t="s">
        <v>22</v>
      </c>
    </row>
    <row r="2" customFormat="false" ht="15" hidden="false" customHeight="false" outlineLevel="0" collapsed="false">
      <c r="A2" s="3" t="s">
        <v>390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391</v>
      </c>
      <c r="B5" s="11"/>
      <c r="C5" s="11"/>
      <c r="D5" s="11"/>
      <c r="E5" s="11"/>
    </row>
    <row r="6" customFormat="false" ht="15" hidden="false" customHeight="false" outlineLevel="0" collapsed="false">
      <c r="A6" s="20" t="s">
        <v>392</v>
      </c>
      <c r="B6" s="11"/>
      <c r="C6" s="11"/>
      <c r="D6" s="11"/>
      <c r="E6" s="11"/>
    </row>
    <row r="8" customFormat="false" ht="30" hidden="false" customHeight="true" outlineLevel="0" collapsed="false">
      <c r="A8" s="12" t="s">
        <v>235</v>
      </c>
      <c r="B8" s="12" t="s">
        <v>393</v>
      </c>
      <c r="C8" s="12" t="s">
        <v>394</v>
      </c>
      <c r="D8" s="12" t="s">
        <v>395</v>
      </c>
    </row>
    <row r="9" customFormat="false" ht="15" hidden="false" customHeight="false" outlineLevel="0" collapsed="false">
      <c r="A9" s="11" t="s">
        <v>213</v>
      </c>
      <c r="B9" s="28"/>
      <c r="C9" s="28"/>
      <c r="D9" s="28"/>
    </row>
    <row r="10" customFormat="false" ht="15" hidden="false" customHeight="false" outlineLevel="0" collapsed="false">
      <c r="A10" s="11" t="s">
        <v>259</v>
      </c>
      <c r="B10" s="28"/>
      <c r="C10" s="28"/>
      <c r="D10" s="28"/>
    </row>
    <row r="11" customFormat="false" ht="15" hidden="false" customHeight="false" outlineLevel="0" collapsed="false">
      <c r="A11" s="11" t="s">
        <v>260</v>
      </c>
      <c r="B11" s="28"/>
      <c r="C11" s="28"/>
      <c r="D11" s="28"/>
    </row>
    <row r="12" customFormat="false" ht="15" hidden="false" customHeight="false" outlineLevel="0" collapsed="false">
      <c r="A12" s="11" t="s">
        <v>261</v>
      </c>
      <c r="B12" s="28"/>
      <c r="C12" s="28"/>
      <c r="D12" s="28"/>
    </row>
    <row r="13" customFormat="false" ht="15" hidden="false" customHeight="false" outlineLevel="0" collapsed="false">
      <c r="A13" s="11" t="s">
        <v>262</v>
      </c>
      <c r="B13" s="28"/>
      <c r="C13" s="28"/>
      <c r="D13" s="28"/>
    </row>
    <row r="14" customFormat="false" ht="15" hidden="false" customHeight="false" outlineLevel="0" collapsed="false">
      <c r="A14" s="11" t="s">
        <v>263</v>
      </c>
      <c r="B14" s="28"/>
      <c r="C14" s="28"/>
      <c r="D14" s="28"/>
    </row>
    <row r="15" customFormat="false" ht="15" hidden="false" customHeight="false" outlineLevel="0" collapsed="false">
      <c r="A15" s="11"/>
      <c r="B15" s="28"/>
      <c r="C15" s="28"/>
      <c r="D15" s="28"/>
    </row>
    <row r="16" customFormat="false" ht="15" hidden="false" customHeight="false" outlineLevel="0" collapsed="false">
      <c r="A16" s="11"/>
      <c r="B16" s="28"/>
      <c r="C16" s="28"/>
      <c r="D16" s="28"/>
    </row>
    <row r="17" customFormat="false" ht="15" hidden="false" customHeight="false" outlineLevel="0" collapsed="false">
      <c r="A17" s="11"/>
      <c r="B17" s="28"/>
      <c r="C17" s="28"/>
      <c r="D17" s="28"/>
    </row>
    <row r="18" customFormat="false" ht="15" hidden="false" customHeight="false" outlineLevel="0" collapsed="false">
      <c r="A18" s="11"/>
      <c r="B18" s="28"/>
      <c r="C18" s="28"/>
      <c r="D18" s="28"/>
    </row>
    <row r="30" customFormat="false" ht="15" hidden="false" customHeight="false" outlineLevel="0" collapsed="false">
      <c r="A30" s="17" t="s">
        <v>396</v>
      </c>
    </row>
    <row r="31" customFormat="false" ht="30" hidden="false" customHeight="true" outlineLevel="0" collapsed="false">
      <c r="A31" s="12" t="s">
        <v>389</v>
      </c>
      <c r="B31" s="12" t="s">
        <v>397</v>
      </c>
      <c r="C31" s="12" t="s">
        <v>398</v>
      </c>
      <c r="D31" s="12" t="s">
        <v>399</v>
      </c>
      <c r="E31" s="12" t="s">
        <v>400</v>
      </c>
      <c r="F31" s="12" t="s">
        <v>401</v>
      </c>
      <c r="G31" s="12" t="s">
        <v>402</v>
      </c>
      <c r="H31" s="12" t="s">
        <v>403</v>
      </c>
      <c r="I31" s="12" t="s">
        <v>404</v>
      </c>
      <c r="J31" s="12" t="s">
        <v>405</v>
      </c>
    </row>
    <row r="32" customFormat="false" ht="36" hidden="false" customHeight="true" outlineLevel="0" collapsed="false">
      <c r="A32" s="19"/>
      <c r="B32" s="28"/>
      <c r="C32" s="28"/>
      <c r="D32" s="11"/>
      <c r="E32" s="11"/>
      <c r="F32" s="11"/>
      <c r="G32" s="11"/>
      <c r="H32" s="11"/>
      <c r="I32" s="11"/>
      <c r="J32" s="11"/>
    </row>
    <row r="33" customFormat="false" ht="36" hidden="false" customHeight="true" outlineLevel="0" collapsed="false">
      <c r="A33" s="19"/>
      <c r="B33" s="28"/>
      <c r="C33" s="28"/>
      <c r="D33" s="11"/>
      <c r="E33" s="11"/>
      <c r="F33" s="11"/>
      <c r="G33" s="11"/>
      <c r="H33" s="11"/>
      <c r="I33" s="11"/>
      <c r="J33" s="11"/>
    </row>
    <row r="34" customFormat="false" ht="36" hidden="false" customHeight="true" outlineLevel="0" collapsed="false">
      <c r="A34" s="19"/>
      <c r="B34" s="28"/>
      <c r="C34" s="28"/>
      <c r="D34" s="11"/>
      <c r="E34" s="11"/>
      <c r="F34" s="11"/>
      <c r="G34" s="11"/>
      <c r="H34" s="11"/>
      <c r="I34" s="11"/>
      <c r="J34" s="11"/>
    </row>
    <row r="35" customFormat="false" ht="36" hidden="false" customHeight="true" outlineLevel="0" collapsed="false">
      <c r="A35" s="19"/>
      <c r="B35" s="28"/>
      <c r="C35" s="28"/>
      <c r="D35" s="11"/>
      <c r="E35" s="11"/>
      <c r="F35" s="11"/>
      <c r="G35" s="11"/>
      <c r="H35" s="11"/>
      <c r="I35" s="11"/>
      <c r="J35" s="11"/>
    </row>
    <row r="36" customFormat="false" ht="36" hidden="false" customHeight="true" outlineLevel="0" collapsed="false">
      <c r="A36" s="19"/>
      <c r="B36" s="28"/>
      <c r="C36" s="28"/>
      <c r="D36" s="11"/>
      <c r="E36" s="11"/>
      <c r="F36" s="11"/>
      <c r="G36" s="11"/>
      <c r="H36" s="11"/>
      <c r="I36" s="11"/>
      <c r="J36" s="11"/>
    </row>
  </sheetData>
  <mergeCells count="2">
    <mergeCell ref="B5:E5"/>
    <mergeCell ref="B6:E6"/>
  </mergeCells>
  <conditionalFormatting sqref="J32:J36">
    <cfRule type="expression" priority="2" aboveAverage="0" equalAverage="0" bottom="0" percent="0" rank="0" text="" dxfId="0">
      <formula>J32="supported"</formula>
    </cfRule>
    <cfRule type="expression" priority="3" aboveAverage="0" equalAverage="0" bottom="0" percent="0" rank="0" text="" dxfId="1">
      <formula>J32="UNVALIDATED"</formula>
    </cfRule>
    <cfRule type="expression" priority="4" aboveAverage="0" equalAverage="0" bottom="0" percent="0" rank="0" text="" dxfId="2">
      <formula>J32="gap"</formula>
    </cfRule>
  </conditionalFormatting>
  <dataValidations count="2">
    <dataValidation allowBlank="true" errorStyle="stop" operator="between" showDropDown="false" showErrorMessage="false" showInputMessage="false" sqref="J32:J36" type="list">
      <formula1>"UNVALIDATED,supported,gap"</formula1>
      <formula2>0</formula2>
    </dataValidation>
    <dataValidation allowBlank="true" errorStyle="stop" operator="between" showDropDown="false" showErrorMessage="false" showInputMessage="false" sqref="D32:D36" type="list">
      <formula1>"unpriced,evidence of demand,tested"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9.7" hidden="false" customHeight="false" outlineLevel="0" collapsed="false">
      <c r="A1" s="7" t="s">
        <v>25</v>
      </c>
    </row>
    <row r="2" customFormat="false" ht="15" hidden="false" customHeight="false" outlineLevel="0" collapsed="false">
      <c r="A2" s="3" t="s">
        <v>406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407</v>
      </c>
      <c r="C5" s="12" t="s">
        <v>408</v>
      </c>
      <c r="D5" s="12" t="s">
        <v>244</v>
      </c>
      <c r="E5" s="12" t="s">
        <v>409</v>
      </c>
      <c r="F5" s="12" t="s">
        <v>410</v>
      </c>
      <c r="G5" s="12" t="s">
        <v>411</v>
      </c>
      <c r="H5" s="12" t="s">
        <v>412</v>
      </c>
      <c r="I5" s="12" t="s">
        <v>413</v>
      </c>
      <c r="J5" s="12" t="s">
        <v>414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31"/>
      <c r="G6" s="31"/>
      <c r="H6" s="34" t="str">
        <f aca="false">IF(OR(F6="",G6=""),"",G6-F6)</f>
        <v/>
      </c>
      <c r="I6" s="15" t="str">
        <f aca="false">IF(B6="","",IF(H6="","No figures",IF(H6&gt;0.05,"Differentiating engine",IF(H6&lt;-0.05,"Value trap","In balance"))))</f>
        <v/>
      </c>
      <c r="J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31"/>
      <c r="G7" s="31"/>
      <c r="H7" s="34" t="str">
        <f aca="false">IF(OR(F7="",G7=""),"",G7-F7)</f>
        <v/>
      </c>
      <c r="I7" s="15" t="str">
        <f aca="false">IF(B7="","",IF(H7="","No figures",IF(H7&gt;0.05,"Differentiating engine",IF(H7&lt;-0.05,"Value trap","In balance"))))</f>
        <v/>
      </c>
      <c r="J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31"/>
      <c r="G8" s="31"/>
      <c r="H8" s="34" t="str">
        <f aca="false">IF(OR(F8="",G8=""),"",G8-F8)</f>
        <v/>
      </c>
      <c r="I8" s="15" t="str">
        <f aca="false">IF(B8="","",IF(H8="","No figures",IF(H8&gt;0.05,"Differentiating engine",IF(H8&lt;-0.05,"Value trap","In balance"))))</f>
        <v/>
      </c>
      <c r="J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31"/>
      <c r="G9" s="31"/>
      <c r="H9" s="34" t="str">
        <f aca="false">IF(OR(F9="",G9=""),"",G9-F9)</f>
        <v/>
      </c>
      <c r="I9" s="15" t="str">
        <f aca="false">IF(B9="","",IF(H9="","No figures",IF(H9&gt;0.05,"Differentiating engine",IF(H9&lt;-0.05,"Value trap","In balance"))))</f>
        <v/>
      </c>
      <c r="J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31"/>
      <c r="G10" s="31"/>
      <c r="H10" s="34" t="str">
        <f aca="false">IF(OR(F10="",G10=""),"",G10-F10)</f>
        <v/>
      </c>
      <c r="I10" s="15" t="str">
        <f aca="false">IF(B10="","",IF(H10="","No figures",IF(H10&gt;0.05,"Differentiating engine",IF(H10&lt;-0.05,"Value trap","In balance"))))</f>
        <v/>
      </c>
      <c r="J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31"/>
      <c r="G11" s="31"/>
      <c r="H11" s="34" t="str">
        <f aca="false">IF(OR(F11="",G11=""),"",G11-F11)</f>
        <v/>
      </c>
      <c r="I11" s="15" t="str">
        <f aca="false">IF(B11="","",IF(H11="","No figures",IF(H11&gt;0.05,"Differentiating engine",IF(H11&lt;-0.05,"Value trap","In balance"))))</f>
        <v/>
      </c>
      <c r="J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31"/>
      <c r="G12" s="31"/>
      <c r="H12" s="34" t="str">
        <f aca="false">IF(OR(F12="",G12=""),"",G12-F12)</f>
        <v/>
      </c>
      <c r="I12" s="15" t="str">
        <f aca="false">IF(B12="","",IF(H12="","No figures",IF(H12&gt;0.05,"Differentiating engine",IF(H12&lt;-0.05,"Value trap","In balance"))))</f>
        <v/>
      </c>
      <c r="J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31"/>
      <c r="G13" s="31"/>
      <c r="H13" s="34" t="str">
        <f aca="false">IF(OR(F13="",G13=""),"",G13-F13)</f>
        <v/>
      </c>
      <c r="I13" s="15" t="str">
        <f aca="false">IF(B13="","",IF(H13="","No figures",IF(H13&gt;0.05,"Differentiating engine",IF(H13&lt;-0.05,"Value trap","In balance"))))</f>
        <v/>
      </c>
      <c r="J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31"/>
      <c r="G14" s="31"/>
      <c r="H14" s="34" t="str">
        <f aca="false">IF(OR(F14="",G14=""),"",G14-F14)</f>
        <v/>
      </c>
      <c r="I14" s="15" t="str">
        <f aca="false">IF(B14="","",IF(H14="","No figures",IF(H14&gt;0.05,"Differentiating engine",IF(H14&lt;-0.05,"Value trap","In balance"))))</f>
        <v/>
      </c>
      <c r="J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31"/>
      <c r="G15" s="31"/>
      <c r="H15" s="34" t="str">
        <f aca="false">IF(OR(F15="",G15=""),"",G15-F15)</f>
        <v/>
      </c>
      <c r="I15" s="15" t="str">
        <f aca="false">IF(B15="","",IF(H15="","No figures",IF(H15&gt;0.05,"Differentiating engine",IF(H15&lt;-0.05,"Value trap","In balance"))))</f>
        <v/>
      </c>
      <c r="J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31"/>
      <c r="G16" s="31"/>
      <c r="H16" s="34" t="str">
        <f aca="false">IF(OR(F16="",G16=""),"",G16-F16)</f>
        <v/>
      </c>
      <c r="I16" s="15" t="str">
        <f aca="false">IF(B16="","",IF(H16="","No figures",IF(H16&gt;0.05,"Differentiating engine",IF(H16&lt;-0.05,"Value trap","In balance"))))</f>
        <v/>
      </c>
      <c r="J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31"/>
      <c r="G17" s="31"/>
      <c r="H17" s="34" t="str">
        <f aca="false">IF(OR(F17="",G17=""),"",G17-F17)</f>
        <v/>
      </c>
      <c r="I17" s="15" t="str">
        <f aca="false">IF(B17="","",IF(H17="","No figures",IF(H17&gt;0.05,"Differentiating engine",IF(H17&lt;-0.05,"Value trap","In balance"))))</f>
        <v/>
      </c>
      <c r="J17" s="11"/>
    </row>
    <row r="18" customFormat="false" ht="46.25" hidden="false" customHeight="false" outlineLevel="0" collapsed="false">
      <c r="A18" s="20" t="s">
        <v>415</v>
      </c>
      <c r="F18" s="32" t="n">
        <f aca="false">SUM(F6:F17)</f>
        <v>0</v>
      </c>
      <c r="G18" s="32" t="n">
        <f aca="false">SUM(G6:G17)</f>
        <v>0</v>
      </c>
      <c r="H18" s="15" t="str">
        <f aca="false">IF(AND(ABS(F18-1)&lt;0.02,ABS(G18-1)&lt;0.02),"Both sum to 100%","Cost and value shares should each sum to 100%")</f>
        <v>Cost and value shares should each sum to 100%</v>
      </c>
    </row>
  </sheetData>
  <conditionalFormatting sqref="I6:I17">
    <cfRule type="expression" priority="2" aboveAverage="0" equalAverage="0" bottom="0" percent="0" rank="0" text="" dxfId="0">
      <formula>I6="Differentiating engine"</formula>
    </cfRule>
    <cfRule type="expression" priority="3" aboveAverage="0" equalAverage="0" bottom="0" percent="0" rank="0" text="" dxfId="1">
      <formula>I6="In balance"</formula>
    </cfRule>
    <cfRule type="expression" priority="4" aboveAverage="0" equalAverage="0" bottom="0" percent="0" rank="0" text="" dxfId="2">
      <formula>I6="Value trap"</formula>
    </cfRule>
  </conditionalFormatting>
  <dataValidations count="3">
    <dataValidation allowBlank="true" errorStyle="stop" operator="between" showDropDown="false" showErrorMessage="false" showInputMessage="false" sqref="C6:C17" type="list">
      <formula1>"Inbound logistics,Operations,Outbound logistics,Marketing and sales,Service,Procurement,Technology,HR,Firm infrastructure"</formula1>
      <formula2>0</formula2>
    </dataValidation>
    <dataValidation allowBlank="true" errorStyle="stop" operator="between" showDropDown="false" showErrorMessage="false" showInputMessage="false" sqref="D6:D17" type="list">
      <formula1>"commodity,product,custom,genesis"</formula1>
      <formula2>0</formula2>
    </dataValidation>
    <dataValidation allowBlank="true" errorStyle="stop" operator="between" showDropDown="false" showErrorMessage="false" showInputMessage="false" sqref="E6:E17" type="list">
      <formula1>"in-house,outsourced,mixed"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true" outlineLevel="0" max="9" min="8" style="0" width="13"/>
  </cols>
  <sheetData>
    <row r="1" customFormat="false" ht="19.7" hidden="false" customHeight="false" outlineLevel="0" collapsed="false">
      <c r="A1" s="7" t="s">
        <v>416</v>
      </c>
    </row>
    <row r="2" customFormat="false" ht="15" hidden="false" customHeight="false" outlineLevel="0" collapsed="false">
      <c r="A2" s="3" t="s">
        <v>417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418</v>
      </c>
      <c r="D5" s="20" t="s">
        <v>419</v>
      </c>
    </row>
    <row r="6" customFormat="false" ht="15" hidden="false" customHeight="false" outlineLevel="0" collapsed="false">
      <c r="A6" s="5" t="s">
        <v>216</v>
      </c>
      <c r="B6" s="11"/>
      <c r="D6" s="20" t="s">
        <v>420</v>
      </c>
      <c r="E6" s="35" t="str">
        <f aca="false">IF(OR(B7="",B8=""),"",B7-B8)</f>
        <v/>
      </c>
      <c r="H6" s="36" t="n">
        <v>0</v>
      </c>
      <c r="I6" s="37" t="n">
        <f aca="false">IFERROR(IF($E$12-H6&lt;=0,0,$E$11*MIN(1,$E$12-H6)/(1+B14)^H6),0)</f>
        <v>0</v>
      </c>
    </row>
    <row r="7" customFormat="false" ht="15" hidden="false" customHeight="false" outlineLevel="0" collapsed="false">
      <c r="A7" s="5" t="s">
        <v>421</v>
      </c>
      <c r="B7" s="38"/>
      <c r="D7" s="5" t="s">
        <v>422</v>
      </c>
      <c r="E7" s="39" t="str">
        <f aca="false">IFERROR(E6/B7,"")</f>
        <v/>
      </c>
      <c r="H7" s="36" t="n">
        <v>1</v>
      </c>
      <c r="I7" s="37" t="n">
        <f aca="false">IFERROR(IF($E$12-H7&lt;=0,0,$E$11*MIN(1,$E$12-H7)/(1+B14)^H7),0)</f>
        <v>0</v>
      </c>
    </row>
    <row r="8" customFormat="false" ht="15" hidden="false" customHeight="false" outlineLevel="0" collapsed="false">
      <c r="A8" s="5" t="s">
        <v>423</v>
      </c>
      <c r="B8" s="38"/>
      <c r="D8" s="20" t="s">
        <v>424</v>
      </c>
      <c r="E8" s="23" t="str">
        <f aca="false">IFERROR(IF(E6&gt;0,B9/E6,"never"),"")</f>
        <v/>
      </c>
      <c r="H8" s="36" t="n">
        <v>2</v>
      </c>
      <c r="I8" s="37" t="n">
        <f aca="false">IFERROR(IF($E$12-H8&lt;=0,0,$E$11*MIN(1,$E$12-H8)/(1+B14)^H8),0)</f>
        <v>0</v>
      </c>
    </row>
    <row r="9" customFormat="false" ht="15" hidden="false" customHeight="false" outlineLevel="0" collapsed="false">
      <c r="A9" s="5" t="s">
        <v>425</v>
      </c>
      <c r="B9" s="38"/>
      <c r="D9" s="5" t="s">
        <v>426</v>
      </c>
      <c r="E9" s="39" t="str">
        <f aca="false">IFERROR((B10-E8)/B10,"")</f>
        <v/>
      </c>
      <c r="H9" s="36" t="n">
        <v>3</v>
      </c>
      <c r="I9" s="37" t="n">
        <f aca="false">IFERROR(IF($E$12-H9&lt;=0,0,$E$11*MIN(1,$E$12-H9)/(1+B14)^H9),0)</f>
        <v>0</v>
      </c>
    </row>
    <row r="10" customFormat="false" ht="15" hidden="false" customHeight="false" outlineLevel="0" collapsed="false">
      <c r="A10" s="5" t="s">
        <v>427</v>
      </c>
      <c r="B10" s="24"/>
      <c r="D10" s="5" t="s">
        <v>428</v>
      </c>
      <c r="E10" s="35" t="str">
        <f aca="false">IFERROR(E6*B10-B9,"")</f>
        <v/>
      </c>
      <c r="H10" s="36" t="n">
        <v>4</v>
      </c>
      <c r="I10" s="37" t="n">
        <f aca="false">IFERROR(IF($E$12-H10&lt;=0,0,$E$11*MIN(1,$E$12-H10)/(1+B14)^H10),0)</f>
        <v>0</v>
      </c>
    </row>
    <row r="11" customFormat="false" ht="15" hidden="false" customHeight="false" outlineLevel="0" collapsed="false">
      <c r="A11" s="5" t="s">
        <v>429</v>
      </c>
      <c r="B11" s="38"/>
      <c r="D11" s="5" t="s">
        <v>430</v>
      </c>
      <c r="E11" s="35" t="str">
        <f aca="false">IFERROR(E6*B12+N(B15),"")</f>
        <v/>
      </c>
      <c r="H11" s="36" t="n">
        <v>5</v>
      </c>
      <c r="I11" s="37" t="n">
        <f aca="false">IFERROR(IF($E$12-H11&lt;=0,0,$E$11*MIN(1,$E$12-H11)/(1+B14)^H11),0)</f>
        <v>0</v>
      </c>
    </row>
    <row r="12" customFormat="false" ht="15" hidden="false" customHeight="false" outlineLevel="0" collapsed="false">
      <c r="A12" s="5" t="s">
        <v>431</v>
      </c>
      <c r="B12" s="40"/>
      <c r="D12" s="5" t="s">
        <v>432</v>
      </c>
      <c r="E12" s="27" t="n">
        <f aca="false">IFERROR(IF(B13&gt;=1,10,MIN(10,1/(1-B13))),"")</f>
        <v>1</v>
      </c>
      <c r="H12" s="36" t="n">
        <v>6</v>
      </c>
      <c r="I12" s="37" t="n">
        <f aca="false">IFERROR(IF($E$12-H12&lt;=0,0,$E$11*MIN(1,$E$12-H12)/(1+B14)^H12),0)</f>
        <v>0</v>
      </c>
    </row>
    <row r="13" customFormat="false" ht="15" hidden="false" customHeight="false" outlineLevel="0" collapsed="false">
      <c r="A13" s="5" t="s">
        <v>433</v>
      </c>
      <c r="B13" s="31"/>
      <c r="D13" s="5" t="s">
        <v>434</v>
      </c>
      <c r="E13" s="35" t="str">
        <f aca="false">IF(E11="","",SUM(I6:I15))</f>
        <v/>
      </c>
      <c r="H13" s="36" t="n">
        <v>7</v>
      </c>
      <c r="I13" s="37" t="n">
        <f aca="false">IFERROR(IF($E$12-H13&lt;=0,0,$E$11*MIN(1,$E$12-H13)/(1+B14)^H13),0)</f>
        <v>0</v>
      </c>
    </row>
    <row r="14" customFormat="false" ht="15" hidden="false" customHeight="false" outlineLevel="0" collapsed="false">
      <c r="A14" s="5" t="s">
        <v>435</v>
      </c>
      <c r="B14" s="22"/>
      <c r="D14" s="20" t="s">
        <v>436</v>
      </c>
      <c r="E14" s="29" t="str">
        <f aca="false">IFERROR(E13/B11,"")</f>
        <v/>
      </c>
      <c r="H14" s="36" t="n">
        <v>8</v>
      </c>
      <c r="I14" s="37" t="n">
        <f aca="false">IFERROR(IF($E$12-H14&lt;=0,0,$E$11*MIN(1,$E$12-H14)/(1+B14)^H14),0)</f>
        <v>0</v>
      </c>
    </row>
    <row r="15" customFormat="false" ht="15" hidden="false" customHeight="false" outlineLevel="0" collapsed="false">
      <c r="A15" s="5" t="s">
        <v>437</v>
      </c>
      <c r="B15" s="38"/>
      <c r="D15" s="5" t="s">
        <v>438</v>
      </c>
      <c r="E15" s="27" t="str">
        <f aca="false">IFERROR(B11/(E11/12),"")</f>
        <v/>
      </c>
      <c r="H15" s="36" t="n">
        <v>9</v>
      </c>
      <c r="I15" s="37" t="n">
        <f aca="false">IFERROR(IF($E$12-H15&lt;=0,0,$E$11*MIN(1,$E$12-H15)/(1+B14)^H15),0)</f>
        <v>0</v>
      </c>
    </row>
    <row r="18" customFormat="false" ht="23.85" hidden="false" customHeight="false" outlineLevel="0" collapsed="false">
      <c r="A18" s="20" t="s">
        <v>439</v>
      </c>
    </row>
    <row r="19" customFormat="false" ht="30" hidden="false" customHeight="true" outlineLevel="0" collapsed="false">
      <c r="A19" s="12" t="s">
        <v>440</v>
      </c>
      <c r="B19" s="12" t="s">
        <v>441</v>
      </c>
      <c r="C19" s="12" t="s">
        <v>442</v>
      </c>
      <c r="D19" s="12" t="s">
        <v>443</v>
      </c>
    </row>
    <row r="20" customFormat="false" ht="15" hidden="false" customHeight="false" outlineLevel="0" collapsed="false">
      <c r="A20" s="5" t="s">
        <v>444</v>
      </c>
      <c r="B20" s="41" t="n">
        <f aca="false">IFERROR(((B7*(1+-0.1))-B8)*B10-B9,"")</f>
        <v>0</v>
      </c>
      <c r="C20" s="41" t="n">
        <f aca="false">IFERROR(((B7*(1+0))-B8)*B10-B9,"")</f>
        <v>0</v>
      </c>
      <c r="D20" s="41" t="n">
        <f aca="false">IFERROR(((B7*(1+0.1))-B8)*B10-B9,"")</f>
        <v>0</v>
      </c>
    </row>
    <row r="21" customFormat="false" ht="15" hidden="false" customHeight="false" outlineLevel="0" collapsed="false">
      <c r="A21" s="5" t="s">
        <v>445</v>
      </c>
      <c r="B21" s="41" t="n">
        <f aca="false">IFERROR((B7-B8*(1+-0.1))*B10-B9,"")</f>
        <v>0</v>
      </c>
      <c r="C21" s="41" t="n">
        <f aca="false">IFERROR((B7-B8*(1+0))*B10-B9,"")</f>
        <v>0</v>
      </c>
      <c r="D21" s="41" t="n">
        <f aca="false">IFERROR((B7-B8*(1+0.1))*B10-B9,"")</f>
        <v>0</v>
      </c>
    </row>
    <row r="22" customFormat="false" ht="15" hidden="false" customHeight="false" outlineLevel="0" collapsed="false">
      <c r="A22" s="5" t="s">
        <v>446</v>
      </c>
      <c r="B22" s="41" t="n">
        <f aca="false">IFERROR((B7-B8)*B10*(1+-0.1)-B9,"")</f>
        <v>0</v>
      </c>
      <c r="C22" s="41" t="n">
        <f aca="false">IFERROR((B7-B8)*B10*(1+0)-B9,"")</f>
        <v>0</v>
      </c>
      <c r="D22" s="41" t="n">
        <f aca="false">IFERROR((B7-B8)*B10*(1+0.1)-B9,"")</f>
        <v>0</v>
      </c>
    </row>
    <row r="23" customFormat="false" ht="15" hidden="false" customHeight="false" outlineLevel="0" collapsed="false">
      <c r="A23" s="5" t="s">
        <v>447</v>
      </c>
      <c r="B23" s="41" t="n">
        <f aca="false">IFERROR((B7-B8)*B10-B9*(1+-0.1),"")</f>
        <v>0</v>
      </c>
      <c r="C23" s="41" t="n">
        <f aca="false">IFERROR((B7-B8)*B10-B9*(1+0),"")</f>
        <v>0</v>
      </c>
      <c r="D23" s="41" t="n">
        <f aca="false">IFERROR((B7-B8)*B10-B9*(1+0.1),"")</f>
        <v>0</v>
      </c>
    </row>
  </sheetData>
  <conditionalFormatting sqref="E14">
    <cfRule type="expression" priority="2" aboveAverage="0" equalAverage="0" bottom="0" percent="0" rank="0" text="" dxfId="0">
      <formula>AND(ISNUMBER(E14),E14&gt;=3)</formula>
    </cfRule>
    <cfRule type="expression" priority="3" aboveAverage="0" equalAverage="0" bottom="0" percent="0" rank="0" text="" dxfId="1">
      <formula>AND(ISNUMBER(E14),E14&gt;=1)</formula>
    </cfRule>
    <cfRule type="expression" priority="4" aboveAverage="0" equalAverage="0" bottom="0" percent="0" rank="0" text="" dxfId="2">
      <formula>AND(ISNUMBER(E14),E14&lt;1)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7" t="s">
        <v>448</v>
      </c>
    </row>
    <row r="2" customFormat="false" ht="15" hidden="false" customHeight="false" outlineLevel="0" collapsed="false">
      <c r="A2" s="3" t="s">
        <v>449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450</v>
      </c>
    </row>
    <row r="6" customFormat="false" ht="30" hidden="false" customHeight="true" outlineLevel="0" collapsed="false">
      <c r="A6" s="12" t="s">
        <v>278</v>
      </c>
      <c r="B6" s="12" t="s">
        <v>451</v>
      </c>
      <c r="C6" s="12" t="s">
        <v>452</v>
      </c>
      <c r="D6" s="12" t="s">
        <v>453</v>
      </c>
    </row>
    <row r="7" customFormat="false" ht="15" hidden="false" customHeight="false" outlineLevel="0" collapsed="false">
      <c r="A7" s="11" t="s">
        <v>454</v>
      </c>
      <c r="B7" s="11" t="s">
        <v>455</v>
      </c>
      <c r="C7" s="11"/>
      <c r="D7" s="11"/>
    </row>
    <row r="8" customFormat="false" ht="15" hidden="false" customHeight="false" outlineLevel="0" collapsed="false">
      <c r="A8" s="11" t="s">
        <v>456</v>
      </c>
      <c r="B8" s="11" t="s">
        <v>457</v>
      </c>
      <c r="C8" s="11"/>
      <c r="D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1"/>
      <c r="B12" s="11"/>
      <c r="C12" s="11"/>
      <c r="D12" s="11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6" customFormat="false" ht="15" hidden="false" customHeight="false" outlineLevel="0" collapsed="false">
      <c r="A16" s="17" t="s">
        <v>458</v>
      </c>
    </row>
    <row r="17" customFormat="false" ht="30" hidden="false" customHeight="true" outlineLevel="0" collapsed="false">
      <c r="A17" s="12" t="s">
        <v>278</v>
      </c>
      <c r="B17" s="12" t="s">
        <v>459</v>
      </c>
      <c r="C17" s="12" t="s">
        <v>460</v>
      </c>
      <c r="D17" s="12" t="s">
        <v>461</v>
      </c>
      <c r="E17" s="12" t="s">
        <v>462</v>
      </c>
      <c r="F17" s="12" t="s">
        <v>463</v>
      </c>
    </row>
    <row r="18" customFormat="false" ht="15" hidden="false" customHeight="false" outlineLevel="0" collapsed="false">
      <c r="A18" s="11" t="s">
        <v>464</v>
      </c>
      <c r="B18" s="11" t="s">
        <v>465</v>
      </c>
      <c r="C18" s="11"/>
      <c r="D18" s="11"/>
      <c r="E18" s="11"/>
      <c r="F18" s="11"/>
    </row>
    <row r="19" customFormat="false" ht="15" hidden="false" customHeight="false" outlineLevel="0" collapsed="false">
      <c r="A19" s="11" t="s">
        <v>466</v>
      </c>
      <c r="B19" s="11" t="s">
        <v>467</v>
      </c>
      <c r="C19" s="11"/>
      <c r="D19" s="11"/>
      <c r="E19" s="11"/>
      <c r="F19" s="11"/>
    </row>
    <row r="20" customFormat="false" ht="15" hidden="false" customHeight="false" outlineLevel="0" collapsed="false">
      <c r="A20" s="11" t="s">
        <v>468</v>
      </c>
      <c r="B20" s="11" t="s">
        <v>469</v>
      </c>
      <c r="C20" s="11"/>
      <c r="D20" s="11"/>
      <c r="E20" s="11"/>
      <c r="F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</row>
    <row r="27" customFormat="false" ht="15" hidden="false" customHeight="false" outlineLevel="0" collapsed="false">
      <c r="A27" s="17" t="s">
        <v>470</v>
      </c>
    </row>
    <row r="28" customFormat="false" ht="30" hidden="false" customHeight="true" outlineLevel="0" collapsed="false">
      <c r="A28" s="12" t="s">
        <v>459</v>
      </c>
      <c r="B28" s="12" t="s">
        <v>471</v>
      </c>
      <c r="C28" s="12" t="s">
        <v>472</v>
      </c>
      <c r="D28" s="12" t="s">
        <v>473</v>
      </c>
      <c r="E28" s="12" t="s">
        <v>474</v>
      </c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5" customFormat="false" ht="15" hidden="false" customHeight="false" outlineLevel="0" collapsed="false">
      <c r="A35" s="20" t="s">
        <v>475</v>
      </c>
      <c r="B35" s="15" t="str">
        <f aca="false">COUNTA(B7:B14)&amp;" resources · "&amp;COUNTA(B18:B25)&amp;" capabilities ("&amp;COUNTIF(F18:F25,"distinctive")&amp;" distinctive) · "&amp;COUNTIF(E29:E33,"confirmed")&amp;" confirmed core competencies"</f>
        <v>2 resources · 3 capabilities (0 distinctive) · 0 confirmed core competencies</v>
      </c>
      <c r="C35" s="15"/>
      <c r="D35" s="15"/>
      <c r="E35" s="15"/>
      <c r="F35" s="15"/>
      <c r="G35" s="15"/>
    </row>
  </sheetData>
  <mergeCells count="1">
    <mergeCell ref="B35:G35"/>
  </mergeCells>
  <dataValidations count="3">
    <dataValidation allowBlank="true" errorStyle="stop" operator="between" showDropDown="false" showErrorMessage="false" showInputMessage="false" sqref="C7:C14" type="list">
      <formula1>"tangible,intangible,human,organisational"</formula1>
      <formula2>0</formula2>
    </dataValidation>
    <dataValidation allowBlank="true" errorStyle="stop" operator="between" showDropDown="false" showErrorMessage="false" showInputMessage="false" sqref="F18:F25" type="list">
      <formula1>"threshold,distinctive"</formula1>
      <formula2>0</formula2>
    </dataValidation>
    <dataValidation allowBlank="true" errorStyle="stop" operator="between" showDropDown="false" showErrorMessage="false" showInputMessage="false" sqref="E29:E33" type="list">
      <formula1>"candidate,confirmed,removed"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7" t="s">
        <v>476</v>
      </c>
    </row>
    <row r="2" customFormat="false" ht="15" hidden="false" customHeight="false" outlineLevel="0" collapsed="false">
      <c r="A2" s="3" t="s">
        <v>477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478</v>
      </c>
      <c r="B5" s="12" t="s">
        <v>452</v>
      </c>
      <c r="C5" s="12" t="s">
        <v>479</v>
      </c>
      <c r="D5" s="12" t="s">
        <v>480</v>
      </c>
      <c r="E5" s="12" t="s">
        <v>481</v>
      </c>
      <c r="F5" s="12" t="s">
        <v>482</v>
      </c>
      <c r="G5" s="12" t="s">
        <v>367</v>
      </c>
      <c r="H5" s="12" t="s">
        <v>483</v>
      </c>
      <c r="I5" s="12" t="s">
        <v>484</v>
      </c>
      <c r="J5" s="12" t="s">
        <v>485</v>
      </c>
      <c r="K5" s="12" t="s">
        <v>486</v>
      </c>
    </row>
    <row r="6" customFormat="false" ht="15" hidden="false" customHeight="false" outlineLevel="0" collapsed="false">
      <c r="A6" s="11" t="s">
        <v>465</v>
      </c>
      <c r="B6" s="11" t="s">
        <v>487</v>
      </c>
      <c r="C6" s="11" t="s">
        <v>370</v>
      </c>
      <c r="D6" s="11" t="s">
        <v>370</v>
      </c>
      <c r="E6" s="11" t="s">
        <v>370</v>
      </c>
      <c r="F6" s="11" t="s">
        <v>370</v>
      </c>
      <c r="G6" s="15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11" t="s">
        <v>189</v>
      </c>
      <c r="I6" s="31" t="n">
        <v>0.3</v>
      </c>
      <c r="J6" s="15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11" t="s">
        <v>488</v>
      </c>
    </row>
    <row r="7" customFormat="false" ht="15" hidden="false" customHeight="false" outlineLevel="0" collapsed="false">
      <c r="A7" s="11" t="s">
        <v>467</v>
      </c>
      <c r="B7" s="11" t="s">
        <v>487</v>
      </c>
      <c r="C7" s="11" t="s">
        <v>370</v>
      </c>
      <c r="D7" s="11" t="s">
        <v>370</v>
      </c>
      <c r="E7" s="11" t="s">
        <v>489</v>
      </c>
      <c r="F7" s="11" t="s">
        <v>370</v>
      </c>
      <c r="G7" s="15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>Temporary advantage</v>
      </c>
      <c r="H7" s="11" t="s">
        <v>192</v>
      </c>
      <c r="I7" s="31" t="n">
        <v>0.25</v>
      </c>
      <c r="J7" s="15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>Supported</v>
      </c>
      <c r="K7" s="11" t="s">
        <v>490</v>
      </c>
    </row>
    <row r="8" customFormat="false" ht="15" hidden="false" customHeight="false" outlineLevel="0" collapsed="false">
      <c r="A8" s="11" t="s">
        <v>469</v>
      </c>
      <c r="B8" s="11" t="s">
        <v>487</v>
      </c>
      <c r="C8" s="11" t="s">
        <v>370</v>
      </c>
      <c r="D8" s="11" t="s">
        <v>489</v>
      </c>
      <c r="E8" s="11" t="s">
        <v>489</v>
      </c>
      <c r="F8" s="11" t="s">
        <v>491</v>
      </c>
      <c r="G8" s="15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>Competitive parity</v>
      </c>
      <c r="H8" s="11" t="s">
        <v>192</v>
      </c>
      <c r="I8" s="31" t="n">
        <v>0.25</v>
      </c>
      <c r="J8" s="15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>Table stakes</v>
      </c>
      <c r="K8" s="11" t="s">
        <v>302</v>
      </c>
    </row>
    <row r="9" customFormat="false" ht="15" hidden="false" customHeight="false" outlineLevel="0" collapsed="false">
      <c r="A9" s="11" t="s">
        <v>457</v>
      </c>
      <c r="B9" s="11" t="s">
        <v>492</v>
      </c>
      <c r="C9" s="11" t="s">
        <v>370</v>
      </c>
      <c r="D9" s="11" t="s">
        <v>370</v>
      </c>
      <c r="E9" s="11" t="s">
        <v>491</v>
      </c>
      <c r="F9" s="11" t="s">
        <v>370</v>
      </c>
      <c r="G9" s="15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>Undetermined beyond rare</v>
      </c>
      <c r="H9" s="11" t="s">
        <v>189</v>
      </c>
      <c r="I9" s="31" t="n">
        <v>0.3</v>
      </c>
      <c r="J9" s="15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11" t="s">
        <v>490</v>
      </c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5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11"/>
      <c r="I10" s="31"/>
      <c r="J10" s="15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5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11"/>
      <c r="I11" s="31"/>
      <c r="J11" s="15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5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11"/>
      <c r="I12" s="31"/>
      <c r="J12" s="15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5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11"/>
      <c r="I13" s="31"/>
      <c r="J13" s="15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5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11"/>
      <c r="I14" s="31"/>
      <c r="J14" s="15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5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11"/>
      <c r="I15" s="31"/>
      <c r="J15" s="15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5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11"/>
      <c r="I16" s="31"/>
      <c r="J16" s="15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5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11"/>
      <c r="I17" s="31"/>
      <c r="J17" s="15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5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11"/>
      <c r="I18" s="31"/>
      <c r="J18" s="15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5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11"/>
      <c r="I19" s="31"/>
      <c r="J19" s="15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5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11"/>
      <c r="I20" s="31"/>
      <c r="J20" s="15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11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7" t="s">
        <v>493</v>
      </c>
    </row>
    <row r="2" customFormat="false" ht="15" hidden="false" customHeight="false" outlineLevel="0" collapsed="false">
      <c r="A2" s="3" t="s">
        <v>494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495</v>
      </c>
      <c r="B5" s="12" t="s">
        <v>496</v>
      </c>
      <c r="C5" s="12" t="s">
        <v>497</v>
      </c>
      <c r="D5" s="12" t="s">
        <v>498</v>
      </c>
      <c r="E5" s="12" t="s">
        <v>499</v>
      </c>
      <c r="F5" s="12" t="s">
        <v>500</v>
      </c>
      <c r="G5" s="12" t="s">
        <v>501</v>
      </c>
    </row>
    <row r="6" customFormat="false" ht="15" hidden="false" customHeight="false" outlineLevel="0" collapsed="false">
      <c r="A6" s="5" t="s">
        <v>421</v>
      </c>
      <c r="B6" s="24"/>
      <c r="C6" s="24"/>
      <c r="D6" s="11"/>
      <c r="E6" s="11"/>
      <c r="F6" s="42" t="str">
        <f aca="false">IF(B6="","",IF(C6="",B6,MAX(B6,C6)))</f>
        <v/>
      </c>
      <c r="G6" s="43" t="str">
        <f aca="false">IFERROR(((F6+N(B7)-B9)*B8-B10)-((B6+N(B7)-B9)*B8-B10),"")</f>
        <v/>
      </c>
    </row>
    <row r="7" customFormat="false" ht="15" hidden="false" customHeight="false" outlineLevel="0" collapsed="false">
      <c r="A7" s="5" t="s">
        <v>502</v>
      </c>
      <c r="B7" s="24"/>
      <c r="C7" s="24"/>
      <c r="D7" s="11"/>
      <c r="E7" s="11"/>
      <c r="F7" s="42" t="str">
        <f aca="false">IF(B7="","",IF(C7="",B7,MAX(B7,C7)))</f>
        <v/>
      </c>
      <c r="G7" s="43" t="str">
        <f aca="false">IFERROR(((F6+N(F7)-B9)*B8-B10)-((F6+N(B7)-B9)*B8-B10),"")</f>
        <v/>
      </c>
    </row>
    <row r="8" customFormat="false" ht="15" hidden="false" customHeight="false" outlineLevel="0" collapsed="false">
      <c r="A8" s="5" t="s">
        <v>446</v>
      </c>
      <c r="B8" s="24"/>
      <c r="C8" s="24"/>
      <c r="D8" s="11"/>
      <c r="E8" s="11"/>
      <c r="F8" s="42" t="str">
        <f aca="false">IF(B8="","",IF(C8="",B8,MAX(B8,C8)))</f>
        <v/>
      </c>
      <c r="G8" s="43" t="str">
        <f aca="false">IFERROR(((F6+N(F7)-B9)*F8-B10)-((F6+N(F7)-B9)*B8-B10),"")</f>
        <v/>
      </c>
    </row>
    <row r="9" customFormat="false" ht="15" hidden="false" customHeight="false" outlineLevel="0" collapsed="false">
      <c r="A9" s="5" t="s">
        <v>423</v>
      </c>
      <c r="B9" s="24"/>
      <c r="C9" s="24"/>
      <c r="D9" s="11"/>
      <c r="E9" s="11"/>
      <c r="F9" s="42" t="str">
        <f aca="false">IF(B9="","",IF(C9="",B9,MIN(B9,C9)))</f>
        <v/>
      </c>
      <c r="G9" s="43" t="str">
        <f aca="false">IFERROR(((F6+N(F7)-F9)*F8-B10)-((F6+N(F7)-B9)*F8-B10),"")</f>
        <v/>
      </c>
    </row>
    <row r="10" customFormat="false" ht="15" hidden="false" customHeight="false" outlineLevel="0" collapsed="false">
      <c r="A10" s="5" t="s">
        <v>447</v>
      </c>
      <c r="B10" s="24"/>
      <c r="C10" s="24"/>
      <c r="D10" s="11"/>
      <c r="E10" s="11"/>
      <c r="F10" s="42" t="str">
        <f aca="false">IF(B10="","",IF(C10="",B10,MIN(B10,C10)))</f>
        <v/>
      </c>
      <c r="G10" s="43" t="str">
        <f aca="false">IFERROR(((F6+N(F7)-F9)*F8-F10)-((F6+N(F7)-F9)*F8-B10),"")</f>
        <v/>
      </c>
    </row>
    <row r="12" customFormat="false" ht="15" hidden="false" customHeight="false" outlineLevel="0" collapsed="false">
      <c r="A12" s="20" t="s">
        <v>503</v>
      </c>
      <c r="B12" s="43" t="n">
        <f aca="false">IFERROR(((B6+N(B7)-B9)*B8-B10),"")</f>
        <v>0</v>
      </c>
    </row>
    <row r="13" customFormat="false" ht="23.85" hidden="false" customHeight="false" outlineLevel="0" collapsed="false">
      <c r="A13" s="20" t="s">
        <v>504</v>
      </c>
      <c r="B13" s="43" t="str">
        <f aca="false">IFERROR(((F6+N(F7)-F9)*F8-F10),"")</f>
        <v/>
      </c>
    </row>
    <row r="14" customFormat="false" ht="15" hidden="false" customHeight="false" outlineLevel="0" collapsed="false">
      <c r="A14" s="20" t="s">
        <v>505</v>
      </c>
      <c r="B14" s="43" t="str">
        <f aca="false">IFERROR(B13-B12,"")</f>
        <v/>
      </c>
      <c r="C14" s="44" t="str">
        <f aca="false">IFERROR(B14/ABS(B12),"")</f>
        <v/>
      </c>
    </row>
    <row r="15" customFormat="false" ht="15" hidden="false" customHeight="false" outlineLevel="0" collapsed="false">
      <c r="A15" s="20" t="s">
        <v>506</v>
      </c>
      <c r="B15" s="16" t="str">
        <f aca="false">IFERROR(INDEX(A6:A10,MATCH(MAX(G6:G10),G6:G10,0)),"")</f>
        <v/>
      </c>
    </row>
  </sheetData>
  <dataValidations count="1">
    <dataValidation allowBlank="true" errorStyle="stop" operator="between" showDropDown="false" showErrorMessage="false" showInputMessage="false" sqref="E6:E10" type="list">
      <formula1>"controllable,capability-bound,structural"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507</v>
      </c>
    </row>
    <row r="2" customFormat="false" ht="15" hidden="false" customHeight="false" outlineLevel="0" collapsed="false">
      <c r="A2" s="3" t="s">
        <v>508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509</v>
      </c>
      <c r="B5" s="12" t="s">
        <v>474</v>
      </c>
      <c r="C5" s="12" t="s">
        <v>486</v>
      </c>
      <c r="D5" s="12" t="s">
        <v>510</v>
      </c>
    </row>
    <row r="6" customFormat="false" ht="30" hidden="false" customHeight="true" outlineLevel="0" collapsed="false">
      <c r="A6" s="5" t="s">
        <v>511</v>
      </c>
      <c r="B6" s="11"/>
      <c r="C6" s="11"/>
      <c r="D6" s="11"/>
    </row>
    <row r="7" customFormat="false" ht="30" hidden="false" customHeight="true" outlineLevel="0" collapsed="false">
      <c r="A7" s="5" t="s">
        <v>512</v>
      </c>
      <c r="B7" s="11"/>
      <c r="C7" s="11"/>
      <c r="D7" s="11"/>
    </row>
    <row r="8" customFormat="false" ht="30" hidden="false" customHeight="true" outlineLevel="0" collapsed="false">
      <c r="A8" s="5" t="s">
        <v>513</v>
      </c>
      <c r="B8" s="11"/>
      <c r="C8" s="11"/>
      <c r="D8" s="11"/>
    </row>
    <row r="9" customFormat="false" ht="30" hidden="false" customHeight="true" outlineLevel="0" collapsed="false">
      <c r="A9" s="5" t="s">
        <v>514</v>
      </c>
      <c r="B9" s="11"/>
      <c r="C9" s="11"/>
      <c r="D9" s="11"/>
    </row>
    <row r="10" customFormat="false" ht="30" hidden="false" customHeight="true" outlineLevel="0" collapsed="false">
      <c r="A10" s="5" t="s">
        <v>515</v>
      </c>
      <c r="B10" s="11"/>
      <c r="C10" s="11"/>
      <c r="D10" s="11"/>
    </row>
    <row r="11" customFormat="false" ht="30" hidden="false" customHeight="true" outlineLevel="0" collapsed="false">
      <c r="A11" s="5" t="s">
        <v>516</v>
      </c>
      <c r="B11" s="11"/>
      <c r="C11" s="11"/>
      <c r="D11" s="11"/>
    </row>
    <row r="13" customFormat="false" ht="15" hidden="false" customHeight="false" outlineLevel="0" collapsed="false">
      <c r="A13" s="20" t="s">
        <v>517</v>
      </c>
      <c r="B13" s="16" t="str">
        <f aca="false">IF(COUNTIF(B6:B11,"binding")=1,INDEX(A6:A11,MATCH("binding",B6:B11,0)),IF(COUNTIF(B6:B11,"binding")=0,"None marked","More than one: choose the one that binds first"))</f>
        <v>None marked</v>
      </c>
      <c r="C13" s="16"/>
      <c r="D13" s="16"/>
    </row>
  </sheetData>
  <mergeCells count="1">
    <mergeCell ref="B13:D13"/>
  </mergeCells>
  <conditionalFormatting sqref="B6:B11">
    <cfRule type="expression" priority="2" aboveAverage="0" equalAverage="0" bottom="0" percent="0" rank="0" text="" dxfId="0">
      <formula>B6="slack"</formula>
    </cfRule>
    <cfRule type="expression" priority="3" aboveAverage="0" equalAverage="0" bottom="0" percent="0" rank="0" text="" dxfId="1">
      <formula>B6="tight"</formula>
    </cfRule>
    <cfRule type="expression" priority="4" aboveAverage="0" equalAverage="0" bottom="0" percent="0" rank="0" text="" dxfId="2">
      <formula>B6="binding"</formula>
    </cfRule>
  </conditionalFormatting>
  <dataValidations count="1">
    <dataValidation allowBlank="true" errorStyle="stop" operator="between" showDropDown="false" showErrorMessage="false" showInputMessage="false" sqref="B6:B11" type="list">
      <formula1>"binding,tight,slack"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7" t="s">
        <v>518</v>
      </c>
    </row>
    <row r="2" customFormat="false" ht="15" hidden="false" customHeight="false" outlineLevel="0" collapsed="false">
      <c r="A2" s="3" t="s">
        <v>519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2" t="s">
        <v>278</v>
      </c>
      <c r="B5" s="12" t="s">
        <v>520</v>
      </c>
      <c r="C5" s="12" t="s">
        <v>521</v>
      </c>
      <c r="E5" s="12" t="s">
        <v>278</v>
      </c>
      <c r="F5" s="12" t="s">
        <v>522</v>
      </c>
      <c r="G5" s="12" t="s">
        <v>521</v>
      </c>
    </row>
    <row r="6" customFormat="false" ht="15" hidden="false" customHeight="false" outlineLevel="0" collapsed="false">
      <c r="A6" s="20" t="s">
        <v>523</v>
      </c>
      <c r="B6" s="11" t="s">
        <v>524</v>
      </c>
      <c r="C6" s="11" t="s">
        <v>464</v>
      </c>
      <c r="E6" s="20" t="s">
        <v>525</v>
      </c>
      <c r="F6" s="11" t="s">
        <v>526</v>
      </c>
      <c r="G6" s="11" t="s">
        <v>196</v>
      </c>
    </row>
    <row r="7" customFormat="false" ht="15" hidden="false" customHeight="false" outlineLevel="0" collapsed="false">
      <c r="A7" s="20" t="s">
        <v>527</v>
      </c>
      <c r="B7" s="11" t="s">
        <v>467</v>
      </c>
      <c r="C7" s="11" t="s">
        <v>466</v>
      </c>
      <c r="E7" s="20" t="s">
        <v>528</v>
      </c>
      <c r="F7" s="11" t="s">
        <v>529</v>
      </c>
      <c r="G7" s="11" t="s">
        <v>468</v>
      </c>
    </row>
    <row r="8" customFormat="false" ht="15" hidden="false" customHeight="false" outlineLevel="0" collapsed="false">
      <c r="A8" s="20" t="s">
        <v>530</v>
      </c>
      <c r="B8" s="11"/>
      <c r="C8" s="11"/>
      <c r="E8" s="20" t="s">
        <v>531</v>
      </c>
      <c r="F8" s="11"/>
      <c r="G8" s="11"/>
    </row>
    <row r="9" customFormat="false" ht="15" hidden="false" customHeight="false" outlineLevel="0" collapsed="false">
      <c r="A9" s="20" t="s">
        <v>532</v>
      </c>
      <c r="B9" s="11"/>
      <c r="C9" s="11"/>
      <c r="E9" s="20" t="s">
        <v>533</v>
      </c>
      <c r="F9" s="11"/>
      <c r="G9" s="11"/>
    </row>
    <row r="10" customFormat="false" ht="15" hidden="false" customHeight="false" outlineLevel="0" collapsed="false">
      <c r="A10" s="20" t="s">
        <v>534</v>
      </c>
      <c r="B10" s="11"/>
      <c r="C10" s="11"/>
      <c r="E10" s="20" t="s">
        <v>535</v>
      </c>
      <c r="F10" s="11"/>
      <c r="G10" s="11"/>
    </row>
    <row r="11" customFormat="false" ht="15" hidden="false" customHeight="false" outlineLevel="0" collapsed="false">
      <c r="A11" s="20" t="s">
        <v>536</v>
      </c>
      <c r="B11" s="11"/>
      <c r="C11" s="11"/>
      <c r="E11" s="20" t="s">
        <v>537</v>
      </c>
      <c r="F11" s="11"/>
      <c r="G11" s="11"/>
    </row>
    <row r="14" customFormat="false" ht="15" hidden="false" customHeight="false" outlineLevel="0" collapsed="false">
      <c r="A14" s="12" t="s">
        <v>278</v>
      </c>
      <c r="B14" s="12" t="s">
        <v>538</v>
      </c>
      <c r="C14" s="12" t="s">
        <v>521</v>
      </c>
      <c r="E14" s="12" t="s">
        <v>278</v>
      </c>
      <c r="F14" s="12" t="s">
        <v>539</v>
      </c>
      <c r="G14" s="12" t="s">
        <v>521</v>
      </c>
    </row>
    <row r="15" customFormat="false" ht="15" hidden="false" customHeight="false" outlineLevel="0" collapsed="false">
      <c r="A15" s="20" t="s">
        <v>540</v>
      </c>
      <c r="B15" s="11" t="s">
        <v>541</v>
      </c>
      <c r="C15" s="11" t="s">
        <v>525</v>
      </c>
      <c r="E15" s="20" t="s">
        <v>175</v>
      </c>
      <c r="F15" s="11" t="s">
        <v>294</v>
      </c>
      <c r="G15" s="11" t="s">
        <v>292</v>
      </c>
    </row>
    <row r="16" customFormat="false" ht="15" hidden="false" customHeight="false" outlineLevel="0" collapsed="false">
      <c r="A16" s="20" t="s">
        <v>542</v>
      </c>
      <c r="B16" s="11" t="s">
        <v>543</v>
      </c>
      <c r="C16" s="11" t="s">
        <v>308</v>
      </c>
      <c r="E16" s="20" t="s">
        <v>178</v>
      </c>
      <c r="F16" s="11" t="s">
        <v>544</v>
      </c>
      <c r="G16" s="11" t="s">
        <v>312</v>
      </c>
    </row>
    <row r="17" customFormat="false" ht="15" hidden="false" customHeight="false" outlineLevel="0" collapsed="false">
      <c r="A17" s="20" t="s">
        <v>545</v>
      </c>
      <c r="B17" s="11"/>
      <c r="C17" s="11"/>
      <c r="E17" s="20" t="s">
        <v>179</v>
      </c>
      <c r="F17" s="11"/>
      <c r="G17" s="11"/>
    </row>
    <row r="18" customFormat="false" ht="15" hidden="false" customHeight="false" outlineLevel="0" collapsed="false">
      <c r="A18" s="20" t="s">
        <v>546</v>
      </c>
      <c r="B18" s="11"/>
      <c r="C18" s="11"/>
      <c r="E18" s="20" t="s">
        <v>180</v>
      </c>
      <c r="F18" s="11"/>
      <c r="G18" s="11"/>
    </row>
    <row r="19" customFormat="false" ht="15" hidden="false" customHeight="false" outlineLevel="0" collapsed="false">
      <c r="A19" s="20" t="s">
        <v>547</v>
      </c>
      <c r="B19" s="11"/>
      <c r="C19" s="11"/>
      <c r="E19" s="20" t="s">
        <v>181</v>
      </c>
      <c r="F19" s="11"/>
      <c r="G19" s="11"/>
    </row>
    <row r="20" customFormat="false" ht="15" hidden="false" customHeight="false" outlineLevel="0" collapsed="false">
      <c r="A20" s="20" t="s">
        <v>548</v>
      </c>
      <c r="B20" s="11"/>
      <c r="C20" s="11"/>
      <c r="E20" s="20" t="s">
        <v>182</v>
      </c>
      <c r="F20" s="11"/>
      <c r="G20" s="11"/>
    </row>
    <row r="23" customFormat="false" ht="15" hidden="false" customHeight="false" outlineLevel="0" collapsed="false">
      <c r="A23" s="12" t="s">
        <v>549</v>
      </c>
      <c r="B23" s="12" t="s">
        <v>550</v>
      </c>
      <c r="C23" s="12" t="s">
        <v>551</v>
      </c>
    </row>
    <row r="24" customFormat="false" ht="15" hidden="false" customHeight="false" outlineLevel="0" collapsed="false">
      <c r="A24" s="11" t="s">
        <v>552</v>
      </c>
      <c r="B24" s="11" t="s">
        <v>553</v>
      </c>
      <c r="C24" s="11" t="s">
        <v>554</v>
      </c>
    </row>
    <row r="25" customFormat="false" ht="15" hidden="false" customHeight="false" outlineLevel="0" collapsed="false">
      <c r="A25" s="11" t="s">
        <v>555</v>
      </c>
      <c r="B25" s="11" t="s">
        <v>556</v>
      </c>
      <c r="C25" s="11" t="s">
        <v>557</v>
      </c>
    </row>
    <row r="26" customFormat="false" ht="15" hidden="false" customHeight="false" outlineLevel="0" collapsed="false">
      <c r="A26" s="11" t="s">
        <v>558</v>
      </c>
      <c r="B26" s="11" t="s">
        <v>559</v>
      </c>
      <c r="C26" s="11" t="s">
        <v>560</v>
      </c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561</v>
      </c>
    </row>
    <row r="2" customFormat="false" ht="15" hidden="false" customHeight="false" outlineLevel="0" collapsed="false">
      <c r="A2" s="3" t="s">
        <v>562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5" t="s">
        <v>563</v>
      </c>
      <c r="B5" s="11"/>
      <c r="C5" s="11"/>
      <c r="D5" s="11"/>
    </row>
    <row r="6" customFormat="false" ht="30" hidden="false" customHeight="true" outlineLevel="0" collapsed="false">
      <c r="A6" s="5" t="s">
        <v>564</v>
      </c>
      <c r="B6" s="11"/>
      <c r="C6" s="11"/>
      <c r="D6" s="11"/>
    </row>
    <row r="7" customFormat="false" ht="30" hidden="false" customHeight="true" outlineLevel="0" collapsed="false">
      <c r="A7" s="5" t="s">
        <v>565</v>
      </c>
      <c r="B7" s="11"/>
      <c r="C7" s="11"/>
      <c r="D7" s="11"/>
    </row>
    <row r="8" customFormat="false" ht="30" hidden="false" customHeight="true" outlineLevel="0" collapsed="false">
      <c r="A8" s="5" t="s">
        <v>566</v>
      </c>
      <c r="B8" s="11"/>
      <c r="C8" s="11"/>
      <c r="D8" s="11"/>
    </row>
    <row r="9" customFormat="false" ht="30" hidden="false" customHeight="true" outlineLevel="0" collapsed="false">
      <c r="A9" s="5" t="s">
        <v>567</v>
      </c>
      <c r="B9" s="11"/>
      <c r="C9" s="11"/>
      <c r="D9" s="11"/>
    </row>
    <row r="10" customFormat="false" ht="48" hidden="false" customHeight="true" outlineLevel="0" collapsed="false">
      <c r="A10" s="5" t="s">
        <v>568</v>
      </c>
      <c r="B10" s="11"/>
      <c r="C10" s="11"/>
      <c r="D10" s="11"/>
    </row>
    <row r="12" customFormat="false" ht="30" hidden="false" customHeight="true" outlineLevel="0" collapsed="false">
      <c r="A12" s="12" t="s">
        <v>569</v>
      </c>
      <c r="B12" s="12" t="s">
        <v>130</v>
      </c>
      <c r="C12" s="12" t="s">
        <v>367</v>
      </c>
      <c r="D12" s="12" t="s">
        <v>486</v>
      </c>
    </row>
    <row r="13" customFormat="false" ht="15" hidden="false" customHeight="false" outlineLevel="0" collapsed="false">
      <c r="A13" s="5" t="s">
        <v>570</v>
      </c>
      <c r="B13" s="5" t="s">
        <v>571</v>
      </c>
      <c r="C13" s="11"/>
      <c r="D13" s="11"/>
    </row>
    <row r="14" customFormat="false" ht="15" hidden="false" customHeight="false" outlineLevel="0" collapsed="false">
      <c r="A14" s="5" t="s">
        <v>572</v>
      </c>
      <c r="B14" s="5" t="s">
        <v>573</v>
      </c>
      <c r="C14" s="11"/>
      <c r="D14" s="11"/>
    </row>
    <row r="15" customFormat="false" ht="15" hidden="false" customHeight="false" outlineLevel="0" collapsed="false">
      <c r="A15" s="5" t="s">
        <v>574</v>
      </c>
      <c r="B15" s="5" t="s">
        <v>575</v>
      </c>
      <c r="C15" s="11"/>
      <c r="D15" s="11"/>
    </row>
    <row r="16" customFormat="false" ht="15" hidden="false" customHeight="false" outlineLevel="0" collapsed="false">
      <c r="A16" s="5" t="s">
        <v>576</v>
      </c>
      <c r="B16" s="5" t="s">
        <v>577</v>
      </c>
      <c r="C16" s="11"/>
      <c r="D16" s="11"/>
    </row>
    <row r="17" customFormat="false" ht="15" hidden="false" customHeight="false" outlineLevel="0" collapsed="false">
      <c r="A17" s="5" t="s">
        <v>578</v>
      </c>
      <c r="B17" s="5" t="s">
        <v>579</v>
      </c>
      <c r="C17" s="11"/>
      <c r="D17" s="11"/>
    </row>
    <row r="19" customFormat="false" ht="15" hidden="false" customHeight="false" outlineLevel="0" collapsed="false">
      <c r="A19" s="20" t="s">
        <v>580</v>
      </c>
      <c r="B19" s="16" t="str">
        <f aca="false">COUNTIF(C13:C17,"supported")&amp;" supported · "&amp;COUNTIF(C13:C17,"open question")&amp;" open · "&amp;COUNTIF(C13:C17,"conflicts")&amp;" conflicts"</f>
        <v>0 supported · 0 open · 0 conflicts</v>
      </c>
    </row>
  </sheetData>
  <mergeCells count="6">
    <mergeCell ref="B5:D5"/>
    <mergeCell ref="B6:D6"/>
    <mergeCell ref="B7:D7"/>
    <mergeCell ref="B8:D8"/>
    <mergeCell ref="B9:D9"/>
    <mergeCell ref="B10:D10"/>
  </mergeCells>
  <conditionalFormatting sqref="C13:C17">
    <cfRule type="expression" priority="2" aboveAverage="0" equalAverage="0" bottom="0" percent="0" rank="0" text="" dxfId="0">
      <formula>C13="supported"</formula>
    </cfRule>
    <cfRule type="expression" priority="3" aboveAverage="0" equalAverage="0" bottom="0" percent="0" rank="0" text="" dxfId="1">
      <formula>C13="open question"</formula>
    </cfRule>
    <cfRule type="expression" priority="4" aboveAverage="0" equalAverage="0" bottom="0" percent="0" rank="0" text="" dxfId="2">
      <formula>C13="conflicts"</formula>
    </cfRule>
  </conditionalFormatting>
  <dataValidations count="2">
    <dataValidation allowBlank="true" errorStyle="stop" operator="between" showDropDown="false" showErrorMessage="false" showInputMessage="false" sqref="B5" type="list">
      <formula1>"Low-cost provider,Broad differentiation,Best-cost provider,Focused low-cost,Focused differentiation,[your choice]"</formula1>
      <formula2>0</formula2>
    </dataValidation>
    <dataValidation allowBlank="true" errorStyle="stop" operator="between" showDropDown="false" showErrorMessage="false" showInputMessage="false" sqref="C13:C17" type="list">
      <formula1>"supported,open question,conflicts"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3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7" t="s">
        <v>581</v>
      </c>
    </row>
    <row r="2" customFormat="false" ht="15" hidden="false" customHeight="false" outlineLevel="0" collapsed="false">
      <c r="A2" s="3" t="s">
        <v>582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583</v>
      </c>
      <c r="B5" s="11"/>
      <c r="C5" s="11"/>
      <c r="D5" s="11"/>
      <c r="E5" s="11"/>
      <c r="F5" s="11"/>
      <c r="G5" s="11"/>
    </row>
    <row r="6" customFormat="false" ht="23.85" hidden="false" customHeight="false" outlineLevel="0" collapsed="false">
      <c r="A6" s="5" t="s">
        <v>584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5" t="s">
        <v>130</v>
      </c>
      <c r="B7" s="11"/>
      <c r="C7" s="11"/>
      <c r="D7" s="11"/>
      <c r="E7" s="11"/>
      <c r="F7" s="11"/>
      <c r="G7" s="11"/>
    </row>
    <row r="9" customFormat="false" ht="30" hidden="false" customHeight="true" outlineLevel="0" collapsed="false">
      <c r="A9" s="12" t="s">
        <v>278</v>
      </c>
      <c r="B9" s="12" t="s">
        <v>585</v>
      </c>
      <c r="C9" s="12" t="s">
        <v>586</v>
      </c>
      <c r="D9" s="12" t="s">
        <v>587</v>
      </c>
      <c r="E9" s="12" t="s">
        <v>588</v>
      </c>
      <c r="F9" s="12" t="s">
        <v>589</v>
      </c>
      <c r="G9" s="12" t="s">
        <v>590</v>
      </c>
    </row>
    <row r="10" customFormat="false" ht="30" hidden="false" customHeight="true" outlineLevel="0" collapsed="false">
      <c r="A10" s="11"/>
      <c r="B10" s="11" t="s">
        <v>591</v>
      </c>
      <c r="C10" s="11"/>
      <c r="D10" s="11"/>
      <c r="E10" s="11"/>
      <c r="F10" s="11"/>
      <c r="G10" s="11" t="s">
        <v>489</v>
      </c>
    </row>
    <row r="11" customFormat="false" ht="30" hidden="false" customHeight="true" outlineLevel="0" collapsed="false">
      <c r="A11" s="11"/>
      <c r="B11" s="11" t="s">
        <v>592</v>
      </c>
      <c r="C11" s="11"/>
      <c r="D11" s="11"/>
      <c r="E11" s="11"/>
      <c r="F11" s="11"/>
      <c r="G11" s="11" t="s">
        <v>489</v>
      </c>
    </row>
    <row r="12" customFormat="false" ht="30" hidden="false" customHeight="true" outlineLevel="0" collapsed="false">
      <c r="A12" s="11"/>
      <c r="B12" s="11" t="s">
        <v>593</v>
      </c>
      <c r="C12" s="11"/>
      <c r="D12" s="11"/>
      <c r="E12" s="11"/>
      <c r="F12" s="11"/>
      <c r="G12" s="11" t="s">
        <v>489</v>
      </c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</row>
    <row r="19" customFormat="false" ht="15" hidden="false" customHeight="false" outlineLevel="0" collapsed="false">
      <c r="A19" s="20" t="s">
        <v>594</v>
      </c>
      <c r="B19" s="16" t="str">
        <f aca="false">IF(COUNTIF(C10:C17,"do nothing")=0,"Add do nothing as the baseline",IF(COUNTA(B10:B17)-1&lt;3,"Add options: aim for three or more plus do nothing","OK"))</f>
        <v>Add do nothing as the baseline</v>
      </c>
      <c r="C19" s="16"/>
      <c r="D19" s="16"/>
      <c r="E19" s="16"/>
      <c r="F19" s="16"/>
      <c r="G19" s="16"/>
    </row>
  </sheetData>
  <mergeCells count="4">
    <mergeCell ref="B5:G5"/>
    <mergeCell ref="B6:G6"/>
    <mergeCell ref="B7:G7"/>
    <mergeCell ref="B19:G19"/>
  </mergeCells>
  <dataValidations count="2">
    <dataValidation allowBlank="true" errorStyle="stop" operator="between" showDropDown="false" showErrorMessage="false" showInputMessage="false" sqref="C10:C17" type="list">
      <formula1>"build,buy,partner,license,focus,exit,do nothing"</formula1>
      <formula2>0</formula2>
    </dataValidation>
    <dataValidation allowBlank="true" errorStyle="stop" operator="between" showDropDown="false" showErrorMessage="false" showInputMessage="false" sqref="G10:G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7" t="s">
        <v>44</v>
      </c>
    </row>
    <row r="2" customFormat="false" ht="15" hidden="false" customHeight="false" outlineLevel="0" collapsed="false">
      <c r="A2" s="3" t="s">
        <v>595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596</v>
      </c>
      <c r="B5" s="12" t="s">
        <v>597</v>
      </c>
      <c r="C5" s="12" t="s">
        <v>598</v>
      </c>
      <c r="D5" s="30" t="s">
        <v>591</v>
      </c>
      <c r="E5" s="30" t="s">
        <v>592</v>
      </c>
      <c r="F5" s="30" t="s">
        <v>593</v>
      </c>
      <c r="G5" s="30" t="s">
        <v>599</v>
      </c>
      <c r="H5" s="30" t="s">
        <v>600</v>
      </c>
    </row>
    <row r="6" customFormat="false" ht="15" hidden="false" customHeight="false" outlineLevel="0" collapsed="false">
      <c r="A6" s="11" t="s">
        <v>601</v>
      </c>
      <c r="B6" s="11" t="n">
        <v>5</v>
      </c>
      <c r="C6" s="11" t="s">
        <v>105</v>
      </c>
      <c r="D6" s="11" t="n">
        <v>4</v>
      </c>
      <c r="E6" s="11" t="n">
        <v>3</v>
      </c>
      <c r="F6" s="11" t="n">
        <v>1</v>
      </c>
      <c r="G6" s="11"/>
      <c r="H6" s="11"/>
    </row>
    <row r="7" customFormat="false" ht="15" hidden="false" customHeight="false" outlineLevel="0" collapsed="false">
      <c r="A7" s="11" t="s">
        <v>602</v>
      </c>
      <c r="B7" s="11" t="n">
        <v>4</v>
      </c>
      <c r="C7" s="11" t="s">
        <v>109</v>
      </c>
      <c r="D7" s="11" t="n">
        <v>5</v>
      </c>
      <c r="E7" s="11" t="n">
        <v>4</v>
      </c>
      <c r="F7" s="11" t="n">
        <v>1</v>
      </c>
      <c r="G7" s="11"/>
      <c r="H7" s="11"/>
    </row>
    <row r="8" customFormat="false" ht="15" hidden="false" customHeight="false" outlineLevel="0" collapsed="false">
      <c r="A8" s="11" t="s">
        <v>603</v>
      </c>
      <c r="B8" s="11" t="n">
        <v>3</v>
      </c>
      <c r="C8" s="11" t="s">
        <v>105</v>
      </c>
      <c r="D8" s="11" t="n">
        <v>1</v>
      </c>
      <c r="E8" s="11" t="n">
        <v>4</v>
      </c>
      <c r="F8" s="11" t="n">
        <v>5</v>
      </c>
      <c r="G8" s="11"/>
      <c r="H8" s="11"/>
    </row>
    <row r="9" customFormat="false" ht="15" hidden="false" customHeight="false" outlineLevel="0" collapsed="false">
      <c r="A9" s="11" t="s">
        <v>604</v>
      </c>
      <c r="B9" s="11" t="n">
        <v>3</v>
      </c>
      <c r="C9" s="11" t="s">
        <v>113</v>
      </c>
      <c r="D9" s="11" t="n">
        <v>3</v>
      </c>
      <c r="E9" s="11" t="n">
        <v>5</v>
      </c>
      <c r="F9" s="11" t="n">
        <v>1</v>
      </c>
      <c r="G9" s="11"/>
      <c r="H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20" t="s">
        <v>388</v>
      </c>
      <c r="D14" s="33" t="n">
        <f aca="false">IF(COUNT(D6:D13)=0,"",SUMPRODUCT($B$6:$B$13,D6:D13)/SUMPRODUCT($B$6:$B$13*(D6:D13&lt;&gt;"")))</f>
        <v>3.46666666666667</v>
      </c>
      <c r="E14" s="33" t="n">
        <f aca="false">IF(COUNT(E6:E13)=0,"",SUMPRODUCT($B$6:$B$13,E6:E13)/SUMPRODUCT($B$6:$B$13*(E6:E13&lt;&gt;"")))</f>
        <v>3.86666666666667</v>
      </c>
      <c r="F14" s="33" t="n">
        <f aca="false">IF(COUNT(F6:F13)=0,"",SUMPRODUCT($B$6:$B$13,F6:F13)/SUMPRODUCT($B$6:$B$13*(F6:F13&lt;&gt;"")))</f>
        <v>1.8</v>
      </c>
      <c r="G14" s="33" t="str">
        <f aca="false">IF(COUNT(G6:G13)=0,"",SUMPRODUCT($B$6:$B$13,G6:G13)/SUMPRODUCT($B$6:$B$13*(G6:G13&lt;&gt;"")))</f>
        <v/>
      </c>
      <c r="H14" s="33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20" t="s">
        <v>389</v>
      </c>
      <c r="D15" s="26" t="n">
        <f aca="false">IF(D14="","",RANK(D14,$D$14:$H$14))</f>
        <v>2</v>
      </c>
      <c r="E15" s="26" t="n">
        <f aca="false">IF(E14="","",RANK(E14,$D$14:$H$14))</f>
        <v>1</v>
      </c>
      <c r="F15" s="26" t="n">
        <f aca="false">IF(F14="","",RANK(F14,$D$14:$H$14))</f>
        <v>3</v>
      </c>
      <c r="G15" s="26" t="str">
        <f aca="false">IF(G14="","",RANK(G14,$D$14:$H$14))</f>
        <v/>
      </c>
      <c r="H15" s="26" t="str">
        <f aca="false">IF(H14="","",RANK(H14,$D$14:$H$14))</f>
        <v/>
      </c>
    </row>
    <row r="17" customFormat="false" ht="23.85" hidden="false" customHeight="false" outlineLevel="0" collapsed="false">
      <c r="A17" s="5" t="s">
        <v>605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7" t="s">
        <v>46</v>
      </c>
    </row>
    <row r="2" customFormat="false" ht="15" hidden="false" customHeight="false" outlineLevel="0" collapsed="false">
      <c r="A2" s="3" t="s">
        <v>606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20" t="s">
        <v>608</v>
      </c>
    </row>
    <row r="6" customFormat="false" ht="15" hidden="false" customHeight="false" outlineLevel="0" collapsed="false">
      <c r="A6" s="5" t="s">
        <v>435</v>
      </c>
      <c r="B6" s="22" t="n">
        <v>0.1</v>
      </c>
    </row>
    <row r="7" customFormat="false" ht="15" hidden="false" customHeight="false" outlineLevel="0" collapsed="false">
      <c r="A7" s="5" t="s">
        <v>609</v>
      </c>
      <c r="B7" s="22" t="n">
        <v>0.21</v>
      </c>
    </row>
    <row r="8" customFormat="false" ht="15" hidden="false" customHeight="false" outlineLevel="0" collapsed="false">
      <c r="A8" s="5" t="s">
        <v>610</v>
      </c>
      <c r="B8" s="22" t="n">
        <v>0.05</v>
      </c>
    </row>
    <row r="10" customFormat="false" ht="15" hidden="false" customHeight="false" outlineLevel="0" collapsed="false">
      <c r="A10" s="12" t="s">
        <v>611</v>
      </c>
      <c r="B10" s="12" t="s">
        <v>612</v>
      </c>
      <c r="C10" s="12" t="s">
        <v>613</v>
      </c>
      <c r="D10" s="12" t="s">
        <v>614</v>
      </c>
      <c r="E10" s="12" t="s">
        <v>615</v>
      </c>
      <c r="F10" s="12" t="s">
        <v>616</v>
      </c>
      <c r="G10" s="12" t="s">
        <v>617</v>
      </c>
    </row>
    <row r="11" customFormat="false" ht="15" hidden="false" customHeight="false" outlineLevel="0" collapsed="false">
      <c r="A11" s="5" t="s">
        <v>618</v>
      </c>
      <c r="B11" s="24" t="n">
        <v>0</v>
      </c>
      <c r="C11" s="24" t="n">
        <v>32400</v>
      </c>
      <c r="D11" s="24" t="n">
        <v>64800</v>
      </c>
      <c r="E11" s="24" t="n">
        <v>97200</v>
      </c>
      <c r="F11" s="24" t="n">
        <v>108000</v>
      </c>
      <c r="G11" s="24" t="n">
        <v>108000</v>
      </c>
    </row>
    <row r="12" customFormat="false" ht="15" hidden="false" customHeight="false" outlineLevel="0" collapsed="false">
      <c r="A12" s="5" t="s">
        <v>421</v>
      </c>
      <c r="B12" s="38" t="n">
        <v>32000</v>
      </c>
      <c r="C12" s="38" t="n">
        <v>32000</v>
      </c>
      <c r="D12" s="38" t="n">
        <v>32000</v>
      </c>
      <c r="E12" s="38" t="n">
        <v>32000</v>
      </c>
      <c r="F12" s="38" t="n">
        <v>32000</v>
      </c>
      <c r="G12" s="38" t="n">
        <v>32000</v>
      </c>
    </row>
    <row r="13" customFormat="false" ht="15" hidden="false" customHeight="false" outlineLevel="0" collapsed="false">
      <c r="A13" s="5" t="s">
        <v>423</v>
      </c>
      <c r="B13" s="38" t="n">
        <v>20000</v>
      </c>
      <c r="C13" s="38" t="n">
        <v>20000</v>
      </c>
      <c r="D13" s="38" t="n">
        <v>20000</v>
      </c>
      <c r="E13" s="38" t="n">
        <v>20000</v>
      </c>
      <c r="F13" s="38" t="n">
        <v>20000</v>
      </c>
      <c r="G13" s="38" t="n">
        <v>20000</v>
      </c>
    </row>
    <row r="14" customFormat="false" ht="15" hidden="false" customHeight="false" outlineLevel="0" collapsed="false">
      <c r="A14" s="5" t="s">
        <v>447</v>
      </c>
      <c r="B14" s="38" t="n">
        <v>0</v>
      </c>
      <c r="C14" s="38" t="n">
        <v>180000000</v>
      </c>
      <c r="D14" s="38" t="n">
        <v>180000000</v>
      </c>
      <c r="E14" s="38" t="n">
        <v>180000000</v>
      </c>
      <c r="F14" s="38" t="n">
        <v>180000000</v>
      </c>
      <c r="G14" s="38" t="n">
        <v>180000000</v>
      </c>
    </row>
    <row r="15" customFormat="false" ht="15" hidden="false" customHeight="false" outlineLevel="0" collapsed="false">
      <c r="A15" s="5" t="s">
        <v>619</v>
      </c>
      <c r="B15" s="38" t="n">
        <v>2000000000</v>
      </c>
      <c r="C15" s="38" t="n">
        <v>100000000</v>
      </c>
      <c r="D15" s="38" t="n">
        <v>100000000</v>
      </c>
      <c r="E15" s="38" t="n">
        <v>50000000</v>
      </c>
      <c r="F15" s="38" t="n">
        <v>50000000</v>
      </c>
      <c r="G15" s="38" t="n">
        <v>50000000</v>
      </c>
    </row>
    <row r="16" customFormat="false" ht="15" hidden="false" customHeight="false" outlineLevel="0" collapsed="false">
      <c r="A16" s="5" t="s">
        <v>620</v>
      </c>
      <c r="B16" s="45" t="n">
        <f aca="false">B11*B12</f>
        <v>0</v>
      </c>
      <c r="C16" s="45" t="n">
        <f aca="false">C11*C12</f>
        <v>1036800000</v>
      </c>
      <c r="D16" s="45" t="n">
        <f aca="false">D11*D12</f>
        <v>2073600000</v>
      </c>
      <c r="E16" s="45" t="n">
        <f aca="false">E11*E12</f>
        <v>3110400000</v>
      </c>
      <c r="F16" s="45" t="n">
        <f aca="false">F11*F12</f>
        <v>3456000000</v>
      </c>
      <c r="G16" s="45" t="n">
        <f aca="false">G11*G12</f>
        <v>3456000000</v>
      </c>
    </row>
    <row r="17" customFormat="false" ht="15" hidden="false" customHeight="false" outlineLevel="0" collapsed="false">
      <c r="A17" s="5" t="s">
        <v>621</v>
      </c>
      <c r="B17" s="45" t="n">
        <f aca="false">B11*(B12-B13)</f>
        <v>0</v>
      </c>
      <c r="C17" s="45" t="n">
        <f aca="false">C11*(C12-C13)</f>
        <v>388800000</v>
      </c>
      <c r="D17" s="45" t="n">
        <f aca="false">D11*(D12-D13)</f>
        <v>777600000</v>
      </c>
      <c r="E17" s="45" t="n">
        <f aca="false">E11*(E12-E13)</f>
        <v>1166400000</v>
      </c>
      <c r="F17" s="45" t="n">
        <f aca="false">F11*(F12-F13)</f>
        <v>1296000000</v>
      </c>
      <c r="G17" s="45" t="n">
        <f aca="false">G11*(G12-G13)</f>
        <v>1296000000</v>
      </c>
    </row>
    <row r="18" customFormat="false" ht="15" hidden="false" customHeight="false" outlineLevel="0" collapsed="false">
      <c r="A18" s="5" t="s">
        <v>622</v>
      </c>
      <c r="B18" s="45" t="n">
        <f aca="false">B17-B14</f>
        <v>0</v>
      </c>
      <c r="C18" s="45" t="n">
        <f aca="false">C17-C14</f>
        <v>208800000</v>
      </c>
      <c r="D18" s="45" t="n">
        <f aca="false">D17-D14</f>
        <v>597600000</v>
      </c>
      <c r="E18" s="45" t="n">
        <f aca="false">E17-E14</f>
        <v>986400000</v>
      </c>
      <c r="F18" s="45" t="n">
        <f aca="false">F17-F14</f>
        <v>1116000000</v>
      </c>
      <c r="G18" s="45" t="n">
        <f aca="false">G17-G14</f>
        <v>1116000000</v>
      </c>
    </row>
    <row r="19" customFormat="false" ht="15" hidden="false" customHeight="false" outlineLevel="0" collapsed="false">
      <c r="A19" s="5" t="s">
        <v>623</v>
      </c>
      <c r="B19" s="45" t="n">
        <f aca="false">MAX(0,B18)*$B$7</f>
        <v>0</v>
      </c>
      <c r="C19" s="45" t="n">
        <f aca="false">MAX(0,C18)*$B$7</f>
        <v>43848000</v>
      </c>
      <c r="D19" s="45" t="n">
        <f aca="false">MAX(0,D18)*$B$7</f>
        <v>125496000</v>
      </c>
      <c r="E19" s="45" t="n">
        <f aca="false">MAX(0,E18)*$B$7</f>
        <v>207144000</v>
      </c>
      <c r="F19" s="45" t="n">
        <f aca="false">MAX(0,F18)*$B$7</f>
        <v>234360000</v>
      </c>
      <c r="G19" s="45" t="n">
        <f aca="false">MAX(0,G18)*$B$7</f>
        <v>234360000</v>
      </c>
    </row>
    <row r="20" customFormat="false" ht="15" hidden="false" customHeight="false" outlineLevel="0" collapsed="false">
      <c r="A20" s="5" t="s">
        <v>624</v>
      </c>
      <c r="B20" s="45" t="n">
        <f aca="false">B16*$B$8</f>
        <v>0</v>
      </c>
      <c r="C20" s="45" t="n">
        <f aca="false">C16*$B$8</f>
        <v>51840000</v>
      </c>
      <c r="D20" s="45" t="n">
        <f aca="false">D16*$B$8</f>
        <v>103680000</v>
      </c>
      <c r="E20" s="45" t="n">
        <f aca="false">E16*$B$8</f>
        <v>155520000</v>
      </c>
      <c r="F20" s="45" t="n">
        <f aca="false">F16*$B$8</f>
        <v>172800000</v>
      </c>
      <c r="G20" s="45" t="n">
        <f aca="false">G16*$B$8</f>
        <v>172800000</v>
      </c>
    </row>
    <row r="21" customFormat="false" ht="15" hidden="false" customHeight="false" outlineLevel="0" collapsed="false">
      <c r="A21" s="5" t="s">
        <v>625</v>
      </c>
      <c r="B21" s="45" t="n">
        <f aca="false">B20</f>
        <v>0</v>
      </c>
      <c r="C21" s="45" t="n">
        <f aca="false">C20-B20</f>
        <v>51840000</v>
      </c>
      <c r="D21" s="45" t="n">
        <f aca="false">D20-C20</f>
        <v>51840000</v>
      </c>
      <c r="E21" s="45" t="n">
        <f aca="false">E20-D20</f>
        <v>51840000</v>
      </c>
      <c r="F21" s="45" t="n">
        <f aca="false">F20-E20</f>
        <v>17280000</v>
      </c>
      <c r="G21" s="45" t="n">
        <f aca="false">G20-F20</f>
        <v>0</v>
      </c>
    </row>
    <row r="22" customFormat="false" ht="15" hidden="false" customHeight="false" outlineLevel="0" collapsed="false">
      <c r="A22" s="20" t="s">
        <v>626</v>
      </c>
      <c r="B22" s="46" t="n">
        <f aca="false">B18-B19-B21-B15</f>
        <v>-2000000000</v>
      </c>
      <c r="C22" s="46" t="n">
        <f aca="false">C18-C19-C21-C15</f>
        <v>13112000</v>
      </c>
      <c r="D22" s="46" t="n">
        <f aca="false">D18-D19-D21-D15</f>
        <v>320264000</v>
      </c>
      <c r="E22" s="46" t="n">
        <f aca="false">E18-E19-E21-E15</f>
        <v>677416000</v>
      </c>
      <c r="F22" s="46" t="n">
        <f aca="false">F18-F19-F21-F15</f>
        <v>814360000</v>
      </c>
      <c r="G22" s="46" t="n">
        <f aca="false">G18-G19-G21-G15+G20</f>
        <v>1004440000</v>
      </c>
    </row>
    <row r="23" customFormat="false" ht="15" hidden="false" customHeight="false" outlineLevel="0" collapsed="false">
      <c r="A23" s="5" t="s">
        <v>627</v>
      </c>
      <c r="B23" s="45" t="n">
        <f aca="false">B22</f>
        <v>-2000000000</v>
      </c>
      <c r="C23" s="45" t="n">
        <f aca="false">B23+C22</f>
        <v>-1986888000</v>
      </c>
      <c r="D23" s="45" t="n">
        <f aca="false">C23+D22</f>
        <v>-1666624000</v>
      </c>
      <c r="E23" s="45" t="n">
        <f aca="false">D23+E22</f>
        <v>-989208000</v>
      </c>
      <c r="F23" s="45" t="n">
        <f aca="false">E23+F22</f>
        <v>-174848000</v>
      </c>
      <c r="G23" s="45" t="n">
        <f aca="false">F23+G22</f>
        <v>829592000</v>
      </c>
    </row>
    <row r="25" customFormat="false" ht="15" hidden="false" customHeight="false" outlineLevel="0" collapsed="false">
      <c r="A25" s="20" t="s">
        <v>628</v>
      </c>
      <c r="B25" s="46" t="n">
        <f aca="false">IF(COUNT(B11:G11)=0,"",B22+NPV($B$6,C22:G22))</f>
        <v>-34549289.8522835</v>
      </c>
    </row>
    <row r="26" customFormat="false" ht="15" hidden="false" customHeight="false" outlineLevel="0" collapsed="false">
      <c r="A26" s="20" t="s">
        <v>629</v>
      </c>
      <c r="B26" s="21" t="n">
        <f aca="false">IFERROR(IRR(B22:G22),"n/a")</f>
        <v>0.0949319301494521</v>
      </c>
    </row>
    <row r="27" customFormat="false" ht="15" hidden="false" customHeight="false" outlineLevel="0" collapsed="false">
      <c r="A27" s="20" t="s">
        <v>630</v>
      </c>
      <c r="B27" s="16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631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7" t="s">
        <v>48</v>
      </c>
    </row>
    <row r="2" customFormat="false" ht="15" hidden="false" customHeight="false" outlineLevel="0" collapsed="false">
      <c r="A2" s="3" t="s">
        <v>632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585</v>
      </c>
      <c r="B5" s="12" t="s">
        <v>633</v>
      </c>
      <c r="C5" s="12" t="s">
        <v>634</v>
      </c>
      <c r="D5" s="12" t="s">
        <v>635</v>
      </c>
      <c r="E5" s="12" t="s">
        <v>636</v>
      </c>
      <c r="F5" s="12" t="s">
        <v>637</v>
      </c>
      <c r="G5" s="12" t="s">
        <v>638</v>
      </c>
      <c r="H5" s="12" t="s">
        <v>639</v>
      </c>
      <c r="I5" s="12" t="s">
        <v>640</v>
      </c>
      <c r="J5" s="12" t="s">
        <v>641</v>
      </c>
      <c r="K5" s="12" t="s">
        <v>642</v>
      </c>
    </row>
    <row r="6" customFormat="false" ht="15" hidden="false" customHeight="false" outlineLevel="0" collapsed="false">
      <c r="A6" s="11" t="s">
        <v>591</v>
      </c>
      <c r="B6" s="31" t="n">
        <v>0.3</v>
      </c>
      <c r="C6" s="28" t="n">
        <v>620</v>
      </c>
      <c r="D6" s="31" t="n">
        <v>0.5</v>
      </c>
      <c r="E6" s="28" t="n">
        <v>-35</v>
      </c>
      <c r="F6" s="31" t="n">
        <v>0.2</v>
      </c>
      <c r="G6" s="28" t="n">
        <v>-540</v>
      </c>
      <c r="H6" s="15" t="str">
        <f aca="false">IF(A6="","",IF(ABS(B6+D6+F6-1)&lt;0.001,"OK","Must sum to 100%"))</f>
        <v>OK</v>
      </c>
      <c r="I6" s="33" t="n">
        <f aca="false">IF(A6="","",B6*C6+D6*E6+F6*G6)</f>
        <v>60.5</v>
      </c>
      <c r="J6" s="27" t="n">
        <f aca="false">IF(A6="","",MIN(C6,E6,G6))</f>
        <v>-540</v>
      </c>
      <c r="K6" s="27" t="n">
        <f aca="false">IF(A6="","",MAX(C6,E6,G6))</f>
        <v>620</v>
      </c>
    </row>
    <row r="7" customFormat="false" ht="15" hidden="false" customHeight="false" outlineLevel="0" collapsed="false">
      <c r="A7" s="11" t="s">
        <v>592</v>
      </c>
      <c r="B7" s="31" t="n">
        <v>0.3</v>
      </c>
      <c r="C7" s="28" t="n">
        <v>260</v>
      </c>
      <c r="D7" s="31" t="n">
        <v>0.5</v>
      </c>
      <c r="E7" s="28" t="n">
        <v>40</v>
      </c>
      <c r="F7" s="31" t="n">
        <v>0.2</v>
      </c>
      <c r="G7" s="28" t="n">
        <v>-60</v>
      </c>
      <c r="H7" s="15" t="str">
        <f aca="false">IF(A7="","",IF(ABS(B7+D7+F7-1)&lt;0.001,"OK","Must sum to 100%"))</f>
        <v>OK</v>
      </c>
      <c r="I7" s="33" t="n">
        <f aca="false">IF(A7="","",B7*C7+D7*E7+F7*G7)</f>
        <v>86</v>
      </c>
      <c r="J7" s="27" t="n">
        <f aca="false">IF(A7="","",MIN(C7,E7,G7))</f>
        <v>-60</v>
      </c>
      <c r="K7" s="27" t="n">
        <f aca="false">IF(A7="","",MAX(C7,E7,G7))</f>
        <v>260</v>
      </c>
    </row>
    <row r="8" customFormat="false" ht="15" hidden="false" customHeight="false" outlineLevel="0" collapsed="false">
      <c r="A8" s="11" t="s">
        <v>593</v>
      </c>
      <c r="B8" s="31" t="n">
        <v>0.3</v>
      </c>
      <c r="C8" s="28" t="n">
        <v>0</v>
      </c>
      <c r="D8" s="31" t="n">
        <v>0.5</v>
      </c>
      <c r="E8" s="28" t="n">
        <v>0</v>
      </c>
      <c r="F8" s="31" t="n">
        <v>0.2</v>
      </c>
      <c r="G8" s="28" t="n">
        <v>0</v>
      </c>
      <c r="H8" s="15" t="str">
        <f aca="false">IF(A8="","",IF(ABS(B8+D8+F8-1)&lt;0.001,"OK","Must sum to 100%"))</f>
        <v>OK</v>
      </c>
      <c r="I8" s="33" t="n">
        <f aca="false">IF(A8="","",B8*C8+D8*E8+F8*G8)</f>
        <v>0</v>
      </c>
      <c r="J8" s="27" t="n">
        <f aca="false">IF(A8="","",MIN(C8,E8,G8))</f>
        <v>0</v>
      </c>
      <c r="K8" s="27" t="n">
        <f aca="false">IF(A8="","",MAX(C8,E8,G8))</f>
        <v>0</v>
      </c>
    </row>
    <row r="9" customFormat="false" ht="15" hidden="false" customHeight="false" outlineLevel="0" collapsed="false">
      <c r="A9" s="11"/>
      <c r="B9" s="31"/>
      <c r="C9" s="28"/>
      <c r="D9" s="31"/>
      <c r="E9" s="28"/>
      <c r="F9" s="31"/>
      <c r="G9" s="28"/>
      <c r="H9" s="15" t="str">
        <f aca="false">IF(A9="","",IF(ABS(B9+D9+F9-1)&lt;0.001,"OK","Must sum to 100%"))</f>
        <v/>
      </c>
      <c r="I9" s="33" t="str">
        <f aca="false">IF(A9="","",B9*C9+D9*E9+F9*G9)</f>
        <v/>
      </c>
      <c r="J9" s="27" t="str">
        <f aca="false">IF(A9="","",MIN(C9,E9,G9))</f>
        <v/>
      </c>
      <c r="K9" s="27" t="str">
        <f aca="false">IF(A9="","",MAX(C9,E9,G9))</f>
        <v/>
      </c>
    </row>
    <row r="10" customFormat="false" ht="15" hidden="false" customHeight="false" outlineLevel="0" collapsed="false">
      <c r="A10" s="11"/>
      <c r="B10" s="31"/>
      <c r="C10" s="28"/>
      <c r="D10" s="31"/>
      <c r="E10" s="28"/>
      <c r="F10" s="31"/>
      <c r="G10" s="28"/>
      <c r="H10" s="15" t="str">
        <f aca="false">IF(A10="","",IF(ABS(B10+D10+F10-1)&lt;0.001,"OK","Must sum to 100%"))</f>
        <v/>
      </c>
      <c r="I10" s="33" t="str">
        <f aca="false">IF(A10="","",B10*C10+D10*E10+F10*G10)</f>
        <v/>
      </c>
      <c r="J10" s="27" t="str">
        <f aca="false">IF(A10="","",MIN(C10,E10,G10))</f>
        <v/>
      </c>
      <c r="K10" s="27" t="str">
        <f aca="false">IF(A10="","",MAX(C10,E10,G10))</f>
        <v/>
      </c>
    </row>
    <row r="11" customFormat="false" ht="15" hidden="false" customHeight="false" outlineLevel="0" collapsed="false">
      <c r="A11" s="11"/>
      <c r="B11" s="31"/>
      <c r="C11" s="28"/>
      <c r="D11" s="31"/>
      <c r="E11" s="28"/>
      <c r="F11" s="31"/>
      <c r="G11" s="28"/>
      <c r="H11" s="15" t="str">
        <f aca="false">IF(A11="","",IF(ABS(B11+D11+F11-1)&lt;0.001,"OK","Must sum to 100%"))</f>
        <v/>
      </c>
      <c r="I11" s="33" t="str">
        <f aca="false">IF(A11="","",B11*C11+D11*E11+F11*G11)</f>
        <v/>
      </c>
      <c r="J11" s="27" t="str">
        <f aca="false">IF(A11="","",MIN(C11,E11,G11))</f>
        <v/>
      </c>
      <c r="K11" s="27" t="str">
        <f aca="false">IF(A11="","",MAX(C11,E11,G11))</f>
        <v/>
      </c>
    </row>
    <row r="13" customFormat="false" ht="15" hidden="false" customHeight="false" outlineLevel="0" collapsed="false">
      <c r="A13" s="20" t="s">
        <v>643</v>
      </c>
      <c r="B13" s="16" t="str">
        <f aca="false">IFERROR(INDEX(A6:A11,MATCH(MAX(I6:I11),I6:I11,0)),"")</f>
        <v>B. Partner</v>
      </c>
    </row>
    <row r="14" customFormat="false" ht="23.85" hidden="false" customHeight="false" outlineLevel="0" collapsed="false">
      <c r="A14" s="20" t="s">
        <v>644</v>
      </c>
      <c r="B14" s="16" t="str">
        <f aca="false">IFERROR(INDEX(A6:A11,MATCH(MAX(J6:J11),J6:J11,0)),"")</f>
        <v>0. Do nothing</v>
      </c>
    </row>
    <row r="15" customFormat="false" ht="23.85" hidden="false" customHeight="true" outlineLevel="0" collapsed="false">
      <c r="A15" s="20" t="s">
        <v>645</v>
      </c>
      <c r="B15" s="33" t="n">
        <f aca="false">IFERROR(INDEX(B6:B11,MATCH(MAX(I6:I11),I6:I11,0))*MAX(C6:C11)+INDEX(D6:D11,MATCH(MAX(I6:I11),I6:I11,0))*MAX(E6:E11)+INDEX(F6:F11,MATCH(MAX(I6:I11),I6:I11,0))*MAX(G6:G11)-MAX(I6:I11),"")</f>
        <v>120</v>
      </c>
      <c r="C15" s="10" t="s">
        <v>646</v>
      </c>
      <c r="D15" s="10"/>
      <c r="E15" s="10"/>
      <c r="F15" s="10"/>
      <c r="G15" s="10"/>
      <c r="H15" s="10"/>
      <c r="I15" s="10"/>
      <c r="J15" s="10"/>
      <c r="K15" s="10"/>
    </row>
    <row r="18" customFormat="false" ht="23.85" hidden="false" customHeight="true" outlineLevel="0" collapsed="false">
      <c r="A18" s="20" t="s">
        <v>647</v>
      </c>
      <c r="B18" s="10" t="s">
        <v>648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A19" s="12" t="s">
        <v>649</v>
      </c>
      <c r="B19" s="12" t="s">
        <v>650</v>
      </c>
      <c r="C19" s="12" t="s">
        <v>651</v>
      </c>
      <c r="D19" s="12" t="s">
        <v>652</v>
      </c>
      <c r="E19" s="12" t="s">
        <v>653</v>
      </c>
      <c r="F19" s="12" t="s">
        <v>654</v>
      </c>
      <c r="G19" s="12" t="s">
        <v>655</v>
      </c>
    </row>
    <row r="20" customFormat="false" ht="15" hidden="false" customHeight="false" outlineLevel="0" collapsed="false">
      <c r="A20" s="5" t="s">
        <v>656</v>
      </c>
      <c r="B20" s="44" t="n">
        <f aca="false">IF(B6="","",B6)</f>
        <v>0.3</v>
      </c>
      <c r="C20" s="31" t="n">
        <v>0.8</v>
      </c>
      <c r="D20" s="31" t="n">
        <v>0.2</v>
      </c>
      <c r="E20" s="15" t="str">
        <f aca="false">IF(C20="","",IF(ABS(C20+D20-1)&lt;0.001,"OK","Must sum to 100%"))</f>
        <v>OK</v>
      </c>
      <c r="F20" s="39" t="n">
        <f aca="false">IFERROR(B20*C20/SUMPRODUCT($B$20:$B$22,$C$20:$C$22),"")</f>
        <v>0.461538461538462</v>
      </c>
      <c r="G20" s="39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657</v>
      </c>
      <c r="B21" s="44" t="n">
        <f aca="false">IF(D6="","",D6)</f>
        <v>0.5</v>
      </c>
      <c r="C21" s="31" t="n">
        <v>0.5</v>
      </c>
      <c r="D21" s="31" t="n">
        <v>0.5</v>
      </c>
      <c r="E21" s="15" t="str">
        <f aca="false">IF(C21="","",IF(ABS(C21+D21-1)&lt;0.001,"OK","Must sum to 100%"))</f>
        <v>OK</v>
      </c>
      <c r="F21" s="39" t="n">
        <f aca="false">IFERROR(B21*C21/SUMPRODUCT($B$20:$B$22,$C$20:$C$22),"")</f>
        <v>0.480769230769231</v>
      </c>
      <c r="G21" s="39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658</v>
      </c>
      <c r="B22" s="44" t="n">
        <f aca="false">IF(F6="","",F6)</f>
        <v>0.2</v>
      </c>
      <c r="C22" s="31" t="n">
        <v>0.15</v>
      </c>
      <c r="D22" s="31" t="n">
        <v>0.85</v>
      </c>
      <c r="E22" s="15" t="str">
        <f aca="false">IF(C22="","",IF(ABS(C22+D22-1)&lt;0.001,"OK","Must sum to 100%"))</f>
        <v>OK</v>
      </c>
      <c r="F22" s="39" t="n">
        <f aca="false">IFERROR(B22*C22/SUMPRODUCT($B$20:$B$22,$C$20:$C$22),"")</f>
        <v>0.0576923076923077</v>
      </c>
      <c r="G22" s="39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20" t="s">
        <v>659</v>
      </c>
      <c r="F23" s="21" t="n">
        <f aca="false">IFERROR(SUMPRODUCT(B20:B22,C20:C22),"")</f>
        <v>0.52</v>
      </c>
      <c r="G23" s="21" t="n">
        <f aca="false">IFERROR(SUMPRODUCT(B20:B22,D20:D22),"")</f>
        <v>0.48</v>
      </c>
    </row>
    <row r="25" customFormat="false" ht="30" hidden="false" customHeight="true" outlineLevel="0" collapsed="false">
      <c r="A25" s="12" t="s">
        <v>585</v>
      </c>
      <c r="B25" s="12" t="s">
        <v>660</v>
      </c>
      <c r="C25" s="12" t="s">
        <v>661</v>
      </c>
      <c r="D25" s="12" t="s">
        <v>662</v>
      </c>
    </row>
    <row r="26" customFormat="false" ht="15" hidden="false" customHeight="false" outlineLevel="0" collapsed="false">
      <c r="A26" s="15" t="str">
        <f aca="false">IF(A6="","",A6)</f>
        <v>A. EU plant</v>
      </c>
      <c r="B26" s="47" t="n">
        <f aca="false">IF(A6="","",I6)</f>
        <v>60.5</v>
      </c>
      <c r="C26" s="47" t="n">
        <f aca="false">IF(OR(A6="",F20=""),"",C6*F20+E6*F21+G6*F22)</f>
        <v>238.173076923077</v>
      </c>
      <c r="D26" s="47" t="n">
        <f aca="false">IF(OR(A6="",G20=""),"",C6*G20+E6*G21+G6*G22)</f>
        <v>-131.979166666667</v>
      </c>
    </row>
    <row r="27" customFormat="false" ht="15" hidden="false" customHeight="false" outlineLevel="0" collapsed="false">
      <c r="A27" s="15" t="str">
        <f aca="false">IF(A7="","",A7)</f>
        <v>B. Partner</v>
      </c>
      <c r="B27" s="47" t="n">
        <f aca="false">IF(A7="","",I7)</f>
        <v>86</v>
      </c>
      <c r="C27" s="47" t="n">
        <f aca="false">IF(OR(A7="",F20=""),"",C7*F20+E7*F21+G7*F22)</f>
        <v>135.769230769231</v>
      </c>
      <c r="D27" s="47" t="n">
        <f aca="false">IF(OR(A7="",G20=""),"",C7*G20+E7*G21+G7*G22)</f>
        <v>32.0833333333333</v>
      </c>
    </row>
    <row r="28" customFormat="false" ht="15" hidden="false" customHeight="false" outlineLevel="0" collapsed="false">
      <c r="A28" s="15" t="str">
        <f aca="false">IF(A8="","",A8)</f>
        <v>0. Do nothing</v>
      </c>
      <c r="B28" s="47" t="n">
        <f aca="false">IF(A8="","",I8)</f>
        <v>0</v>
      </c>
      <c r="C28" s="47" t="n">
        <f aca="false">IF(OR(A8="",F20=""),"",C8*F20+E8*F21+G8*F22)</f>
        <v>0</v>
      </c>
      <c r="D28" s="47" t="n">
        <f aca="false">IF(OR(A8="",G20=""),"",C8*G20+E8*G21+G8*G22)</f>
        <v>0</v>
      </c>
    </row>
    <row r="29" customFormat="false" ht="15" hidden="false" customHeight="false" outlineLevel="0" collapsed="false">
      <c r="A29" s="15" t="str">
        <f aca="false">IF(A9="","",A9)</f>
        <v/>
      </c>
      <c r="B29" s="47" t="str">
        <f aca="false">IF(A9="","",I9)</f>
        <v/>
      </c>
      <c r="C29" s="47" t="str">
        <f aca="false">IF(OR(A9="",F20=""),"",C9*F20+E9*F21+G9*F22)</f>
        <v/>
      </c>
      <c r="D29" s="47" t="str">
        <f aca="false">IF(OR(A9="",G20=""),"",C9*G20+E9*G21+G9*G22)</f>
        <v/>
      </c>
    </row>
    <row r="30" customFormat="false" ht="15" hidden="false" customHeight="false" outlineLevel="0" collapsed="false">
      <c r="A30" s="15" t="str">
        <f aca="false">IF(A10="","",A10)</f>
        <v/>
      </c>
      <c r="B30" s="47" t="str">
        <f aca="false">IF(A10="","",I10)</f>
        <v/>
      </c>
      <c r="C30" s="47" t="str">
        <f aca="false">IF(OR(A10="",F20=""),"",C10*F20+E10*F21+G10*F22)</f>
        <v/>
      </c>
      <c r="D30" s="47" t="str">
        <f aca="false">IF(OR(A10="",G20=""),"",C10*G20+E10*G21+G10*G22)</f>
        <v/>
      </c>
    </row>
    <row r="31" customFormat="false" ht="15" hidden="false" customHeight="false" outlineLevel="0" collapsed="false">
      <c r="A31" s="15" t="str">
        <f aca="false">IF(A11="","",A11)</f>
        <v/>
      </c>
      <c r="B31" s="47" t="str">
        <f aca="false">IF(A11="","",I11)</f>
        <v/>
      </c>
      <c r="C31" s="47" t="str">
        <f aca="false">IF(OR(A11="",F20=""),"",C11*F20+E11*F21+G11*F22)</f>
        <v/>
      </c>
      <c r="D31" s="47" t="str">
        <f aca="false">IF(OR(A11="",G20=""),"",C11*G20+E11*G21+G11*G22)</f>
        <v/>
      </c>
    </row>
    <row r="33" customFormat="false" ht="23.85" hidden="false" customHeight="true" outlineLevel="0" collapsed="false">
      <c r="A33" s="20" t="s">
        <v>663</v>
      </c>
      <c r="B33" s="16" t="str">
        <f aca="false">IFERROR(INDEX(A26:A31,MATCH(MAX(C26:C31),C26:C31,0)),"")</f>
        <v>A. EU plant</v>
      </c>
      <c r="C33" s="10" t="s">
        <v>664</v>
      </c>
      <c r="D33" s="10"/>
      <c r="E33" s="10"/>
      <c r="F33" s="10"/>
      <c r="G33" s="10"/>
      <c r="H33" s="10"/>
      <c r="I33" s="10"/>
      <c r="J33" s="10"/>
      <c r="K33" s="10"/>
    </row>
    <row r="34" customFormat="false" ht="23.85" hidden="false" customHeight="false" outlineLevel="0" collapsed="false">
      <c r="A34" s="20" t="s">
        <v>665</v>
      </c>
      <c r="B34" s="16" t="str">
        <f aca="false">IFERROR(INDEX(A26:A31,MATCH(MAX(D26:D31),D26:D31,0)),"")</f>
        <v>B. Partner</v>
      </c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23.85" hidden="false" customHeight="false" outlineLevel="0" collapsed="false">
      <c r="A35" s="20" t="s">
        <v>666</v>
      </c>
      <c r="B35" s="33" t="n">
        <f aca="false">IFERROR(F23*MAX(C26:C31)+G23*MAX(D26:D31),"")</f>
        <v>139.25</v>
      </c>
    </row>
    <row r="36" customFormat="false" ht="15" hidden="false" customHeight="false" outlineLevel="0" collapsed="false">
      <c r="A36" s="20" t="s">
        <v>667</v>
      </c>
      <c r="B36" s="33" t="n">
        <f aca="false">IFERROR(B35-MAX(I6:I11),"")</f>
        <v>53.25</v>
      </c>
    </row>
    <row r="37" customFormat="false" ht="15" hidden="false" customHeight="false" outlineLevel="0" collapsed="false">
      <c r="A37" s="20" t="s">
        <v>668</v>
      </c>
      <c r="B37" s="40" t="n">
        <v>25</v>
      </c>
    </row>
    <row r="38" customFormat="false" ht="23.85" hidden="false" customHeight="false" outlineLevel="0" collapsed="false">
      <c r="A38" s="20" t="s">
        <v>669</v>
      </c>
      <c r="B38" s="33" t="n">
        <f aca="false">IFERROR(IF(B37="","",B36-B37),"")</f>
        <v>28.25</v>
      </c>
    </row>
    <row r="39" customFormat="false" ht="15" hidden="false" customHeight="false" outlineLevel="0" collapsed="false">
      <c r="A39" s="20" t="s">
        <v>670</v>
      </c>
      <c r="B39" s="32" t="n">
        <f aca="false">IFERROR(B36/B15,"")</f>
        <v>0.44375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7" t="s">
        <v>671</v>
      </c>
    </row>
    <row r="2" customFormat="false" ht="15" hidden="false" customHeight="false" outlineLevel="0" collapsed="false">
      <c r="A2" s="3" t="s">
        <v>672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495</v>
      </c>
      <c r="B5" s="12" t="s">
        <v>673</v>
      </c>
      <c r="C5" s="12" t="s">
        <v>674</v>
      </c>
      <c r="D5" s="12" t="s">
        <v>675</v>
      </c>
      <c r="E5" s="12" t="s">
        <v>676</v>
      </c>
      <c r="F5" s="12" t="s">
        <v>677</v>
      </c>
      <c r="G5" s="12" t="s">
        <v>678</v>
      </c>
    </row>
    <row r="6" customFormat="false" ht="15" hidden="false" customHeight="false" outlineLevel="0" collapsed="false">
      <c r="A6" s="5" t="s">
        <v>421</v>
      </c>
      <c r="B6" s="22" t="n">
        <v>-0.08</v>
      </c>
      <c r="C6" s="22" t="n">
        <v>0</v>
      </c>
      <c r="D6" s="22" t="n">
        <v>0.04</v>
      </c>
      <c r="E6" s="39" t="n">
        <f aca="false">IF(B6="",F6,B6)</f>
        <v>-0.08</v>
      </c>
      <c r="F6" s="39" t="n">
        <f aca="false">IF(C6="",0,C6)</f>
        <v>0</v>
      </c>
      <c r="G6" s="39" t="n">
        <f aca="false">IF(D6="",F6,D6)</f>
        <v>0.04</v>
      </c>
    </row>
    <row r="7" customFormat="false" ht="15" hidden="false" customHeight="false" outlineLevel="0" collapsed="false">
      <c r="A7" s="5" t="s">
        <v>618</v>
      </c>
      <c r="B7" s="22" t="n">
        <v>-0.2</v>
      </c>
      <c r="C7" s="22" t="n">
        <v>0</v>
      </c>
      <c r="D7" s="22" t="n">
        <v>0.15</v>
      </c>
      <c r="E7" s="39" t="n">
        <f aca="false">IF(B7="",F7,B7)</f>
        <v>-0.2</v>
      </c>
      <c r="F7" s="39" t="n">
        <f aca="false">IF(C7="",0,C7)</f>
        <v>0</v>
      </c>
      <c r="G7" s="39" t="n">
        <f aca="false">IF(D7="",F7,D7)</f>
        <v>0.15</v>
      </c>
    </row>
    <row r="8" customFormat="false" ht="15" hidden="false" customHeight="false" outlineLevel="0" collapsed="false">
      <c r="A8" s="5" t="s">
        <v>423</v>
      </c>
      <c r="B8" s="22" t="n">
        <v>-0.05</v>
      </c>
      <c r="C8" s="22" t="n">
        <v>0</v>
      </c>
      <c r="D8" s="22" t="n">
        <v>0.08</v>
      </c>
      <c r="E8" s="39" t="n">
        <f aca="false">IF(B8="",F8,B8)</f>
        <v>-0.05</v>
      </c>
      <c r="F8" s="39" t="n">
        <f aca="false">IF(C8="",0,C8)</f>
        <v>0</v>
      </c>
      <c r="G8" s="39" t="n">
        <f aca="false">IF(D8="",F8,D8)</f>
        <v>0.08</v>
      </c>
    </row>
    <row r="9" customFormat="false" ht="15" hidden="false" customHeight="false" outlineLevel="0" collapsed="false">
      <c r="A9" s="5" t="s">
        <v>447</v>
      </c>
      <c r="B9" s="22" t="n">
        <v>-0.05</v>
      </c>
      <c r="C9" s="22" t="n">
        <v>0</v>
      </c>
      <c r="D9" s="22" t="n">
        <v>0.1</v>
      </c>
      <c r="E9" s="39" t="n">
        <f aca="false">IF(B9="",F9,B9)</f>
        <v>-0.05</v>
      </c>
      <c r="F9" s="39" t="n">
        <f aca="false">IF(C9="",0,C9)</f>
        <v>0</v>
      </c>
      <c r="G9" s="39" t="n">
        <f aca="false">IF(D9="",F9,D9)</f>
        <v>0.1</v>
      </c>
    </row>
    <row r="10" customFormat="false" ht="15" hidden="false" customHeight="false" outlineLevel="0" collapsed="false">
      <c r="A10" s="5" t="s">
        <v>619</v>
      </c>
      <c r="B10" s="22" t="n">
        <v>-0.05</v>
      </c>
      <c r="C10" s="22" t="n">
        <v>0</v>
      </c>
      <c r="D10" s="22" t="n">
        <v>0.2</v>
      </c>
      <c r="E10" s="39" t="n">
        <f aca="false">IF(B10="",F10,B10)</f>
        <v>-0.05</v>
      </c>
      <c r="F10" s="39" t="n">
        <f aca="false">IF(C10="",0,C10)</f>
        <v>0</v>
      </c>
      <c r="G10" s="39" t="n">
        <f aca="false">IF(D10="",F10,D10)</f>
        <v>0.2</v>
      </c>
    </row>
    <row r="11" customFormat="false" ht="15" hidden="false" customHeight="false" outlineLevel="0" collapsed="false">
      <c r="A11" s="5" t="s">
        <v>679</v>
      </c>
      <c r="B11" s="22" t="n">
        <v>0.09</v>
      </c>
      <c r="C11" s="22" t="n">
        <v>0.1</v>
      </c>
      <c r="D11" s="22" t="n">
        <v>0.12</v>
      </c>
      <c r="E11" s="39" t="n">
        <f aca="false">IF(B11="",F11,B11)</f>
        <v>0.09</v>
      </c>
      <c r="F11" s="39" t="n">
        <f aca="false">IF(C11="",'Business Case'!$B$6,C11)</f>
        <v>0.1</v>
      </c>
      <c r="G11" s="39" t="n">
        <f aca="false">IF(D11="",F11,D11)</f>
        <v>0.12</v>
      </c>
    </row>
    <row r="12" customFormat="false" ht="15" hidden="false" customHeight="false" outlineLevel="0" collapsed="false">
      <c r="A12" s="5" t="s">
        <v>680</v>
      </c>
      <c r="B12" s="15" t="str">
        <f aca="false">IF(SUMPRODUCT((E6:E11&gt;F6:F11)+(F6:F11&gt;G6:G11))=0,"OK","Need low &lt;= likely &lt;= high")</f>
        <v>OK</v>
      </c>
      <c r="C12" s="15"/>
      <c r="D12" s="15"/>
    </row>
    <row r="14" customFormat="false" ht="35.05" hidden="false" customHeight="false" outlineLevel="0" collapsed="false">
      <c r="A14" s="20" t="s">
        <v>681</v>
      </c>
    </row>
    <row r="15" customFormat="false" ht="15" hidden="false" customHeight="false" outlineLevel="0" collapsed="false">
      <c r="A15" s="12" t="s">
        <v>649</v>
      </c>
      <c r="B15" s="12" t="s">
        <v>682</v>
      </c>
      <c r="C15" s="12" t="s">
        <v>683</v>
      </c>
      <c r="D15" s="12" t="s">
        <v>684</v>
      </c>
      <c r="E15" s="12" t="s">
        <v>685</v>
      </c>
      <c r="F15" s="12" t="s">
        <v>686</v>
      </c>
      <c r="G15" s="12" t="s">
        <v>687</v>
      </c>
      <c r="H15" s="12" t="s">
        <v>688</v>
      </c>
      <c r="I15" s="12" t="s">
        <v>689</v>
      </c>
      <c r="J15" s="12" t="s">
        <v>690</v>
      </c>
      <c r="K15" s="12" t="s">
        <v>691</v>
      </c>
      <c r="L15" s="12" t="s">
        <v>692</v>
      </c>
      <c r="M15" s="12" t="s">
        <v>693</v>
      </c>
      <c r="N15" s="12" t="s">
        <v>628</v>
      </c>
    </row>
    <row r="16" customFormat="false" ht="15" hidden="false" customHeight="false" outlineLevel="0" collapsed="false">
      <c r="A16" s="5" t="s">
        <v>442</v>
      </c>
      <c r="B16" s="47" t="n">
        <f aca="false">1</f>
        <v>1</v>
      </c>
      <c r="C16" s="47" t="n">
        <f aca="false">1</f>
        <v>1</v>
      </c>
      <c r="D16" s="47" t="n">
        <f aca="false">1</f>
        <v>1</v>
      </c>
      <c r="E16" s="47" t="n">
        <f aca="false">1</f>
        <v>1</v>
      </c>
      <c r="F16" s="47" t="n">
        <f aca="false">1</f>
        <v>1</v>
      </c>
      <c r="G16" s="39" t="n">
        <f aca="false">'Business Case'!$B$6</f>
        <v>0.1</v>
      </c>
      <c r="H16" s="45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45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45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45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45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45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46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694</v>
      </c>
      <c r="B17" s="47" t="n">
        <f aca="false">1+E6</f>
        <v>0.92</v>
      </c>
      <c r="C17" s="47" t="n">
        <f aca="false">1</f>
        <v>1</v>
      </c>
      <c r="D17" s="47" t="n">
        <f aca="false">1</f>
        <v>1</v>
      </c>
      <c r="E17" s="47" t="n">
        <f aca="false">1</f>
        <v>1</v>
      </c>
      <c r="F17" s="47" t="n">
        <f aca="false">1</f>
        <v>1</v>
      </c>
      <c r="G17" s="39" t="n">
        <f aca="false">'Business Case'!$B$6</f>
        <v>0.1</v>
      </c>
      <c r="H17" s="45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45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-48266560</v>
      </c>
      <c r="J17" s="45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193359680</v>
      </c>
      <c r="K17" s="45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484985920</v>
      </c>
      <c r="L17" s="45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597323200</v>
      </c>
      <c r="M17" s="45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772196800</v>
      </c>
      <c r="N17" s="46" t="n">
        <f aca="false">IF(COUNT('Business Case'!B11:G11)=0,"",H17+NPV(G17,I17:M17))</f>
        <v>-632246961.034704</v>
      </c>
    </row>
    <row r="18" customFormat="false" ht="15" hidden="false" customHeight="false" outlineLevel="0" collapsed="false">
      <c r="A18" s="5" t="s">
        <v>695</v>
      </c>
      <c r="B18" s="47" t="n">
        <f aca="false">1+G6</f>
        <v>1.04</v>
      </c>
      <c r="C18" s="47" t="n">
        <f aca="false">1</f>
        <v>1</v>
      </c>
      <c r="D18" s="47" t="n">
        <f aca="false">1</f>
        <v>1</v>
      </c>
      <c r="E18" s="47" t="n">
        <f aca="false">1</f>
        <v>1</v>
      </c>
      <c r="F18" s="47" t="n">
        <f aca="false">1</f>
        <v>1</v>
      </c>
      <c r="G18" s="39" t="n">
        <f aca="false">'Business Case'!$B$6</f>
        <v>0.1</v>
      </c>
      <c r="H18" s="45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45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43801280</v>
      </c>
      <c r="J18" s="45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383716160</v>
      </c>
      <c r="K18" s="45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773631040</v>
      </c>
      <c r="L18" s="45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922878400</v>
      </c>
      <c r="M18" s="45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1120561600</v>
      </c>
      <c r="N18" s="46" t="n">
        <f aca="false">IF(COUNT('Business Case'!B11:G11)=0,"",H18+NPV(G18,I18:M18))</f>
        <v>264299545.738927</v>
      </c>
    </row>
    <row r="19" customFormat="false" ht="15" hidden="false" customHeight="false" outlineLevel="0" collapsed="false">
      <c r="A19" s="5" t="s">
        <v>696</v>
      </c>
      <c r="B19" s="47" t="n">
        <f aca="false">1</f>
        <v>1</v>
      </c>
      <c r="C19" s="47" t="n">
        <f aca="false">1+E7</f>
        <v>0.8</v>
      </c>
      <c r="D19" s="47" t="n">
        <f aca="false">1</f>
        <v>1</v>
      </c>
      <c r="E19" s="47" t="n">
        <f aca="false">1</f>
        <v>1</v>
      </c>
      <c r="F19" s="47" t="n">
        <f aca="false">1</f>
        <v>1</v>
      </c>
      <c r="G19" s="39" t="n">
        <f aca="false">'Business Case'!$B$6</f>
        <v>0.1</v>
      </c>
      <c r="H19" s="45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45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-37950400</v>
      </c>
      <c r="J19" s="45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207771200</v>
      </c>
      <c r="K19" s="45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503492800</v>
      </c>
      <c r="L19" s="45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613048000</v>
      </c>
      <c r="M19" s="45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765112000</v>
      </c>
      <c r="N19" s="46" t="n">
        <f aca="false">IF(COUNT('Business Case'!B11:G11)=0,"",H19+NPV(G19,I19:M19))</f>
        <v>-590712647.198714</v>
      </c>
    </row>
    <row r="20" customFormat="false" ht="15" hidden="false" customHeight="false" outlineLevel="0" collapsed="false">
      <c r="A20" s="5" t="s">
        <v>697</v>
      </c>
      <c r="B20" s="47" t="n">
        <f aca="false">1</f>
        <v>1</v>
      </c>
      <c r="C20" s="47" t="n">
        <f aca="false">1+G7</f>
        <v>1.15</v>
      </c>
      <c r="D20" s="47" t="n">
        <f aca="false">1</f>
        <v>1</v>
      </c>
      <c r="E20" s="47" t="n">
        <f aca="false">1</f>
        <v>1</v>
      </c>
      <c r="F20" s="47" t="n">
        <f aca="false">1</f>
        <v>1</v>
      </c>
      <c r="G20" s="39" t="n">
        <f aca="false">'Business Case'!$B$6</f>
        <v>0.1</v>
      </c>
      <c r="H20" s="45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45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45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45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45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45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46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698</v>
      </c>
      <c r="B21" s="47" t="n">
        <f aca="false">1</f>
        <v>1</v>
      </c>
      <c r="C21" s="47" t="n">
        <f aca="false">1</f>
        <v>1</v>
      </c>
      <c r="D21" s="47" t="n">
        <f aca="false">1+E8</f>
        <v>0.95</v>
      </c>
      <c r="E21" s="47" t="n">
        <f aca="false">1</f>
        <v>1</v>
      </c>
      <c r="F21" s="47" t="n">
        <f aca="false">1</f>
        <v>1</v>
      </c>
      <c r="G21" s="39" t="n">
        <f aca="false">'Business Case'!$B$6</f>
        <v>0.1</v>
      </c>
      <c r="H21" s="45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45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45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45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45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45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46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699</v>
      </c>
      <c r="B22" s="47" t="n">
        <f aca="false">1</f>
        <v>1</v>
      </c>
      <c r="C22" s="47" t="n">
        <f aca="false">1</f>
        <v>1</v>
      </c>
      <c r="D22" s="47" t="n">
        <f aca="false">1+G8</f>
        <v>1.08</v>
      </c>
      <c r="E22" s="47" t="n">
        <f aca="false">1</f>
        <v>1</v>
      </c>
      <c r="F22" s="47" t="n">
        <f aca="false">1</f>
        <v>1</v>
      </c>
      <c r="G22" s="39" t="n">
        <f aca="false">'Business Case'!$B$6</f>
        <v>0.1</v>
      </c>
      <c r="H22" s="45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45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-27841600</v>
      </c>
      <c r="J22" s="45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238356800</v>
      </c>
      <c r="K22" s="45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554555200</v>
      </c>
      <c r="L22" s="45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677848000</v>
      </c>
      <c r="M22" s="45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867928000</v>
      </c>
      <c r="N22" s="46" t="n">
        <f aca="false">IF(COUNT('Business Case'!B11:G11)=0,"",H22+NPV(G22,I22:M22))</f>
        <v>-409781618.096132</v>
      </c>
    </row>
    <row r="23" customFormat="false" ht="15" hidden="false" customHeight="false" outlineLevel="0" collapsed="false">
      <c r="A23" s="5" t="s">
        <v>700</v>
      </c>
      <c r="B23" s="47" t="n">
        <f aca="false">1</f>
        <v>1</v>
      </c>
      <c r="C23" s="47" t="n">
        <f aca="false">1</f>
        <v>1</v>
      </c>
      <c r="D23" s="47" t="n">
        <f aca="false">1</f>
        <v>1</v>
      </c>
      <c r="E23" s="47" t="n">
        <f aca="false">1+E9</f>
        <v>0.95</v>
      </c>
      <c r="F23" s="47" t="n">
        <f aca="false">1</f>
        <v>1</v>
      </c>
      <c r="G23" s="39" t="n">
        <f aca="false">'Business Case'!$B$6</f>
        <v>0.1</v>
      </c>
      <c r="H23" s="45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45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20222000</v>
      </c>
      <c r="J23" s="45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327374000</v>
      </c>
      <c r="K23" s="45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684526000</v>
      </c>
      <c r="L23" s="45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821470000</v>
      </c>
      <c r="M23" s="45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1011550000</v>
      </c>
      <c r="N23" s="46" t="n">
        <f aca="false">IF(COUNT('Business Case'!B11:G11)=0,"",H23+NPV(G23,I23:M23))</f>
        <v>-7596795.92178941</v>
      </c>
    </row>
    <row r="24" customFormat="false" ht="15" hidden="false" customHeight="false" outlineLevel="0" collapsed="false">
      <c r="A24" s="5" t="s">
        <v>701</v>
      </c>
      <c r="B24" s="47" t="n">
        <f aca="false">1</f>
        <v>1</v>
      </c>
      <c r="C24" s="47" t="n">
        <f aca="false">1</f>
        <v>1</v>
      </c>
      <c r="D24" s="47" t="n">
        <f aca="false">1</f>
        <v>1</v>
      </c>
      <c r="E24" s="47" t="n">
        <f aca="false">1+G9</f>
        <v>1.1</v>
      </c>
      <c r="F24" s="47" t="n">
        <f aca="false">1</f>
        <v>1</v>
      </c>
      <c r="G24" s="39" t="n">
        <f aca="false">'Business Case'!$B$6</f>
        <v>0.1</v>
      </c>
      <c r="H24" s="45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45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-1108000.00000003</v>
      </c>
      <c r="J24" s="45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306044000</v>
      </c>
      <c r="K24" s="45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663196000</v>
      </c>
      <c r="L24" s="45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800140000</v>
      </c>
      <c r="M24" s="45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990220000</v>
      </c>
      <c r="N24" s="46" t="n">
        <f aca="false">IF(COUNT('Business Case'!B11:G11)=0,"",H24+NPV(G24,I24:M24))</f>
        <v>-88454277.7132716</v>
      </c>
    </row>
    <row r="25" customFormat="false" ht="15" hidden="false" customHeight="false" outlineLevel="0" collapsed="false">
      <c r="A25" s="5" t="s">
        <v>702</v>
      </c>
      <c r="B25" s="47" t="n">
        <f aca="false">1</f>
        <v>1</v>
      </c>
      <c r="C25" s="47" t="n">
        <f aca="false">1</f>
        <v>1</v>
      </c>
      <c r="D25" s="47" t="n">
        <f aca="false">1</f>
        <v>1</v>
      </c>
      <c r="E25" s="47" t="n">
        <f aca="false">1</f>
        <v>1</v>
      </c>
      <c r="F25" s="47" t="n">
        <f aca="false">1+E10</f>
        <v>0.95</v>
      </c>
      <c r="G25" s="39" t="n">
        <f aca="false">'Business Case'!$B$6</f>
        <v>0.1</v>
      </c>
      <c r="H25" s="45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45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45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45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45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45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46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703</v>
      </c>
      <c r="B26" s="47" t="n">
        <f aca="false">1</f>
        <v>1</v>
      </c>
      <c r="C26" s="47" t="n">
        <f aca="false">1</f>
        <v>1</v>
      </c>
      <c r="D26" s="47" t="n">
        <f aca="false">1</f>
        <v>1</v>
      </c>
      <c r="E26" s="47" t="n">
        <f aca="false">1</f>
        <v>1</v>
      </c>
      <c r="F26" s="47" t="n">
        <f aca="false">1+G10</f>
        <v>1.2</v>
      </c>
      <c r="G26" s="39" t="n">
        <f aca="false">'Business Case'!$B$6</f>
        <v>0.1</v>
      </c>
      <c r="H26" s="45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-2400000000</v>
      </c>
      <c r="I26" s="45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-6888000</v>
      </c>
      <c r="J26" s="45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300264000</v>
      </c>
      <c r="K26" s="45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667416000</v>
      </c>
      <c r="L26" s="45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804360000</v>
      </c>
      <c r="M26" s="45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994440000</v>
      </c>
      <c r="N26" s="46" t="n">
        <f aca="false">IF(COUNT('Business Case'!B11:G11)=0,"",H26+NPV(G26,I26:M26))</f>
        <v>-489812529.447194</v>
      </c>
    </row>
    <row r="27" customFormat="false" ht="15" hidden="false" customHeight="false" outlineLevel="0" collapsed="false">
      <c r="A27" s="5" t="s">
        <v>704</v>
      </c>
      <c r="B27" s="47" t="n">
        <f aca="false">1</f>
        <v>1</v>
      </c>
      <c r="C27" s="47" t="n">
        <f aca="false">1</f>
        <v>1</v>
      </c>
      <c r="D27" s="47" t="n">
        <f aca="false">1</f>
        <v>1</v>
      </c>
      <c r="E27" s="47" t="n">
        <f aca="false">1</f>
        <v>1</v>
      </c>
      <c r="F27" s="47" t="n">
        <f aca="false">1</f>
        <v>1</v>
      </c>
      <c r="G27" s="39" t="n">
        <f aca="false">E11</f>
        <v>0.09</v>
      </c>
      <c r="H27" s="45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45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45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45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45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45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46" t="n">
        <f aca="false">IF(COUNT('Business Case'!B11:G11)=0,"",H27+NPV(G27,I27:M27))</f>
        <v>34408840.0272958</v>
      </c>
    </row>
    <row r="28" customFormat="false" ht="15" hidden="false" customHeight="false" outlineLevel="0" collapsed="false">
      <c r="A28" s="5" t="s">
        <v>705</v>
      </c>
      <c r="B28" s="47" t="n">
        <f aca="false">1</f>
        <v>1</v>
      </c>
      <c r="C28" s="47" t="n">
        <f aca="false">1</f>
        <v>1</v>
      </c>
      <c r="D28" s="47" t="n">
        <f aca="false">1</f>
        <v>1</v>
      </c>
      <c r="E28" s="47" t="n">
        <f aca="false">1</f>
        <v>1</v>
      </c>
      <c r="F28" s="47" t="n">
        <f aca="false">1</f>
        <v>1</v>
      </c>
      <c r="G28" s="39" t="n">
        <f aca="false">G11</f>
        <v>0.12</v>
      </c>
      <c r="H28" s="45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45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45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45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45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45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46" t="n">
        <f aca="false">IF(COUNT('Business Case'!B11:G11)=0,"",H28+NPV(G28,I28:M28))</f>
        <v>-163322295.50234</v>
      </c>
    </row>
    <row r="30" customFormat="false" ht="23.85" hidden="false" customHeight="false" outlineLevel="0" collapsed="false">
      <c r="A30" s="20" t="s">
        <v>706</v>
      </c>
    </row>
    <row r="31" customFormat="false" ht="30" hidden="false" customHeight="true" outlineLevel="0" collapsed="false">
      <c r="A31" s="12" t="s">
        <v>495</v>
      </c>
      <c r="B31" s="12" t="s">
        <v>707</v>
      </c>
      <c r="C31" s="12" t="s">
        <v>708</v>
      </c>
      <c r="D31" s="12" t="s">
        <v>709</v>
      </c>
      <c r="E31" s="12" t="s">
        <v>710</v>
      </c>
      <c r="F31" s="12" t="s">
        <v>711</v>
      </c>
      <c r="G31" s="12" t="s">
        <v>712</v>
      </c>
      <c r="H31" s="12" t="s">
        <v>713</v>
      </c>
    </row>
    <row r="32" customFormat="false" ht="23.85" hidden="false" customHeight="false" outlineLevel="0" collapsed="false">
      <c r="A32" s="15" t="str">
        <f aca="false">INDEX($A$40:$A$45,MATCH(LARGE($D$40:$D$45,1),$D$40:$D$45,0))</f>
        <v>Units</v>
      </c>
      <c r="B32" s="45" t="n">
        <f aca="false">INDEX($B$40:$B$45,MATCH(LARGE($D$40:$D$45,1),$D$40:$D$45,0))</f>
        <v>-590712647.198714</v>
      </c>
      <c r="C32" s="45" t="n">
        <f aca="false">INDEX($C$40:$C$45,MATCH(LARGE($D$40:$D$45,1),$D$40:$D$45,0))</f>
        <v>382573228.157539</v>
      </c>
      <c r="D32" s="48" t="n">
        <f aca="false">IFERROR(ABS(C32-B32),"")</f>
        <v>973285875.356253</v>
      </c>
      <c r="E32" s="45" t="n">
        <f aca="false">IFERROR(B32-$N$16,"")</f>
        <v>-556163357.34643</v>
      </c>
      <c r="F32" s="45" t="n">
        <f aca="false">IFERROR(C32-$N$16,"")</f>
        <v>417122518.009823</v>
      </c>
      <c r="G32" s="15" t="str">
        <f aca="false">IF(B32="","",IF(MIN(B32,C32)&lt;0,IF(MAX(B32,C32)&gt;0,"Yes","Below zero"),"No"))</f>
        <v>Yes</v>
      </c>
      <c r="H32" s="15" t="n">
        <f aca="false">1</f>
        <v>1</v>
      </c>
    </row>
    <row r="33" customFormat="false" ht="23.85" hidden="false" customHeight="false" outlineLevel="0" collapsed="false">
      <c r="A33" s="15" t="str">
        <f aca="false">INDEX($A$40:$A$45,MATCH(LARGE($D$40:$D$45,2),$D$40:$D$45,0))</f>
        <v>Price per unit</v>
      </c>
      <c r="B33" s="45" t="n">
        <f aca="false">INDEX($B$40:$B$45,MATCH(LARGE($D$40:$D$45,2),$D$40:$D$45,0))</f>
        <v>-632246961.034704</v>
      </c>
      <c r="C33" s="45" t="n">
        <f aca="false">INDEX($C$40:$C$45,MATCH(LARGE($D$40:$D$45,2),$D$40:$D$45,0))</f>
        <v>264299545.738927</v>
      </c>
      <c r="D33" s="48" t="n">
        <f aca="false">IFERROR(ABS(C33-B33),"")</f>
        <v>896546506.773631</v>
      </c>
      <c r="E33" s="45" t="n">
        <f aca="false">IFERROR(B33-$N$16,"")</f>
        <v>-597697671.18242</v>
      </c>
      <c r="F33" s="45" t="n">
        <f aca="false">IFERROR(C33-$N$16,"")</f>
        <v>298848835.59121</v>
      </c>
      <c r="G33" s="15" t="str">
        <f aca="false">IF(B33="","",IF(MIN(B33,C33)&lt;0,IF(MAX(B33,C33)&gt;0,"Yes","Below zero"),"No"))</f>
        <v>Yes</v>
      </c>
      <c r="H33" s="15" t="n">
        <f aca="false">2</f>
        <v>2</v>
      </c>
    </row>
    <row r="34" customFormat="false" ht="23.85" hidden="false" customHeight="false" outlineLevel="0" collapsed="false">
      <c r="A34" s="15" t="str">
        <f aca="false">INDEX($A$40:$A$45,MATCH(LARGE($D$40:$D$45,3),$D$40:$D$45,0))</f>
        <v>Variable cost per unit</v>
      </c>
      <c r="B34" s="45" t="n">
        <f aca="false">INDEX($B$40:$B$45,MATCH(LARGE($D$40:$D$45,3),$D$40:$D$45,0))</f>
        <v>199970915.300122</v>
      </c>
      <c r="C34" s="45" t="n">
        <f aca="false">INDEX($C$40:$C$45,MATCH(LARGE($D$40:$D$45,3),$D$40:$D$45,0))</f>
        <v>-409781618.096132</v>
      </c>
      <c r="D34" s="48" t="n">
        <f aca="false">IFERROR(ABS(C34-B34),"")</f>
        <v>609752533.396254</v>
      </c>
      <c r="E34" s="45" t="n">
        <f aca="false">IFERROR(B34-$N$16,"")</f>
        <v>234520205.152405</v>
      </c>
      <c r="F34" s="45" t="n">
        <f aca="false">IFERROR(C34-$N$16,"")</f>
        <v>-375232328.243848</v>
      </c>
      <c r="G34" s="15" t="str">
        <f aca="false">IF(B34="","",IF(MIN(B34,C34)&lt;0,IF(MAX(B34,C34)&gt;0,"Yes","Below zero"),"No"))</f>
        <v>Yes</v>
      </c>
      <c r="H34" s="15" t="n">
        <f aca="false">3</f>
        <v>3</v>
      </c>
    </row>
    <row r="35" customFormat="false" ht="23.85" hidden="false" customHeight="false" outlineLevel="0" collapsed="false">
      <c r="A35" s="15" t="str">
        <f aca="false">INDEX($A$40:$A$45,MATCH(LARGE($D$40:$D$45,4),$D$40:$D$45,0))</f>
        <v>Capex</v>
      </c>
      <c r="B35" s="45" t="n">
        <f aca="false">INDEX($B$40:$B$45,MATCH(LARGE($D$40:$D$45,4),$D$40:$D$45,0))</f>
        <v>79266520.0464444</v>
      </c>
      <c r="C35" s="45" t="n">
        <f aca="false">INDEX($C$40:$C$45,MATCH(LARGE($D$40:$D$45,4),$D$40:$D$45,0))</f>
        <v>-489812529.447194</v>
      </c>
      <c r="D35" s="48" t="n">
        <f aca="false">IFERROR(ABS(C35-B35),"")</f>
        <v>569079049.493639</v>
      </c>
      <c r="E35" s="45" t="n">
        <f aca="false">IFERROR(B35-$N$16,"")</f>
        <v>113815809.898728</v>
      </c>
      <c r="F35" s="45" t="n">
        <f aca="false">IFERROR(C35-$N$16,"")</f>
        <v>-455263239.594911</v>
      </c>
      <c r="G35" s="15" t="str">
        <f aca="false">IF(B35="","",IF(MIN(B35,C35)&lt;0,IF(MAX(B35,C35)&gt;0,"Yes","Below zero"),"No"))</f>
        <v>Yes</v>
      </c>
      <c r="H35" s="15" t="n">
        <f aca="false">4</f>
        <v>4</v>
      </c>
    </row>
    <row r="36" customFormat="false" ht="23.85" hidden="false" customHeight="false" outlineLevel="0" collapsed="false">
      <c r="A36" s="15" t="str">
        <f aca="false">INDEX($A$40:$A$45,MATCH(LARGE($D$40:$D$45,5),$D$40:$D$45,0))</f>
        <v>Discount rate (absolute)</v>
      </c>
      <c r="B36" s="45" t="n">
        <f aca="false">INDEX($B$40:$B$45,MATCH(LARGE($D$40:$D$45,5),$D$40:$D$45,0))</f>
        <v>34408840.0272958</v>
      </c>
      <c r="C36" s="45" t="n">
        <f aca="false">INDEX($C$40:$C$45,MATCH(LARGE($D$40:$D$45,5),$D$40:$D$45,0))</f>
        <v>-163322295.50234</v>
      </c>
      <c r="D36" s="48" t="n">
        <f aca="false">IFERROR(ABS(C36-B36),"")</f>
        <v>197731135.529635</v>
      </c>
      <c r="E36" s="45" t="n">
        <f aca="false">IFERROR(B36-$N$16,"")</f>
        <v>68958129.8795793</v>
      </c>
      <c r="F36" s="45" t="n">
        <f aca="false">IFERROR(C36-$N$16,"")</f>
        <v>-128773005.650056</v>
      </c>
      <c r="G36" s="15" t="str">
        <f aca="false">IF(B36="","",IF(MIN(B36,C36)&lt;0,IF(MAX(B36,C36)&gt;0,"Yes","Below zero"),"No"))</f>
        <v>Yes</v>
      </c>
      <c r="H36" s="15" t="n">
        <f aca="false">5</f>
        <v>5</v>
      </c>
    </row>
    <row r="37" customFormat="false" ht="23.85" hidden="false" customHeight="false" outlineLevel="0" collapsed="false">
      <c r="A37" s="15" t="str">
        <f aca="false">INDEX($A$40:$A$45,MATCH(LARGE($D$40:$D$45,6),$D$40:$D$45,0))</f>
        <v>Fixed costs</v>
      </c>
      <c r="B37" s="45" t="n">
        <f aca="false">INDEX($B$40:$B$45,MATCH(LARGE($D$40:$D$45,6),$D$40:$D$45,0))</f>
        <v>-7596795.92178941</v>
      </c>
      <c r="C37" s="45" t="n">
        <f aca="false">INDEX($C$40:$C$45,MATCH(LARGE($D$40:$D$45,6),$D$40:$D$45,0))</f>
        <v>-88454277.7132716</v>
      </c>
      <c r="D37" s="48" t="n">
        <f aca="false">IFERROR(ABS(C37-B37),"")</f>
        <v>80857481.7914822</v>
      </c>
      <c r="E37" s="45" t="n">
        <f aca="false">IFERROR(B37-$N$16,"")</f>
        <v>26952493.9304941</v>
      </c>
      <c r="F37" s="45" t="n">
        <f aca="false">IFERROR(C37-$N$16,"")</f>
        <v>-53904987.8609881</v>
      </c>
      <c r="G37" s="15" t="str">
        <f aca="false">IF(B37="","",IF(MIN(B37,C37)&lt;0,IF(MAX(B37,C37)&gt;0,"Yes","Below zero"),"No"))</f>
        <v>Below zero</v>
      </c>
      <c r="H37" s="15" t="n">
        <f aca="false">6</f>
        <v>6</v>
      </c>
    </row>
    <row r="39" customFormat="false" ht="15" hidden="false" customHeight="false" outlineLevel="0" collapsed="false">
      <c r="A39" s="5" t="s">
        <v>714</v>
      </c>
    </row>
    <row r="40" customFormat="false" ht="23.85" hidden="false" customHeight="false" outlineLevel="0" collapsed="false">
      <c r="A40" s="5" t="s">
        <v>421</v>
      </c>
      <c r="B40" s="45" t="n">
        <f aca="false">N17</f>
        <v>-632246961.034704</v>
      </c>
      <c r="C40" s="45" t="n">
        <f aca="false">N18</f>
        <v>264299545.738927</v>
      </c>
      <c r="D40" s="35" t="n">
        <f aca="false">IFERROR(ABS(C40-B40)+ROW()/1000000000,0)</f>
        <v>896546506.773631</v>
      </c>
    </row>
    <row r="41" customFormat="false" ht="23.85" hidden="false" customHeight="false" outlineLevel="0" collapsed="false">
      <c r="A41" s="5" t="s">
        <v>618</v>
      </c>
      <c r="B41" s="45" t="n">
        <f aca="false">N19</f>
        <v>-590712647.198714</v>
      </c>
      <c r="C41" s="45" t="n">
        <f aca="false">N20</f>
        <v>382573228.157539</v>
      </c>
      <c r="D41" s="35" t="n">
        <f aca="false">IFERROR(ABS(C41-B41)+ROW()/1000000000,0)</f>
        <v>973285875.356253</v>
      </c>
    </row>
    <row r="42" customFormat="false" ht="23.85" hidden="false" customHeight="false" outlineLevel="0" collapsed="false">
      <c r="A42" s="5" t="s">
        <v>423</v>
      </c>
      <c r="B42" s="45" t="n">
        <f aca="false">N21</f>
        <v>199970915.300122</v>
      </c>
      <c r="C42" s="45" t="n">
        <f aca="false">N22</f>
        <v>-409781618.096132</v>
      </c>
      <c r="D42" s="35" t="n">
        <f aca="false">IFERROR(ABS(C42-B42)+ROW()/1000000000,0)</f>
        <v>609752533.396254</v>
      </c>
    </row>
    <row r="43" customFormat="false" ht="23.85" hidden="false" customHeight="false" outlineLevel="0" collapsed="false">
      <c r="A43" s="5" t="s">
        <v>447</v>
      </c>
      <c r="B43" s="45" t="n">
        <f aca="false">N23</f>
        <v>-7596795.92178941</v>
      </c>
      <c r="C43" s="45" t="n">
        <f aca="false">N24</f>
        <v>-88454277.7132716</v>
      </c>
      <c r="D43" s="35" t="n">
        <f aca="false">IFERROR(ABS(C43-B43)+ROW()/1000000000,0)</f>
        <v>80857481.7914823</v>
      </c>
    </row>
    <row r="44" customFormat="false" ht="23.85" hidden="false" customHeight="false" outlineLevel="0" collapsed="false">
      <c r="A44" s="5" t="s">
        <v>619</v>
      </c>
      <c r="B44" s="45" t="n">
        <f aca="false">N25</f>
        <v>79266520.0464444</v>
      </c>
      <c r="C44" s="45" t="n">
        <f aca="false">N26</f>
        <v>-489812529.447194</v>
      </c>
      <c r="D44" s="35" t="n">
        <f aca="false">IFERROR(ABS(C44-B44)+ROW()/1000000000,0)</f>
        <v>569079049.493639</v>
      </c>
    </row>
    <row r="45" customFormat="false" ht="23.85" hidden="false" customHeight="false" outlineLevel="0" collapsed="false">
      <c r="A45" s="5" t="s">
        <v>679</v>
      </c>
      <c r="B45" s="45" t="n">
        <f aca="false">N27</f>
        <v>34408840.0272958</v>
      </c>
      <c r="C45" s="45" t="n">
        <f aca="false">N28</f>
        <v>-163322295.50234</v>
      </c>
      <c r="D45" s="35" t="n">
        <f aca="false">IFERROR(ABS(C45-B45)+ROW()/1000000000,0)</f>
        <v>197731135.529636</v>
      </c>
    </row>
    <row r="48" customFormat="false" ht="15" hidden="false" customHeight="true" outlineLevel="0" collapsed="false">
      <c r="A48" s="9" t="s">
        <v>715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customFormat="false" ht="23.85" hidden="false" customHeight="false" outlineLevel="0" collapsed="false">
      <c r="A49" s="5" t="s">
        <v>716</v>
      </c>
      <c r="B49" s="45" t="n">
        <f aca="false">IFERROR(AVERAGE($N$81:$N$1080),"")</f>
        <v>-359567714.157761</v>
      </c>
    </row>
    <row r="50" customFormat="false" ht="23.85" hidden="false" customHeight="false" outlineLevel="0" collapsed="false">
      <c r="A50" s="20" t="s">
        <v>717</v>
      </c>
      <c r="B50" s="46" t="n">
        <f aca="false">IFERROR(MEDIAN($N$81:$N$1080),"")</f>
        <v>-351609546.043087</v>
      </c>
    </row>
    <row r="51" customFormat="false" ht="23.85" hidden="false" customHeight="false" outlineLevel="0" collapsed="false">
      <c r="A51" s="5" t="s">
        <v>718</v>
      </c>
      <c r="B51" s="45" t="n">
        <f aca="false">IFERROR(PERCENTILE($N$81:$N$1080,0.1),"")</f>
        <v>-756395557.63683</v>
      </c>
    </row>
    <row r="52" customFormat="false" ht="15" hidden="false" customHeight="false" outlineLevel="0" collapsed="false">
      <c r="A52" s="5" t="s">
        <v>719</v>
      </c>
      <c r="B52" s="45" t="n">
        <f aca="false">IFERROR(PERCENTILE($N$81:$N$1080,0.9),"")</f>
        <v>32679470.3983</v>
      </c>
    </row>
    <row r="53" customFormat="false" ht="23.85" hidden="false" customHeight="false" outlineLevel="0" collapsed="false">
      <c r="A53" s="5" t="s">
        <v>720</v>
      </c>
      <c r="B53" s="45" t="n">
        <f aca="false">IFERROR(STDEV($N$81:$N$1080),"")</f>
        <v>317810321.207322</v>
      </c>
    </row>
    <row r="54" customFormat="false" ht="15" hidden="false" customHeight="false" outlineLevel="0" collapsed="false">
      <c r="A54" s="20" t="s">
        <v>721</v>
      </c>
      <c r="B54" s="21" t="n">
        <f aca="false">IFERROR(COUNTIF($N$81:$N$1080,"&lt;0")/COUNT($N$81:$N$1080),"")</f>
        <v>0.871</v>
      </c>
    </row>
    <row r="55" customFormat="false" ht="23.85" hidden="false" customHeight="false" outlineLevel="0" collapsed="false">
      <c r="A55" s="5" t="s">
        <v>722</v>
      </c>
      <c r="B55" s="45" t="n">
        <f aca="false">IFERROR(N16,"")</f>
        <v>-34549289.8522835</v>
      </c>
    </row>
    <row r="56" customFormat="false" ht="30" hidden="false" customHeight="true" outlineLevel="0" collapsed="false">
      <c r="A56" s="10" t="s">
        <v>723</v>
      </c>
      <c r="B56" s="10"/>
      <c r="C56" s="10"/>
      <c r="D56" s="10"/>
      <c r="E56" s="10"/>
      <c r="F56" s="10"/>
      <c r="G56" s="10"/>
      <c r="H56" s="10"/>
    </row>
    <row r="58" customFormat="false" ht="30" hidden="false" customHeight="true" outlineLevel="0" collapsed="false">
      <c r="A58" s="12" t="s">
        <v>724</v>
      </c>
      <c r="B58" s="12" t="s">
        <v>725</v>
      </c>
      <c r="C58" s="12" t="s">
        <v>726</v>
      </c>
    </row>
    <row r="59" customFormat="false" ht="15" hidden="false" customHeight="false" outlineLevel="0" collapsed="false">
      <c r="A59" s="49" t="n">
        <f aca="false">MIN($N$81:$N$1080)+(MAX($N$81:$N$1080)-MIN($N$81:$N$1080))*0/20</f>
        <v>-1275625101.09833</v>
      </c>
      <c r="B59" s="49" t="n">
        <f aca="false">MIN($N$81:$N$1080)+(MAX($N$81:$N$1080)-MIN($N$81:$N$1080))*1/20</f>
        <v>-1175872215.86238</v>
      </c>
      <c r="C59" s="26" t="n">
        <f aca="false">COUNTIFS($N$81:$N$1080,"&gt;="&amp;A59,$N$81:$N$1080,"&lt;"&amp;B59)</f>
        <v>4</v>
      </c>
    </row>
    <row r="60" customFormat="false" ht="15" hidden="false" customHeight="false" outlineLevel="0" collapsed="false">
      <c r="A60" s="49" t="n">
        <f aca="false">MIN($N$81:$N$1080)+(MAX($N$81:$N$1080)-MIN($N$81:$N$1080))*1/20</f>
        <v>-1175872215.86238</v>
      </c>
      <c r="B60" s="49" t="n">
        <f aca="false">MIN($N$81:$N$1080)+(MAX($N$81:$N$1080)-MIN($N$81:$N$1080))*2/20</f>
        <v>-1076119330.62642</v>
      </c>
      <c r="C60" s="26" t="n">
        <f aca="false">COUNTIFS($N$81:$N$1080,"&gt;="&amp;A60,$N$81:$N$1080,"&lt;"&amp;B60)</f>
        <v>7</v>
      </c>
    </row>
    <row r="61" customFormat="false" ht="15" hidden="false" customHeight="false" outlineLevel="0" collapsed="false">
      <c r="A61" s="49" t="n">
        <f aca="false">MIN($N$81:$N$1080)+(MAX($N$81:$N$1080)-MIN($N$81:$N$1080))*2/20</f>
        <v>-1076119330.62642</v>
      </c>
      <c r="B61" s="49" t="n">
        <f aca="false">MIN($N$81:$N$1080)+(MAX($N$81:$N$1080)-MIN($N$81:$N$1080))*3/20</f>
        <v>-976366445.390466</v>
      </c>
      <c r="C61" s="26" t="n">
        <f aca="false">COUNTIFS($N$81:$N$1080,"&gt;="&amp;A61,$N$81:$N$1080,"&lt;"&amp;B61)</f>
        <v>13</v>
      </c>
    </row>
    <row r="62" customFormat="false" ht="15" hidden="false" customHeight="false" outlineLevel="0" collapsed="false">
      <c r="A62" s="49" t="n">
        <f aca="false">MIN($N$81:$N$1080)+(MAX($N$81:$N$1080)-MIN($N$81:$N$1080))*3/20</f>
        <v>-976366445.390466</v>
      </c>
      <c r="B62" s="49" t="n">
        <f aca="false">MIN($N$81:$N$1080)+(MAX($N$81:$N$1080)-MIN($N$81:$N$1080))*4/20</f>
        <v>-876613560.15451</v>
      </c>
      <c r="C62" s="26" t="n">
        <f aca="false">COUNTIFS($N$81:$N$1080,"&gt;="&amp;A62,$N$81:$N$1080,"&lt;"&amp;B62)</f>
        <v>30</v>
      </c>
    </row>
    <row r="63" customFormat="false" ht="15" hidden="false" customHeight="false" outlineLevel="0" collapsed="false">
      <c r="A63" s="49" t="n">
        <f aca="false">MIN($N$81:$N$1080)+(MAX($N$81:$N$1080)-MIN($N$81:$N$1080))*4/20</f>
        <v>-876613560.15451</v>
      </c>
      <c r="B63" s="49" t="n">
        <f aca="false">MIN($N$81:$N$1080)+(MAX($N$81:$N$1080)-MIN($N$81:$N$1080))*5/20</f>
        <v>-776860674.918554</v>
      </c>
      <c r="C63" s="26" t="n">
        <f aca="false">COUNTIFS($N$81:$N$1080,"&gt;="&amp;A63,$N$81:$N$1080,"&lt;"&amp;B63)</f>
        <v>36</v>
      </c>
    </row>
    <row r="64" customFormat="false" ht="15" hidden="false" customHeight="false" outlineLevel="0" collapsed="false">
      <c r="A64" s="49" t="n">
        <f aca="false">MIN($N$81:$N$1080)+(MAX($N$81:$N$1080)-MIN($N$81:$N$1080))*5/20</f>
        <v>-776860674.918554</v>
      </c>
      <c r="B64" s="49" t="n">
        <f aca="false">MIN($N$81:$N$1080)+(MAX($N$81:$N$1080)-MIN($N$81:$N$1080))*6/20</f>
        <v>-677107789.682597</v>
      </c>
      <c r="C64" s="26" t="n">
        <f aca="false">COUNTIFS($N$81:$N$1080,"&gt;="&amp;A64,$N$81:$N$1080,"&lt;"&amp;B64)</f>
        <v>74</v>
      </c>
    </row>
    <row r="65" customFormat="false" ht="15" hidden="false" customHeight="false" outlineLevel="0" collapsed="false">
      <c r="A65" s="49" t="n">
        <f aca="false">MIN($N$81:$N$1080)+(MAX($N$81:$N$1080)-MIN($N$81:$N$1080))*6/20</f>
        <v>-677107789.682597</v>
      </c>
      <c r="B65" s="49" t="n">
        <f aca="false">MIN($N$81:$N$1080)+(MAX($N$81:$N$1080)-MIN($N$81:$N$1080))*7/20</f>
        <v>-577354904.446641</v>
      </c>
      <c r="C65" s="26" t="n">
        <f aca="false">COUNTIFS($N$81:$N$1080,"&gt;="&amp;A65,$N$81:$N$1080,"&lt;"&amp;B65)</f>
        <v>99</v>
      </c>
    </row>
    <row r="66" customFormat="false" ht="15" hidden="false" customHeight="false" outlineLevel="0" collapsed="false">
      <c r="A66" s="49" t="n">
        <f aca="false">MIN($N$81:$N$1080)+(MAX($N$81:$N$1080)-MIN($N$81:$N$1080))*7/20</f>
        <v>-577354904.446641</v>
      </c>
      <c r="B66" s="49" t="n">
        <f aca="false">MIN($N$81:$N$1080)+(MAX($N$81:$N$1080)-MIN($N$81:$N$1080))*8/20</f>
        <v>-477602019.210685</v>
      </c>
      <c r="C66" s="26" t="n">
        <f aca="false">COUNTIFS($N$81:$N$1080,"&gt;="&amp;A66,$N$81:$N$1080,"&lt;"&amp;B66)</f>
        <v>95</v>
      </c>
    </row>
    <row r="67" customFormat="false" ht="15" hidden="false" customHeight="false" outlineLevel="0" collapsed="false">
      <c r="A67" s="49" t="n">
        <f aca="false">MIN($N$81:$N$1080)+(MAX($N$81:$N$1080)-MIN($N$81:$N$1080))*8/20</f>
        <v>-477602019.210685</v>
      </c>
      <c r="B67" s="49" t="n">
        <f aca="false">MIN($N$81:$N$1080)+(MAX($N$81:$N$1080)-MIN($N$81:$N$1080))*9/20</f>
        <v>-377849133.974729</v>
      </c>
      <c r="C67" s="26" t="n">
        <f aca="false">COUNTIFS($N$81:$N$1080,"&gt;="&amp;A67,$N$81:$N$1080,"&lt;"&amp;B67)</f>
        <v>110</v>
      </c>
    </row>
    <row r="68" customFormat="false" ht="15" hidden="false" customHeight="false" outlineLevel="0" collapsed="false">
      <c r="A68" s="49" t="n">
        <f aca="false">MIN($N$81:$N$1080)+(MAX($N$81:$N$1080)-MIN($N$81:$N$1080))*9/20</f>
        <v>-377849133.974729</v>
      </c>
      <c r="B68" s="49" t="n">
        <f aca="false">MIN($N$81:$N$1080)+(MAX($N$81:$N$1080)-MIN($N$81:$N$1080))*10/20</f>
        <v>-278096248.738773</v>
      </c>
      <c r="C68" s="26" t="n">
        <f aca="false">COUNTIFS($N$81:$N$1080,"&gt;="&amp;A68,$N$81:$N$1080,"&lt;"&amp;B68)</f>
        <v>128</v>
      </c>
    </row>
    <row r="69" customFormat="false" ht="15" hidden="false" customHeight="false" outlineLevel="0" collapsed="false">
      <c r="A69" s="49" t="n">
        <f aca="false">MIN($N$81:$N$1080)+(MAX($N$81:$N$1080)-MIN($N$81:$N$1080))*10/20</f>
        <v>-278096248.738773</v>
      </c>
      <c r="B69" s="49" t="n">
        <f aca="false">MIN($N$81:$N$1080)+(MAX($N$81:$N$1080)-MIN($N$81:$N$1080))*11/20</f>
        <v>-178343363.502817</v>
      </c>
      <c r="C69" s="26" t="n">
        <f aca="false">COUNTIFS($N$81:$N$1080,"&gt;="&amp;A69,$N$81:$N$1080,"&lt;"&amp;B69)</f>
        <v>122</v>
      </c>
    </row>
    <row r="70" customFormat="false" ht="15" hidden="false" customHeight="false" outlineLevel="0" collapsed="false">
      <c r="A70" s="49" t="n">
        <f aca="false">MIN($N$81:$N$1080)+(MAX($N$81:$N$1080)-MIN($N$81:$N$1080))*11/20</f>
        <v>-178343363.502817</v>
      </c>
      <c r="B70" s="49" t="n">
        <f aca="false">MIN($N$81:$N$1080)+(MAX($N$81:$N$1080)-MIN($N$81:$N$1080))*12/20</f>
        <v>-78590478.266861</v>
      </c>
      <c r="C70" s="26" t="n">
        <f aca="false">COUNTIFS($N$81:$N$1080,"&gt;="&amp;A70,$N$81:$N$1080,"&lt;"&amp;B70)</f>
        <v>89</v>
      </c>
    </row>
    <row r="71" customFormat="false" ht="15" hidden="false" customHeight="false" outlineLevel="0" collapsed="false">
      <c r="A71" s="49" t="n">
        <f aca="false">MIN($N$81:$N$1080)+(MAX($N$81:$N$1080)-MIN($N$81:$N$1080))*12/20</f>
        <v>-78590478.266861</v>
      </c>
      <c r="B71" s="49" t="n">
        <f aca="false">MIN($N$81:$N$1080)+(MAX($N$81:$N$1080)-MIN($N$81:$N$1080))*13/20</f>
        <v>21162406.9690952</v>
      </c>
      <c r="C71" s="26" t="n">
        <f aca="false">COUNTIFS($N$81:$N$1080,"&gt;="&amp;A71,$N$81:$N$1080,"&lt;"&amp;B71)</f>
        <v>84</v>
      </c>
    </row>
    <row r="72" customFormat="false" ht="15" hidden="false" customHeight="false" outlineLevel="0" collapsed="false">
      <c r="A72" s="49" t="n">
        <f aca="false">MIN($N$81:$N$1080)+(MAX($N$81:$N$1080)-MIN($N$81:$N$1080))*13/20</f>
        <v>21162406.9690952</v>
      </c>
      <c r="B72" s="49" t="n">
        <f aca="false">MIN($N$81:$N$1080)+(MAX($N$81:$N$1080)-MIN($N$81:$N$1080))*14/20</f>
        <v>120915292.205051</v>
      </c>
      <c r="C72" s="26" t="n">
        <f aca="false">COUNTIFS($N$81:$N$1080,"&gt;="&amp;A72,$N$81:$N$1080,"&lt;"&amp;B72)</f>
        <v>47</v>
      </c>
    </row>
    <row r="73" customFormat="false" ht="15" hidden="false" customHeight="false" outlineLevel="0" collapsed="false">
      <c r="A73" s="49" t="n">
        <f aca="false">MIN($N$81:$N$1080)+(MAX($N$81:$N$1080)-MIN($N$81:$N$1080))*14/20</f>
        <v>120915292.205051</v>
      </c>
      <c r="B73" s="49" t="n">
        <f aca="false">MIN($N$81:$N$1080)+(MAX($N$81:$N$1080)-MIN($N$81:$N$1080))*15/20</f>
        <v>220668177.441008</v>
      </c>
      <c r="C73" s="26" t="n">
        <f aca="false">COUNTIFS($N$81:$N$1080,"&gt;="&amp;A73,$N$81:$N$1080,"&lt;"&amp;B73)</f>
        <v>26</v>
      </c>
    </row>
    <row r="74" customFormat="false" ht="15" hidden="false" customHeight="false" outlineLevel="0" collapsed="false">
      <c r="A74" s="49" t="n">
        <f aca="false">MIN($N$81:$N$1080)+(MAX($N$81:$N$1080)-MIN($N$81:$N$1080))*15/20</f>
        <v>220668177.441008</v>
      </c>
      <c r="B74" s="49" t="n">
        <f aca="false">MIN($N$81:$N$1080)+(MAX($N$81:$N$1080)-MIN($N$81:$N$1080))*16/20</f>
        <v>320421062.676964</v>
      </c>
      <c r="C74" s="26" t="n">
        <f aca="false">COUNTIFS($N$81:$N$1080,"&gt;="&amp;A74,$N$81:$N$1080,"&lt;"&amp;B74)</f>
        <v>17</v>
      </c>
    </row>
    <row r="75" customFormat="false" ht="15" hidden="false" customHeight="false" outlineLevel="0" collapsed="false">
      <c r="A75" s="49" t="n">
        <f aca="false">MIN($N$81:$N$1080)+(MAX($N$81:$N$1080)-MIN($N$81:$N$1080))*16/20</f>
        <v>320421062.676964</v>
      </c>
      <c r="B75" s="49" t="n">
        <f aca="false">MIN($N$81:$N$1080)+(MAX($N$81:$N$1080)-MIN($N$81:$N$1080))*17/20</f>
        <v>420173947.91292</v>
      </c>
      <c r="C75" s="26" t="n">
        <f aca="false">COUNTIFS($N$81:$N$1080,"&gt;="&amp;A75,$N$81:$N$1080,"&lt;"&amp;B75)</f>
        <v>6</v>
      </c>
    </row>
    <row r="76" customFormat="false" ht="15" hidden="false" customHeight="false" outlineLevel="0" collapsed="false">
      <c r="A76" s="49" t="n">
        <f aca="false">MIN($N$81:$N$1080)+(MAX($N$81:$N$1080)-MIN($N$81:$N$1080))*17/20</f>
        <v>420173947.91292</v>
      </c>
      <c r="B76" s="49" t="n">
        <f aca="false">MIN($N$81:$N$1080)+(MAX($N$81:$N$1080)-MIN($N$81:$N$1080))*18/20</f>
        <v>519926833.148876</v>
      </c>
      <c r="C76" s="26" t="n">
        <f aca="false">COUNTIFS($N$81:$N$1080,"&gt;="&amp;A76,$N$81:$N$1080,"&lt;"&amp;B76)</f>
        <v>10</v>
      </c>
    </row>
    <row r="77" customFormat="false" ht="15" hidden="false" customHeight="false" outlineLevel="0" collapsed="false">
      <c r="A77" s="49" t="n">
        <f aca="false">MIN($N$81:$N$1080)+(MAX($N$81:$N$1080)-MIN($N$81:$N$1080))*18/20</f>
        <v>519926833.148876</v>
      </c>
      <c r="B77" s="49" t="n">
        <f aca="false">MIN($N$81:$N$1080)+(MAX($N$81:$N$1080)-MIN($N$81:$N$1080))*19/20</f>
        <v>619679718.384832</v>
      </c>
      <c r="C77" s="26" t="n">
        <f aca="false">COUNTIFS($N$81:$N$1080,"&gt;="&amp;A77,$N$81:$N$1080,"&lt;"&amp;B77)</f>
        <v>1</v>
      </c>
    </row>
    <row r="78" customFormat="false" ht="15" hidden="false" customHeight="false" outlineLevel="0" collapsed="false">
      <c r="A78" s="49" t="n">
        <f aca="false">MIN($N$81:$N$1080)+(MAX($N$81:$N$1080)-MIN($N$81:$N$1080))*19/20</f>
        <v>619679718.384832</v>
      </c>
      <c r="B78" s="49" t="n">
        <f aca="false">MIN($N$81:$N$1080)+(MAX($N$81:$N$1080)-MIN($N$81:$N$1080))*20/20</f>
        <v>719432603.620788</v>
      </c>
      <c r="C78" s="26" t="n">
        <f aca="false">COUNTIFS($N$81:$N$1080,"&gt;="&amp;A78,$N$81:$N$1080,"&lt;="&amp;B78)</f>
        <v>2</v>
      </c>
    </row>
    <row r="80" customFormat="false" ht="23.85" hidden="false" customHeight="false" outlineLevel="0" collapsed="false">
      <c r="A80" s="12" t="s">
        <v>727</v>
      </c>
      <c r="B80" s="12" t="s">
        <v>682</v>
      </c>
      <c r="C80" s="12" t="s">
        <v>683</v>
      </c>
      <c r="D80" s="12" t="s">
        <v>684</v>
      </c>
      <c r="E80" s="12" t="s">
        <v>685</v>
      </c>
      <c r="F80" s="12" t="s">
        <v>686</v>
      </c>
      <c r="G80" s="12" t="s">
        <v>687</v>
      </c>
      <c r="H80" s="12" t="s">
        <v>688</v>
      </c>
      <c r="I80" s="12" t="s">
        <v>689</v>
      </c>
      <c r="J80" s="12" t="s">
        <v>690</v>
      </c>
      <c r="K80" s="12" t="s">
        <v>691</v>
      </c>
      <c r="L80" s="12" t="s">
        <v>692</v>
      </c>
      <c r="M80" s="12" t="s">
        <v>693</v>
      </c>
      <c r="N80" s="12" t="s">
        <v>628</v>
      </c>
      <c r="P80" s="12" t="s">
        <v>728</v>
      </c>
      <c r="Q80" s="12" t="s">
        <v>729</v>
      </c>
      <c r="R80" s="12" t="s">
        <v>730</v>
      </c>
      <c r="S80" s="12" t="s">
        <v>731</v>
      </c>
      <c r="T80" s="12" t="s">
        <v>732</v>
      </c>
      <c r="U80" s="12" t="s">
        <v>733</v>
      </c>
    </row>
    <row r="81" customFormat="false" ht="15" hidden="false" customHeight="false" outlineLevel="0" collapsed="false">
      <c r="A81" s="50" t="n">
        <v>1</v>
      </c>
      <c r="B81" s="51" t="n">
        <f aca="false">1+IF($G$6=$E$6,$F$6,IF(P81&lt;($F$6-$E$6)/($G$6-$E$6),$E$6+SQRT(P81*($G$6-$E$6)*($F$6-$E$6)),$G$6-SQRT((1-P81)*($G$6-$E$6)*($G$6-$F$6))))</f>
        <v>0.945071184784195</v>
      </c>
      <c r="C81" s="51" t="n">
        <f aca="false">1+IF($G$7=$E$7,$F$7,IF(Q81&lt;($F$7-$E$7)/($G$7-$E$7),$E$7+SQRT(Q81*($G$7-$E$7)*($F$7-$E$7)),$G$7-SQRT((1-Q81)*($G$7-$E$7)*($G$7-$F$7))))</f>
        <v>0.881371182918948</v>
      </c>
      <c r="D81" s="51" t="n">
        <f aca="false">1+IF($G$8=$E$8,$F$8,IF(R81&lt;($F$8-$E$8)/($G$8-$E$8),$E$8+SQRT(R81*($G$8-$E$8)*($F$8-$E$8)),$G$8-SQRT((1-R81)*($G$8-$E$8)*($G$8-$F$8))))</f>
        <v>1.03778874902169</v>
      </c>
      <c r="E81" s="51" t="n">
        <f aca="false">1+IF($G$9=$E$9,$F$9,IF(S81&lt;($F$9-$E$9)/($G$9-$E$9),$E$9+SQRT(S81*($G$9-$E$9)*($F$9-$E$9)),$G$9-SQRT((1-S81)*($G$9-$E$9)*($G$9-$F$9))))</f>
        <v>0.992909186916657</v>
      </c>
      <c r="F81" s="51" t="n">
        <f aca="false">1+IF($G$10=$E$10,$F$10,IF(T81&lt;($F$10-$E$10)/($G$10-$E$10),$E$10+SQRT(T81*($G$10-$E$10)*($F$10-$E$10)),$G$10-SQRT((1-T81)*($G$10-$E$10)*($G$10-$F$10))))</f>
        <v>1.04067665191731</v>
      </c>
      <c r="G81" s="52" t="n">
        <f aca="false">IF($G$11=$E$11,$F$11,IF(U81&lt;($F$11-$E$11)/($G$11-$E$11),$E$11+SQRT(U81*($G$11-$E$11)*($F$11-$E$11)),$G$11-SQRT((1-U81)*($G$11-$E$11)*($G$11-$F$11))))</f>
        <v>0.102170229754</v>
      </c>
      <c r="H81" s="53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-2081353303.83462</v>
      </c>
      <c r="I81" s="53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-74428429.1761894</v>
      </c>
      <c r="J81" s="53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139583062.277553</v>
      </c>
      <c r="K81" s="53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405628386.327161</v>
      </c>
      <c r="L81" s="53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505752596.184177</v>
      </c>
      <c r="M81" s="53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664081349.399236</v>
      </c>
      <c r="N81" s="53" t="n">
        <f aca="false">IF(COUNT('Business Case'!B11:G11)=0,"",H81+NPV(G81,I81:M81))</f>
        <v>-979998562.33356</v>
      </c>
      <c r="P81" s="54" t="n">
        <f aca="true">RAND()</f>
        <v>0.065475448592007</v>
      </c>
      <c r="Q81" s="54" t="n">
        <f aca="true">RAND()</f>
        <v>0.0945895629946976</v>
      </c>
      <c r="R81" s="54" t="n">
        <f aca="true">RAND()</f>
        <v>0.828674066427516</v>
      </c>
      <c r="S81" s="54" t="n">
        <f aca="true">RAND()</f>
        <v>0.245493109579816</v>
      </c>
      <c r="T81" s="54" t="n">
        <f aca="true">RAND()</f>
        <v>0.492321415114435</v>
      </c>
      <c r="U81" s="54" t="n">
        <f aca="true">RAND()</f>
        <v>0.470165488291399</v>
      </c>
    </row>
    <row r="82" customFormat="false" ht="15" hidden="false" customHeight="false" outlineLevel="0" collapsed="false">
      <c r="A82" s="50" t="n">
        <v>2</v>
      </c>
      <c r="B82" s="51" t="n">
        <f aca="false">1+IF($G$6=$E$6,$F$6,IF(P82&lt;($F$6-$E$6)/($G$6-$E$6),$E$6+SQRT(P82*($G$6-$E$6)*($F$6-$E$6)),$G$6-SQRT((1-P82)*($G$6-$E$6)*($G$6-$F$6))))</f>
        <v>0.957411766499605</v>
      </c>
      <c r="C82" s="51" t="n">
        <f aca="false">1+IF($G$7=$E$7,$F$7,IF(Q82&lt;($F$7-$E$7)/($G$7-$E$7),$E$7+SQRT(Q82*($G$7-$E$7)*($F$7-$E$7)),$G$7-SQRT((1-Q82)*($G$7-$E$7)*($G$7-$F$7))))</f>
        <v>1.11031132639123</v>
      </c>
      <c r="D82" s="51" t="n">
        <f aca="false">1+IF($G$8=$E$8,$F$8,IF(R82&lt;($F$8-$E$8)/($G$8-$E$8),$E$8+SQRT(R82*($G$8-$E$8)*($F$8-$E$8)),$G$8-SQRT((1-R82)*($G$8-$E$8)*($G$8-$F$8))))</f>
        <v>0.976708702797521</v>
      </c>
      <c r="E82" s="51" t="n">
        <f aca="false">1+IF($G$9=$E$9,$F$9,IF(S82&lt;($F$9-$E$9)/($G$9-$E$9),$E$9+SQRT(S82*($G$9-$E$9)*($F$9-$E$9)),$G$9-SQRT((1-S82)*($G$9-$E$9)*($G$9-$F$9))))</f>
        <v>1.07766567616007</v>
      </c>
      <c r="F82" s="51" t="n">
        <f aca="false">1+IF($G$10=$E$10,$F$10,IF(T82&lt;($F$10-$E$10)/($G$10-$E$10),$E$10+SQRT(T82*($G$10-$E$10)*($F$10-$E$10)),$G$10-SQRT((1-T82)*($G$10-$E$10)*($G$10-$F$10))))</f>
        <v>1.03208133281374</v>
      </c>
      <c r="G82" s="52" t="n">
        <f aca="false">IF($G$11=$E$11,$F$11,IF(U82&lt;($F$11-$E$11)/($G$11-$E$11),$E$11+SQRT(U82*($G$11-$E$11)*($F$11-$E$11)),$G$11-SQRT((1-U82)*($G$11-$E$11)*($G$11-$F$11))))</f>
        <v>0.0940782275895561</v>
      </c>
      <c r="H82" s="53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-2064162665.62748</v>
      </c>
      <c r="I82" s="53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3982682.43893075</v>
      </c>
      <c r="J82" s="53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319524779.963626</v>
      </c>
      <c r="K82" s="53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686670944.129009</v>
      </c>
      <c r="L82" s="53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828589791.740193</v>
      </c>
      <c r="M82" s="53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1030649608.13976</v>
      </c>
      <c r="N82" s="53" t="n">
        <f aca="false">IF(COUNT('Business Case'!B11:G11)=0,"",H82+NPV(G82,I82:M82))</f>
        <v>-33507189.6215189</v>
      </c>
      <c r="P82" s="54" t="n">
        <f aca="true">RAND()</f>
        <v>0.145795861731351</v>
      </c>
      <c r="Q82" s="54" t="n">
        <f aca="true">RAND()</f>
        <v>0.969996365470027</v>
      </c>
      <c r="R82" s="54" t="n">
        <f aca="true">RAND()</f>
        <v>0.109746893096356</v>
      </c>
      <c r="S82" s="54" t="n">
        <f aca="true">RAND()</f>
        <v>0.966745198574215</v>
      </c>
      <c r="T82" s="54" t="n">
        <f aca="true">RAND()</f>
        <v>0.436066424207797</v>
      </c>
      <c r="U82" s="54" t="n">
        <f aca="true">RAND()</f>
        <v>0.0554398009073882</v>
      </c>
    </row>
    <row r="83" customFormat="false" ht="15" hidden="false" customHeight="false" outlineLevel="0" collapsed="false">
      <c r="A83" s="50" t="n">
        <v>3</v>
      </c>
      <c r="B83" s="51" t="n">
        <f aca="false">1+IF($G$6=$E$6,$F$6,IF(P83&lt;($F$6-$E$6)/($G$6-$E$6),$E$6+SQRT(P83*($G$6-$E$6)*($F$6-$E$6)),$G$6-SQRT((1-P83)*($G$6-$E$6)*($G$6-$F$6))))</f>
        <v>0.998967848584822</v>
      </c>
      <c r="C83" s="51" t="n">
        <f aca="false">1+IF($G$7=$E$7,$F$7,IF(Q83&lt;($F$7-$E$7)/($G$7-$E$7),$E$7+SQRT(Q83*($G$7-$E$7)*($F$7-$E$7)),$G$7-SQRT((1-Q83)*($G$7-$E$7)*($G$7-$F$7))))</f>
        <v>1.07992373440245</v>
      </c>
      <c r="D83" s="51" t="n">
        <f aca="false">1+IF($G$8=$E$8,$F$8,IF(R83&lt;($F$8-$E$8)/($G$8-$E$8),$E$8+SQRT(R83*($G$8-$E$8)*($F$8-$E$8)),$G$8-SQRT((1-R83)*($G$8-$E$8)*($G$8-$F$8))))</f>
        <v>0.989699299536923</v>
      </c>
      <c r="E83" s="51" t="n">
        <f aca="false">1+IF($G$9=$E$9,$F$9,IF(S83&lt;($F$9-$E$9)/($G$9-$E$9),$E$9+SQRT(S83*($G$9-$E$9)*($F$9-$E$9)),$G$9-SQRT((1-S83)*($G$9-$E$9)*($G$9-$F$9))))</f>
        <v>1.03422796276337</v>
      </c>
      <c r="F83" s="51" t="n">
        <f aca="false">1+IF($G$10=$E$10,$F$10,IF(T83&lt;($F$10-$E$10)/($G$10-$E$10),$E$10+SQRT(T83*($G$10-$E$10)*($F$10-$E$10)),$G$10-SQRT((1-T83)*($G$10-$E$10)*($G$10-$F$10))))</f>
        <v>0.977783610254334</v>
      </c>
      <c r="G83" s="52" t="n">
        <f aca="false">IF($G$11=$E$11,$F$11,IF(U83&lt;($F$11-$E$11)/($G$11-$E$11),$E$11+SQRT(U83*($G$11-$E$11)*($F$11-$E$11)),$G$11-SQRT((1-U83)*($G$11-$E$11)*($G$11-$F$11))))</f>
        <v>0.0918789954179568</v>
      </c>
      <c r="H83" s="53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-1955567220.50867</v>
      </c>
      <c r="I83" s="53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35711303.1687186</v>
      </c>
      <c r="J83" s="53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372193646.872255</v>
      </c>
      <c r="K83" s="53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757565171.088508</v>
      </c>
      <c r="L83" s="53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907009594.45931</v>
      </c>
      <c r="M83" s="53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1112069626.2089</v>
      </c>
      <c r="N83" s="53" t="n">
        <f aca="false">IF(COUNT('Business Case'!B11:G11)=0,"",H83+NPV(G83,I83:M83))</f>
        <v>326002389.196103</v>
      </c>
      <c r="P83" s="54" t="n">
        <f aca="true">RAND()</f>
        <v>0.649575115637009</v>
      </c>
      <c r="Q83" s="54" t="n">
        <f aca="true">RAND()</f>
        <v>0.906463180950517</v>
      </c>
      <c r="R83" s="54" t="n">
        <f aca="true">RAND()</f>
        <v>0.242466828264971</v>
      </c>
      <c r="S83" s="54" t="n">
        <f aca="true">RAND()</f>
        <v>0.711602607849514</v>
      </c>
      <c r="T83" s="54" t="n">
        <f aca="true">RAND()</f>
        <v>0.0617543199011793</v>
      </c>
      <c r="U83" s="54" t="n">
        <f aca="true">RAND()</f>
        <v>0.0117687459356755</v>
      </c>
    </row>
    <row r="84" customFormat="false" ht="15" hidden="false" customHeight="false" outlineLevel="0" collapsed="false">
      <c r="A84" s="50" t="n">
        <v>4</v>
      </c>
      <c r="B84" s="51" t="n">
        <f aca="false">1+IF($G$6=$E$6,$F$6,IF(P84&lt;($F$6-$E$6)/($G$6-$E$6),$E$6+SQRT(P84*($G$6-$E$6)*($F$6-$E$6)),$G$6-SQRT((1-P84)*($G$6-$E$6)*($G$6-$F$6))))</f>
        <v>0.988904121410396</v>
      </c>
      <c r="C84" s="51" t="n">
        <f aca="false">1+IF($G$7=$E$7,$F$7,IF(Q84&lt;($F$7-$E$7)/($G$7-$E$7),$E$7+SQRT(Q84*($G$7-$E$7)*($F$7-$E$7)),$G$7-SQRT((1-Q84)*($G$7-$E$7)*($G$7-$F$7))))</f>
        <v>0.966931185829593</v>
      </c>
      <c r="D84" s="51" t="n">
        <f aca="false">1+IF($G$8=$E$8,$F$8,IF(R84&lt;($F$8-$E$8)/($G$8-$E$8),$E$8+SQRT(R84*($G$8-$E$8)*($F$8-$E$8)),$G$8-SQRT((1-R84)*($G$8-$E$8)*($G$8-$F$8))))</f>
        <v>0.989709541841571</v>
      </c>
      <c r="E84" s="51" t="n">
        <f aca="false">1+IF($G$9=$E$9,$F$9,IF(S84&lt;($F$9-$E$9)/($G$9-$E$9),$E$9+SQRT(S84*($G$9-$E$9)*($F$9-$E$9)),$G$9-SQRT((1-S84)*($G$9-$E$9)*($G$9-$F$9))))</f>
        <v>0.97234711017543</v>
      </c>
      <c r="F84" s="51" t="n">
        <f aca="false">1+IF($G$10=$E$10,$F$10,IF(T84&lt;($F$10-$E$10)/($G$10-$E$10),$E$10+SQRT(T84*($G$10-$E$10)*($F$10-$E$10)),$G$10-SQRT((1-T84)*($G$10-$E$10)*($G$10-$F$10))))</f>
        <v>1.12210346032092</v>
      </c>
      <c r="G84" s="52" t="n">
        <f aca="false">IF($G$11=$E$11,$F$11,IF(U84&lt;($F$11-$E$11)/($G$11-$E$11),$E$11+SQRT(U84*($G$11-$E$11)*($F$11-$E$11)),$G$11-SQRT((1-U84)*($G$11-$E$11)*($G$11-$F$11))))</f>
        <v>0.096941999250229</v>
      </c>
      <c r="H84" s="53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-2244206920.64183</v>
      </c>
      <c r="I84" s="53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-6746876.32807119</v>
      </c>
      <c r="J84" s="53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286553876.29426</v>
      </c>
      <c r="K84" s="53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635959801.932637</v>
      </c>
      <c r="L84" s="53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766773068.707657</v>
      </c>
      <c r="M84" s="53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948527989.495994</v>
      </c>
      <c r="N84" s="53" t="n">
        <f aca="false">IF(COUNT('Business Case'!B11:G11)=0,"",H84+NPV(G84,I84:M84))</f>
        <v>-403603455.217829</v>
      </c>
      <c r="P84" s="54" t="n">
        <f aca="true">RAND()</f>
        <v>0.494560202847775</v>
      </c>
      <c r="Q84" s="54" t="n">
        <f aca="true">RAND()</f>
        <v>0.398086011463916</v>
      </c>
      <c r="R84" s="54" t="n">
        <f aca="true">RAND()</f>
        <v>0.242591955887304</v>
      </c>
      <c r="S84" s="54" t="n">
        <f aca="true">RAND()</f>
        <v>0.0665857777590383</v>
      </c>
      <c r="T84" s="54" t="n">
        <f aca="true">RAND()</f>
        <v>0.878642582120499</v>
      </c>
      <c r="U84" s="54" t="n">
        <f aca="true">RAND()</f>
        <v>0.160637845300601</v>
      </c>
    </row>
    <row r="85" customFormat="false" ht="15" hidden="false" customHeight="false" outlineLevel="0" collapsed="false">
      <c r="A85" s="50" t="n">
        <v>5</v>
      </c>
      <c r="B85" s="51" t="n">
        <f aca="false">1+IF($G$6=$E$6,$F$6,IF(P85&lt;($F$6-$E$6)/($G$6-$E$6),$E$6+SQRT(P85*($G$6-$E$6)*($F$6-$E$6)),$G$6-SQRT((1-P85)*($G$6-$E$6)*($G$6-$F$6))))</f>
        <v>0.989497137450554</v>
      </c>
      <c r="C85" s="51" t="n">
        <f aca="false">1+IF($G$7=$E$7,$F$7,IF(Q85&lt;($F$7-$E$7)/($G$7-$E$7),$E$7+SQRT(Q85*($G$7-$E$7)*($F$7-$E$7)),$G$7-SQRT((1-Q85)*($G$7-$E$7)*($G$7-$F$7))))</f>
        <v>0.877536747917173</v>
      </c>
      <c r="D85" s="51" t="n">
        <f aca="false">1+IF($G$8=$E$8,$F$8,IF(R85&lt;($F$8-$E$8)/($G$8-$E$8),$E$8+SQRT(R85*($G$8-$E$8)*($F$8-$E$8)),$G$8-SQRT((1-R85)*($G$8-$E$8)*($G$8-$F$8))))</f>
        <v>1.0009782986144</v>
      </c>
      <c r="E85" s="51" t="n">
        <f aca="false">1+IF($G$9=$E$9,$F$9,IF(S85&lt;($F$9-$E$9)/($G$9-$E$9),$E$9+SQRT(S85*($G$9-$E$9)*($F$9-$E$9)),$G$9-SQRT((1-S85)*($G$9-$E$9)*($G$9-$F$9))))</f>
        <v>0.994520351784747</v>
      </c>
      <c r="F85" s="51" t="n">
        <f aca="false">1+IF($G$10=$E$10,$F$10,IF(T85&lt;($F$10-$E$10)/($G$10-$E$10),$E$10+SQRT(T85*($G$10-$E$10)*($F$10-$E$10)),$G$10-SQRT((1-T85)*($G$10-$E$10)*($G$10-$F$10))))</f>
        <v>0.964690855277446</v>
      </c>
      <c r="G85" s="52" t="n">
        <f aca="false">IF($G$11=$E$11,$F$11,IF(U85&lt;($F$11-$E$11)/($G$11-$E$11),$E$11+SQRT(U85*($G$11-$E$11)*($F$11-$E$11)),$G$11-SQRT((1-U85)*($G$11-$E$11)*($G$11-$F$11))))</f>
        <v>0.107142219063308</v>
      </c>
      <c r="H85" s="53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-1929381710.55489</v>
      </c>
      <c r="I85" s="53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-21355004.2557399</v>
      </c>
      <c r="J85" s="53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240193585.027773</v>
      </c>
      <c r="K85" s="53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549976717.075159</v>
      </c>
      <c r="L85" s="53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667168722.828142</v>
      </c>
      <c r="M85" s="53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832219007.449773</v>
      </c>
      <c r="N85" s="53" t="n">
        <f aca="false">IF(COUNT('Business Case'!B11:G11)=0,"",H85+NPV(G85,I85:M85))</f>
        <v>-403127114.123851</v>
      </c>
      <c r="P85" s="54" t="n">
        <f aca="true">RAND()</f>
        <v>0.503109595189708</v>
      </c>
      <c r="Q85" s="54" t="n">
        <f aca="true">RAND()</f>
        <v>0.0858849611081596</v>
      </c>
      <c r="R85" s="54" t="n">
        <f aca="true">RAND()</f>
        <v>0.399574106742848</v>
      </c>
      <c r="S85" s="54" t="n">
        <f aca="true">RAND()</f>
        <v>0.264274896405022</v>
      </c>
      <c r="T85" s="54" t="n">
        <f aca="true">RAND()</f>
        <v>0.0172656983026297</v>
      </c>
      <c r="U85" s="54" t="n">
        <f aca="true">RAND()</f>
        <v>0.724462448973382</v>
      </c>
    </row>
    <row r="86" customFormat="false" ht="15" hidden="false" customHeight="false" outlineLevel="0" collapsed="false">
      <c r="A86" s="50" t="n">
        <v>6</v>
      </c>
      <c r="B86" s="51" t="n">
        <f aca="false">1+IF($G$6=$E$6,$F$6,IF(P86&lt;($F$6-$E$6)/($G$6-$E$6),$E$6+SQRT(P86*($G$6-$E$6)*($F$6-$E$6)),$G$6-SQRT((1-P86)*($G$6-$E$6)*($G$6-$F$6))))</f>
        <v>0.992127300899368</v>
      </c>
      <c r="C86" s="51" t="n">
        <f aca="false">1+IF($G$7=$E$7,$F$7,IF(Q86&lt;($F$7-$E$7)/($G$7-$E$7),$E$7+SQRT(Q86*($G$7-$E$7)*($F$7-$E$7)),$G$7-SQRT((1-Q86)*($G$7-$E$7)*($G$7-$F$7))))</f>
        <v>0.917839340330638</v>
      </c>
      <c r="D86" s="51" t="n">
        <f aca="false">1+IF($G$8=$E$8,$F$8,IF(R86&lt;($F$8-$E$8)/($G$8-$E$8),$E$8+SQRT(R86*($G$8-$E$8)*($F$8-$E$8)),$G$8-SQRT((1-R86)*($G$8-$E$8)*($G$8-$F$8))))</f>
        <v>1.01946722926559</v>
      </c>
      <c r="E86" s="51" t="n">
        <f aca="false">1+IF($G$9=$E$9,$F$9,IF(S86&lt;($F$9-$E$9)/($G$9-$E$9),$E$9+SQRT(S86*($G$9-$E$9)*($F$9-$E$9)),$G$9-SQRT((1-S86)*($G$9-$E$9)*($G$9-$F$9))))</f>
        <v>0.982372746497776</v>
      </c>
      <c r="F86" s="51" t="n">
        <f aca="false">1+IF($G$10=$E$10,$F$10,IF(T86&lt;($F$10-$E$10)/($G$10-$E$10),$E$10+SQRT(T86*($G$10-$E$10)*($F$10-$E$10)),$G$10-SQRT((1-T86)*($G$10-$E$10)*($G$10-$F$10))))</f>
        <v>1.08845531283442</v>
      </c>
      <c r="G86" s="52" t="n">
        <f aca="false">IF($G$11=$E$11,$F$11,IF(U86&lt;($F$11-$E$11)/($G$11-$E$11),$E$11+SQRT(U86*($G$11-$E$11)*($F$11-$E$11)),$G$11-SQRT((1-U86)*($G$11-$E$11)*($G$11-$F$11))))</f>
        <v>0.0991206984612513</v>
      </c>
      <c r="H86" s="53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-2176910625.66885</v>
      </c>
      <c r="I86" s="53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-28894337.6083438</v>
      </c>
      <c r="J86" s="53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237956462.767795</v>
      </c>
      <c r="K86" s="53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559230028.785655</v>
      </c>
      <c r="L86" s="53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679651097.010406</v>
      </c>
      <c r="M86" s="53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852740504.89028</v>
      </c>
      <c r="N86" s="53" t="n">
        <f aca="false">IF(COUNT('Business Case'!B11:G11)=0,"",H86+NPV(G86,I86:M86))</f>
        <v>-587755000.008449</v>
      </c>
      <c r="P86" s="54" t="n">
        <f aca="true">RAND()</f>
        <v>0.541911201565419</v>
      </c>
      <c r="Q86" s="54" t="n">
        <f aca="true">RAND()</f>
        <v>0.198373001850856</v>
      </c>
      <c r="R86" s="54" t="n">
        <f aca="true">RAND()</f>
        <v>0.647671506463026</v>
      </c>
      <c r="S86" s="54" t="n">
        <f aca="true">RAND()</f>
        <v>0.139732628774572</v>
      </c>
      <c r="T86" s="54" t="n">
        <f aca="true">RAND()</f>
        <v>0.751155655302674</v>
      </c>
      <c r="U86" s="54" t="n">
        <f aca="true">RAND()</f>
        <v>0.277290468070239</v>
      </c>
    </row>
    <row r="87" customFormat="false" ht="15" hidden="false" customHeight="false" outlineLevel="0" collapsed="false">
      <c r="A87" s="50" t="n">
        <v>7</v>
      </c>
      <c r="B87" s="51" t="n">
        <f aca="false">1+IF($G$6=$E$6,$F$6,IF(P87&lt;($F$6-$E$6)/($G$6-$E$6),$E$6+SQRT(P87*($G$6-$E$6)*($F$6-$E$6)),$G$6-SQRT((1-P87)*($G$6-$E$6)*($G$6-$F$6))))</f>
        <v>0.994672584646794</v>
      </c>
      <c r="C87" s="51" t="n">
        <f aca="false">1+IF($G$7=$E$7,$F$7,IF(Q87&lt;($F$7-$E$7)/($G$7-$E$7),$E$7+SQRT(Q87*($G$7-$E$7)*($F$7-$E$7)),$G$7-SQRT((1-Q87)*($G$7-$E$7)*($G$7-$F$7))))</f>
        <v>1.00652593290732</v>
      </c>
      <c r="D87" s="51" t="n">
        <f aca="false">1+IF($G$8=$E$8,$F$8,IF(R87&lt;($F$8-$E$8)/($G$8-$E$8),$E$8+SQRT(R87*($G$8-$E$8)*($F$8-$E$8)),$G$8-SQRT((1-R87)*($G$8-$E$8)*($G$8-$F$8))))</f>
        <v>1.03036869526934</v>
      </c>
      <c r="E87" s="51" t="n">
        <f aca="false">1+IF($G$9=$E$9,$F$9,IF(S87&lt;($F$9-$E$9)/($G$9-$E$9),$E$9+SQRT(S87*($G$9-$E$9)*($F$9-$E$9)),$G$9-SQRT((1-S87)*($G$9-$E$9)*($G$9-$F$9))))</f>
        <v>1.04183570341747</v>
      </c>
      <c r="F87" s="51" t="n">
        <f aca="false">1+IF($G$10=$E$10,$F$10,IF(T87&lt;($F$10-$E$10)/($G$10-$E$10),$E$10+SQRT(T87*($G$10-$E$10)*($F$10-$E$10)),$G$10-SQRT((1-T87)*($G$10-$E$10)*($G$10-$F$10))))</f>
        <v>1.03352471665345</v>
      </c>
      <c r="G87" s="52" t="n">
        <f aca="false">IF($G$11=$E$11,$F$11,IF(U87&lt;($F$11-$E$11)/($G$11-$E$11),$E$11+SQRT(U87*($G$11-$E$11)*($F$11-$E$11)),$G$11-SQRT((1-U87)*($G$11-$E$11)*($G$11-$F$11))))</f>
        <v>0.0958143540855131</v>
      </c>
      <c r="H87" s="53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-2067049433.30689</v>
      </c>
      <c r="I87" s="53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-14285193.9756264</v>
      </c>
      <c r="J87" s="53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274831449.602209</v>
      </c>
      <c r="K87" s="53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615624329.012716</v>
      </c>
      <c r="L87" s="53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746596762.780096</v>
      </c>
      <c r="M87" s="53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936897968.607992</v>
      </c>
      <c r="N87" s="53" t="n">
        <f aca="false">IF(COUNT('Business Case'!B11:G11)=0,"",H87+NPV(G87,I87:M87))</f>
        <v>-272658725.445646</v>
      </c>
      <c r="P87" s="54" t="n">
        <f aca="true">RAND()</f>
        <v>0.580832801857558</v>
      </c>
      <c r="Q87" s="54" t="n">
        <f aca="true">RAND()</f>
        <v>0.607908420416833</v>
      </c>
      <c r="R87" s="54" t="n">
        <f aca="true">RAND()</f>
        <v>0.763147460647339</v>
      </c>
      <c r="S87" s="54" t="n">
        <f aca="true">RAND()</f>
        <v>0.77446097353727</v>
      </c>
      <c r="T87" s="54" t="n">
        <f aca="true">RAND()</f>
        <v>0.445719600693694</v>
      </c>
      <c r="U87" s="54" t="n">
        <f aca="true">RAND()</f>
        <v>0.112689044772407</v>
      </c>
    </row>
    <row r="88" customFormat="false" ht="15" hidden="false" customHeight="false" outlineLevel="0" collapsed="false">
      <c r="A88" s="50" t="n">
        <v>8</v>
      </c>
      <c r="B88" s="51" t="n">
        <f aca="false">1+IF($G$6=$E$6,$F$6,IF(P88&lt;($F$6-$E$6)/($G$6-$E$6),$E$6+SQRT(P88*($G$6-$E$6)*($F$6-$E$6)),$G$6-SQRT((1-P88)*($G$6-$E$6)*($G$6-$F$6))))</f>
        <v>1.01725169323593</v>
      </c>
      <c r="C88" s="51" t="n">
        <f aca="false">1+IF($G$7=$E$7,$F$7,IF(Q88&lt;($F$7-$E$7)/($G$7-$E$7),$E$7+SQRT(Q88*($G$7-$E$7)*($F$7-$E$7)),$G$7-SQRT((1-Q88)*($G$7-$E$7)*($G$7-$F$7))))</f>
        <v>1.06629348879355</v>
      </c>
      <c r="D88" s="51" t="n">
        <f aca="false">1+IF($G$8=$E$8,$F$8,IF(R88&lt;($F$8-$E$8)/($G$8-$E$8),$E$8+SQRT(R88*($G$8-$E$8)*($F$8-$E$8)),$G$8-SQRT((1-R88)*($G$8-$E$8)*($G$8-$F$8))))</f>
        <v>1.04168254864489</v>
      </c>
      <c r="E88" s="51" t="n">
        <f aca="false">1+IF($G$9=$E$9,$F$9,IF(S88&lt;($F$9-$E$9)/($G$9-$E$9),$E$9+SQRT(S88*($G$9-$E$9)*($F$9-$E$9)),$G$9-SQRT((1-S88)*($G$9-$E$9)*($G$9-$F$9))))</f>
        <v>1.00105578394599</v>
      </c>
      <c r="F88" s="51" t="n">
        <f aca="false">1+IF($G$10=$E$10,$F$10,IF(T88&lt;($F$10-$E$10)/($G$10-$E$10),$E$10+SQRT(T88*($G$10-$E$10)*($F$10-$E$10)),$G$10-SQRT((1-T88)*($G$10-$E$10)*($G$10-$F$10))))</f>
        <v>1.13749548071582</v>
      </c>
      <c r="G88" s="52" t="n">
        <f aca="false">IF($G$11=$E$11,$F$11,IF(U88&lt;($F$11-$E$11)/($G$11-$E$11),$E$11+SQRT(U88*($G$11-$E$11)*($F$11-$E$11)),$G$11-SQRT((1-U88)*($G$11-$E$11)*($G$11-$F$11))))</f>
        <v>0.115241963528286</v>
      </c>
      <c r="H88" s="53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-2274990961.43165</v>
      </c>
      <c r="I88" s="53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7498648.36817253</v>
      </c>
      <c r="J88" s="53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327327247.629941</v>
      </c>
      <c r="K88" s="53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704030620.927501</v>
      </c>
      <c r="L88" s="53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848127000.911354</v>
      </c>
      <c r="M88" s="53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1054304658.84263</v>
      </c>
      <c r="N88" s="53" t="n">
        <f aca="false">IF(COUNT('Business Case'!B11:G11)=0,"",H88+NPV(G88,I88:M88))</f>
        <v>-338167170.814693</v>
      </c>
      <c r="P88" s="54" t="n">
        <f aca="true">RAND()</f>
        <v>0.892190529034976</v>
      </c>
      <c r="Q88" s="54" t="n">
        <f aca="true">RAND()</f>
        <v>0.86653752345989</v>
      </c>
      <c r="R88" s="54" t="n">
        <f aca="true">RAND()</f>
        <v>0.858824319389287</v>
      </c>
      <c r="S88" s="54" t="n">
        <f aca="true">RAND()</f>
        <v>0.347336140630476</v>
      </c>
      <c r="T88" s="54" t="n">
        <f aca="true">RAND()</f>
        <v>0.921863701381083</v>
      </c>
      <c r="U88" s="54" t="n">
        <f aca="true">RAND()</f>
        <v>0.962268481556404</v>
      </c>
    </row>
    <row r="89" customFormat="false" ht="15" hidden="false" customHeight="false" outlineLevel="0" collapsed="false">
      <c r="A89" s="50" t="n">
        <v>9</v>
      </c>
      <c r="B89" s="51" t="n">
        <f aca="false">1+IF($G$6=$E$6,$F$6,IF(P89&lt;($F$6-$E$6)/($G$6-$E$6),$E$6+SQRT(P89*($G$6-$E$6)*($F$6-$E$6)),$G$6-SQRT((1-P89)*($G$6-$E$6)*($G$6-$F$6))))</f>
        <v>1.00761433796845</v>
      </c>
      <c r="C89" s="51" t="n">
        <f aca="false">1+IF($G$7=$E$7,$F$7,IF(Q89&lt;($F$7-$E$7)/($G$7-$E$7),$E$7+SQRT(Q89*($G$7-$E$7)*($F$7-$E$7)),$G$7-SQRT((1-Q89)*($G$7-$E$7)*($G$7-$F$7))))</f>
        <v>0.938198068049396</v>
      </c>
      <c r="D89" s="51" t="n">
        <f aca="false">1+IF($G$8=$E$8,$F$8,IF(R89&lt;($F$8-$E$8)/($G$8-$E$8),$E$8+SQRT(R89*($G$8-$E$8)*($F$8-$E$8)),$G$8-SQRT((1-R89)*($G$8-$E$8)*($G$8-$F$8))))</f>
        <v>1.00866137974987</v>
      </c>
      <c r="E89" s="51" t="n">
        <f aca="false">1+IF($G$9=$E$9,$F$9,IF(S89&lt;($F$9-$E$9)/($G$9-$E$9),$E$9+SQRT(S89*($G$9-$E$9)*($F$9-$E$9)),$G$9-SQRT((1-S89)*($G$9-$E$9)*($G$9-$F$9))))</f>
        <v>0.994033499367669</v>
      </c>
      <c r="F89" s="51" t="n">
        <f aca="false">1+IF($G$10=$E$10,$F$10,IF(T89&lt;($F$10-$E$10)/($G$10-$E$10),$E$10+SQRT(T89*($G$10-$E$10)*($F$10-$E$10)),$G$10-SQRT((1-T89)*($G$10-$E$10)*($G$10-$F$10))))</f>
        <v>1.0738396635811</v>
      </c>
      <c r="G89" s="52" t="n">
        <f aca="false">IF($G$11=$E$11,$F$11,IF(U89&lt;($F$11-$E$11)/($G$11-$E$11),$E$11+SQRT(U89*($G$11-$E$11)*($F$11-$E$11)),$G$11-SQRT((1-U89)*($G$11-$E$11)*($G$11-$F$11))))</f>
        <v>0.119513050938496</v>
      </c>
      <c r="H89" s="53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-2147679327.16221</v>
      </c>
      <c r="I89" s="53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-7881293.5799661</v>
      </c>
      <c r="J89" s="53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281979463.027711</v>
      </c>
      <c r="K89" s="53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625532202.814442</v>
      </c>
      <c r="L89" s="53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754823468.496634</v>
      </c>
      <c r="M89" s="53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934514042.634617</v>
      </c>
      <c r="N89" s="53" t="n">
        <f aca="false">IF(COUNT('Business Case'!B11:G11)=0,"",H89+NPV(G89,I89:M89))</f>
        <v>-471946914.699199</v>
      </c>
      <c r="P89" s="54" t="n">
        <f aca="true">RAND()</f>
        <v>0.781493519745412</v>
      </c>
      <c r="Q89" s="54" t="n">
        <f aca="true">RAND()</f>
        <v>0.27283865732265</v>
      </c>
      <c r="R89" s="54" t="n">
        <f aca="true">RAND()</f>
        <v>0.510653967385416</v>
      </c>
      <c r="S89" s="54" t="n">
        <f aca="true">RAND()</f>
        <v>0.258526542208339</v>
      </c>
      <c r="T89" s="54" t="n">
        <f aca="true">RAND()</f>
        <v>0.681671390293417</v>
      </c>
      <c r="U89" s="54" t="n">
        <f aca="true">RAND()</f>
        <v>0.999604801019168</v>
      </c>
    </row>
    <row r="90" customFormat="false" ht="15" hidden="false" customHeight="false" outlineLevel="0" collapsed="false">
      <c r="A90" s="50" t="n">
        <v>10</v>
      </c>
      <c r="B90" s="51" t="n">
        <f aca="false">1+IF($G$6=$E$6,$F$6,IF(P90&lt;($F$6-$E$6)/($G$6-$E$6),$E$6+SQRT(P90*($G$6-$E$6)*($F$6-$E$6)),$G$6-SQRT((1-P90)*($G$6-$E$6)*($G$6-$F$6))))</f>
        <v>1.01427427373321</v>
      </c>
      <c r="C90" s="51" t="n">
        <f aca="false">1+IF($G$7=$E$7,$F$7,IF(Q90&lt;($F$7-$E$7)/($G$7-$E$7),$E$7+SQRT(Q90*($G$7-$E$7)*($F$7-$E$7)),$G$7-SQRT((1-Q90)*($G$7-$E$7)*($G$7-$F$7))))</f>
        <v>0.908527257351798</v>
      </c>
      <c r="D90" s="51" t="n">
        <f aca="false">1+IF($G$8=$E$8,$F$8,IF(R90&lt;($F$8-$E$8)/($G$8-$E$8),$E$8+SQRT(R90*($G$8-$E$8)*($F$8-$E$8)),$G$8-SQRT((1-R90)*($G$8-$E$8)*($G$8-$F$8))))</f>
        <v>1.0371196642464</v>
      </c>
      <c r="E90" s="51" t="n">
        <f aca="false">1+IF($G$9=$E$9,$F$9,IF(S90&lt;($F$9-$E$9)/($G$9-$E$9),$E$9+SQRT(S90*($G$9-$E$9)*($F$9-$E$9)),$G$9-SQRT((1-S90)*($G$9-$E$9)*($G$9-$F$9))))</f>
        <v>0.960181286027582</v>
      </c>
      <c r="F90" s="51" t="n">
        <f aca="false">1+IF($G$10=$E$10,$F$10,IF(T90&lt;($F$10-$E$10)/($G$10-$E$10),$E$10+SQRT(T90*($G$10-$E$10)*($F$10-$E$10)),$G$10-SQRT((1-T90)*($G$10-$E$10)*($G$10-$F$10))))</f>
        <v>0.966722189265293</v>
      </c>
      <c r="G90" s="52" t="n">
        <f aca="false">IF($G$11=$E$11,$F$11,IF(U90&lt;($F$11-$E$11)/($G$11-$E$11),$E$11+SQRT(U90*($G$11-$E$11)*($F$11-$E$11)),$G$11-SQRT((1-U90)*($G$11-$E$11)*($G$11-$F$11))))</f>
        <v>0.0921124592339692</v>
      </c>
      <c r="H90" s="53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-1933444378.53059</v>
      </c>
      <c r="I90" s="53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-8566293.41268314</v>
      </c>
      <c r="J90" s="53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263847754.496527</v>
      </c>
      <c r="K90" s="53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584597911.869002</v>
      </c>
      <c r="L90" s="53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707249490.1869</v>
      </c>
      <c r="M90" s="53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882407416.43512</v>
      </c>
      <c r="N90" s="53" t="n">
        <f aca="false">IF(COUNT('Business Case'!B11:G11)=0,"",H90+NPV(G90,I90:M90))</f>
        <v>-206121551.860322</v>
      </c>
      <c r="P90" s="54" t="n">
        <f aca="true">RAND()</f>
        <v>0.862122293342943</v>
      </c>
      <c r="Q90" s="54" t="n">
        <f aca="true">RAND()</f>
        <v>0.168259508404333</v>
      </c>
      <c r="R90" s="54" t="n">
        <f aca="true">RAND()</f>
        <v>0.823199692851754</v>
      </c>
      <c r="S90" s="54" t="n">
        <f aca="true">RAND()</f>
        <v>0.0138211446900567</v>
      </c>
      <c r="T90" s="54" t="n">
        <f aca="true">RAND()</f>
        <v>0.0223705291059432</v>
      </c>
      <c r="U90" s="54" t="n">
        <f aca="true">RAND()</f>
        <v>0.0148749467172727</v>
      </c>
    </row>
    <row r="91" customFormat="false" ht="15" hidden="false" customHeight="false" outlineLevel="0" collapsed="false">
      <c r="A91" s="50" t="n">
        <v>11</v>
      </c>
      <c r="B91" s="51" t="n">
        <f aca="false">1+IF($G$6=$E$6,$F$6,IF(P91&lt;($F$6-$E$6)/($G$6-$E$6),$E$6+SQRT(P91*($G$6-$E$6)*($F$6-$E$6)),$G$6-SQRT((1-P91)*($G$6-$E$6)*($G$6-$F$6))))</f>
        <v>0.932435656932435</v>
      </c>
      <c r="C91" s="51" t="n">
        <f aca="false">1+IF($G$7=$E$7,$F$7,IF(Q91&lt;($F$7-$E$7)/($G$7-$E$7),$E$7+SQRT(Q91*($G$7-$E$7)*($F$7-$E$7)),$G$7-SQRT((1-Q91)*($G$7-$E$7)*($G$7-$F$7))))</f>
        <v>0.998189918132891</v>
      </c>
      <c r="D91" s="51" t="n">
        <f aca="false">1+IF($G$8=$E$8,$F$8,IF(R91&lt;($F$8-$E$8)/($G$8-$E$8),$E$8+SQRT(R91*($G$8-$E$8)*($F$8-$E$8)),$G$8-SQRT((1-R91)*($G$8-$E$8)*($G$8-$F$8))))</f>
        <v>1.00427063998446</v>
      </c>
      <c r="E91" s="51" t="n">
        <f aca="false">1+IF($G$9=$E$9,$F$9,IF(S91&lt;($F$9-$E$9)/($G$9-$E$9),$E$9+SQRT(S91*($G$9-$E$9)*($F$9-$E$9)),$G$9-SQRT((1-S91)*($G$9-$E$9)*($G$9-$F$9))))</f>
        <v>1.02818321492896</v>
      </c>
      <c r="F91" s="51" t="n">
        <f aca="false">1+IF($G$10=$E$10,$F$10,IF(T91&lt;($F$10-$E$10)/($G$10-$E$10),$E$10+SQRT(T91*($G$10-$E$10)*($F$10-$E$10)),$G$10-SQRT((1-T91)*($G$10-$E$10)*($G$10-$F$10))))</f>
        <v>1.04323041349937</v>
      </c>
      <c r="G91" s="52" t="n">
        <f aca="false">IF($G$11=$E$11,$F$11,IF(U91&lt;($F$11-$E$11)/($G$11-$E$11),$E$11+SQRT(U91*($G$11-$E$11)*($F$11-$E$11)),$G$11-SQRT((1-U91)*($G$11-$E$11)*($G$11-$F$11))))</f>
        <v>0.116275304521129</v>
      </c>
      <c r="H91" s="53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-2086460826.99874</v>
      </c>
      <c r="I91" s="53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-49606794.8017113</v>
      </c>
      <c r="J91" s="53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199567074.596878</v>
      </c>
      <c r="K91" s="53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500902464.670435</v>
      </c>
      <c r="L91" s="53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616127067.594941</v>
      </c>
      <c r="M91" s="53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793043623.115645</v>
      </c>
      <c r="N91" s="53" t="n">
        <f aca="false">IF(COUNT('Business Case'!B11:G11)=0,"",H91+NPV(G91,I91:M91))</f>
        <v>-756265686.805961</v>
      </c>
      <c r="P91" s="54" t="n">
        <f aca="true">RAND()</f>
        <v>0.0161089128480443</v>
      </c>
      <c r="Q91" s="54" t="n">
        <f aca="true">RAND()</f>
        <v>0.561132052136027</v>
      </c>
      <c r="R91" s="54" t="n">
        <f aca="true">RAND()</f>
        <v>0.448563849195768</v>
      </c>
      <c r="S91" s="54" t="n">
        <f aca="true">RAND()</f>
        <v>0.656156625470668</v>
      </c>
      <c r="T91" s="54" t="n">
        <f aca="true">RAND()</f>
        <v>0.508465934968443</v>
      </c>
      <c r="U91" s="54" t="n">
        <f aca="true">RAND()</f>
        <v>0.976877739316126</v>
      </c>
    </row>
    <row r="92" customFormat="false" ht="15" hidden="false" customHeight="false" outlineLevel="0" collapsed="false">
      <c r="A92" s="50" t="n">
        <v>12</v>
      </c>
      <c r="B92" s="51" t="n">
        <f aca="false">1+IF($G$6=$E$6,$F$6,IF(P92&lt;($F$6-$E$6)/($G$6-$E$6),$E$6+SQRT(P92*($G$6-$E$6)*($F$6-$E$6)),$G$6-SQRT((1-P92)*($G$6-$E$6)*($G$6-$F$6))))</f>
        <v>0.996909921725959</v>
      </c>
      <c r="C92" s="51" t="n">
        <f aca="false">1+IF($G$7=$E$7,$F$7,IF(Q92&lt;($F$7-$E$7)/($G$7-$E$7),$E$7+SQRT(Q92*($G$7-$E$7)*($F$7-$E$7)),$G$7-SQRT((1-Q92)*($G$7-$E$7)*($G$7-$F$7))))</f>
        <v>1.02715239531983</v>
      </c>
      <c r="D92" s="51" t="n">
        <f aca="false">1+IF($G$8=$E$8,$F$8,IF(R92&lt;($F$8-$E$8)/($G$8-$E$8),$E$8+SQRT(R92*($G$8-$E$8)*($F$8-$E$8)),$G$8-SQRT((1-R92)*($G$8-$E$8)*($G$8-$F$8))))</f>
        <v>1.05033766631778</v>
      </c>
      <c r="E92" s="51" t="n">
        <f aca="false">1+IF($G$9=$E$9,$F$9,IF(S92&lt;($F$9-$E$9)/($G$9-$E$9),$E$9+SQRT(S92*($G$9-$E$9)*($F$9-$E$9)),$G$9-SQRT((1-S92)*($G$9-$E$9)*($G$9-$F$9))))</f>
        <v>0.984228728304327</v>
      </c>
      <c r="F92" s="51" t="n">
        <f aca="false">1+IF($G$10=$E$10,$F$10,IF(T92&lt;($F$10-$E$10)/($G$10-$E$10),$E$10+SQRT(T92*($G$10-$E$10)*($F$10-$E$10)),$G$10-SQRT((1-T92)*($G$10-$E$10)*($G$10-$F$10))))</f>
        <v>0.995091180194059</v>
      </c>
      <c r="G92" s="52" t="n">
        <f aca="false">IF($G$11=$E$11,$F$11,IF(U92&lt;($F$11-$E$11)/($G$11-$E$11),$E$11+SQRT(U92*($G$11-$E$11)*($F$11-$E$11)),$G$11-SQRT((1-U92)*($G$11-$E$11)*($G$11-$F$11))))</f>
        <v>0.100998087238238</v>
      </c>
      <c r="H92" s="53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-1990182360.38812</v>
      </c>
      <c r="I92" s="53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-6125835.21643461</v>
      </c>
      <c r="J92" s="53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280297813.734153</v>
      </c>
      <c r="K92" s="53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616476021.694444</v>
      </c>
      <c r="L92" s="53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747339265.333134</v>
      </c>
      <c r="M92" s="53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941977082.269851</v>
      </c>
      <c r="N92" s="53" t="n">
        <f aca="false">IF(COUNT('Business Case'!B11:G11)=0,"",H92+NPV(G92,I92:M92))</f>
        <v>-211764192.857413</v>
      </c>
      <c r="P92" s="54" t="n">
        <f aca="true">RAND()</f>
        <v>0.616160006238865</v>
      </c>
      <c r="Q92" s="54" t="n">
        <f aca="true">RAND()</f>
        <v>0.712542209987531</v>
      </c>
      <c r="R92" s="54" t="n">
        <f aca="true">RAND()</f>
        <v>0.915398650050434</v>
      </c>
      <c r="S92" s="54" t="n">
        <f aca="true">RAND()</f>
        <v>0.156214112177525</v>
      </c>
      <c r="T92" s="54" t="n">
        <f aca="true">RAND()</f>
        <v>0.16265716250345</v>
      </c>
      <c r="U92" s="54" t="n">
        <f aca="true">RAND()</f>
        <v>0.398212185657314</v>
      </c>
    </row>
    <row r="93" customFormat="false" ht="15" hidden="false" customHeight="false" outlineLevel="0" collapsed="false">
      <c r="A93" s="50" t="n">
        <v>13</v>
      </c>
      <c r="B93" s="51" t="n">
        <f aca="false">1+IF($G$6=$E$6,$F$6,IF(P93&lt;($F$6-$E$6)/($G$6-$E$6),$E$6+SQRT(P93*($G$6-$E$6)*($F$6-$E$6)),$G$6-SQRT((1-P93)*($G$6-$E$6)*($G$6-$F$6))))</f>
        <v>1.00412839735934</v>
      </c>
      <c r="C93" s="51" t="n">
        <f aca="false">1+IF($G$7=$E$7,$F$7,IF(Q93&lt;($F$7-$E$7)/($G$7-$E$7),$E$7+SQRT(Q93*($G$7-$E$7)*($F$7-$E$7)),$G$7-SQRT((1-Q93)*($G$7-$E$7)*($G$7-$F$7))))</f>
        <v>1.03782817605335</v>
      </c>
      <c r="D93" s="51" t="n">
        <f aca="false">1+IF($G$8=$E$8,$F$8,IF(R93&lt;($F$8-$E$8)/($G$8-$E$8),$E$8+SQRT(R93*($G$8-$E$8)*($F$8-$E$8)),$G$8-SQRT((1-R93)*($G$8-$E$8)*($G$8-$F$8))))</f>
        <v>1.00755940988231</v>
      </c>
      <c r="E93" s="51" t="n">
        <f aca="false">1+IF($G$9=$E$9,$F$9,IF(S93&lt;($F$9-$E$9)/($G$9-$E$9),$E$9+SQRT(S93*($G$9-$E$9)*($F$9-$E$9)),$G$9-SQRT((1-S93)*($G$9-$E$9)*($G$9-$F$9))))</f>
        <v>1.00711520026855</v>
      </c>
      <c r="F93" s="51" t="n">
        <f aca="false">1+IF($G$10=$E$10,$F$10,IF(T93&lt;($F$10-$E$10)/($G$10-$E$10),$E$10+SQRT(T93*($G$10-$E$10)*($F$10-$E$10)),$G$10-SQRT((1-T93)*($G$10-$E$10)*($G$10-$F$10))))</f>
        <v>1.02101336700446</v>
      </c>
      <c r="G93" s="52" t="n">
        <f aca="false">IF($G$11=$E$11,$F$11,IF(U93&lt;($F$11-$E$11)/($G$11-$E$11),$E$11+SQRT(U93*($G$11-$E$11)*($F$11-$E$11)),$G$11-SQRT((1-U93)*($G$11-$E$11)*($G$11-$F$11))))</f>
        <v>0.111923448512299</v>
      </c>
      <c r="H93" s="53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-2042026734.00893</v>
      </c>
      <c r="I93" s="53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18927925.013837</v>
      </c>
      <c r="J93" s="53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337192092.811455</v>
      </c>
      <c r="K93" s="53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706506928.959295</v>
      </c>
      <c r="L93" s="53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848610401.295265</v>
      </c>
      <c r="M93" s="53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1046695191.51413</v>
      </c>
      <c r="N93" s="53" t="n">
        <f aca="false">IF(COUNT('Business Case'!B11:G11)=0,"",H93+NPV(G93,I93:M93))</f>
        <v>-67405160.1820657</v>
      </c>
      <c r="P93" s="54" t="n">
        <f aca="true">RAND()</f>
        <v>0.731922525831383</v>
      </c>
      <c r="Q93" s="54" t="n">
        <f aca="true">RAND()</f>
        <v>0.760332988809192</v>
      </c>
      <c r="R93" s="54" t="n">
        <f aca="true">RAND()</f>
        <v>0.4954193176347</v>
      </c>
      <c r="S93" s="54" t="n">
        <f aca="true">RAND()</f>
        <v>0.424827598589921</v>
      </c>
      <c r="T93" s="54" t="n">
        <f aca="true">RAND()</f>
        <v>0.359275704178432</v>
      </c>
      <c r="U93" s="54" t="n">
        <f aca="true">RAND()</f>
        <v>0.891282193444179</v>
      </c>
    </row>
    <row r="94" customFormat="false" ht="15" hidden="false" customHeight="false" outlineLevel="0" collapsed="false">
      <c r="A94" s="50" t="n">
        <v>14</v>
      </c>
      <c r="B94" s="51" t="n">
        <f aca="false">1+IF($G$6=$E$6,$F$6,IF(P94&lt;($F$6-$E$6)/($G$6-$E$6),$E$6+SQRT(P94*($G$6-$E$6)*($F$6-$E$6)),$G$6-SQRT((1-P94)*($G$6-$E$6)*($G$6-$F$6))))</f>
        <v>1.01041378993061</v>
      </c>
      <c r="C94" s="51" t="n">
        <f aca="false">1+IF($G$7=$E$7,$F$7,IF(Q94&lt;($F$7-$E$7)/($G$7-$E$7),$E$7+SQRT(Q94*($G$7-$E$7)*($F$7-$E$7)),$G$7-SQRT((1-Q94)*($G$7-$E$7)*($G$7-$F$7))))</f>
        <v>1.02830359062743</v>
      </c>
      <c r="D94" s="51" t="n">
        <f aca="false">1+IF($G$8=$E$8,$F$8,IF(R94&lt;($F$8-$E$8)/($G$8-$E$8),$E$8+SQRT(R94*($G$8-$E$8)*($F$8-$E$8)),$G$8-SQRT((1-R94)*($G$8-$E$8)*($G$8-$F$8))))</f>
        <v>0.999928994839635</v>
      </c>
      <c r="E94" s="51" t="n">
        <f aca="false">1+IF($G$9=$E$9,$F$9,IF(S94&lt;($F$9-$E$9)/($G$9-$E$9),$E$9+SQRT(S94*($G$9-$E$9)*($F$9-$E$9)),$G$9-SQRT((1-S94)*($G$9-$E$9)*($G$9-$F$9))))</f>
        <v>0.995369149344758</v>
      </c>
      <c r="F94" s="51" t="n">
        <f aca="false">1+IF($G$10=$E$10,$F$10,IF(T94&lt;($F$10-$E$10)/($G$10-$E$10),$E$10+SQRT(T94*($G$10-$E$10)*($F$10-$E$10)),$G$10-SQRT((1-T94)*($G$10-$E$10)*($G$10-$F$10))))</f>
        <v>1.01299546514386</v>
      </c>
      <c r="G94" s="52" t="n">
        <f aca="false">IF($G$11=$E$11,$F$11,IF(U94&lt;($F$11-$E$11)/($G$11-$E$11),$E$11+SQRT(U94*($G$11-$E$11)*($F$11-$E$11)),$G$11-SQRT((1-U94)*($G$11-$E$11)*($G$11-$F$11))))</f>
        <v>0.0939656191691755</v>
      </c>
      <c r="H94" s="53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-2025990930.28772</v>
      </c>
      <c r="I94" s="53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27950517.2496903</v>
      </c>
      <c r="J94" s="53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352604462.776744</v>
      </c>
      <c r="K94" s="53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727908181.560991</v>
      </c>
      <c r="L94" s="53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872034422.554112</v>
      </c>
      <c r="M94" s="53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1069529847.88334</v>
      </c>
      <c r="N94" s="53" t="n">
        <f aca="false">IF(COUNT('Business Case'!B11:G11)=0,"",H94+NPV(G94,I94:M94))</f>
        <v>141654440.849859</v>
      </c>
      <c r="P94" s="54" t="n">
        <f aca="true">RAND()</f>
        <v>0.817636702860425</v>
      </c>
      <c r="Q94" s="54" t="n">
        <f aca="true">RAND()</f>
        <v>0.717904456110936</v>
      </c>
      <c r="R94" s="54" t="n">
        <f aca="true">RAND()</f>
        <v>0.383523773184052</v>
      </c>
      <c r="S94" s="54" t="n">
        <f aca="true">RAND()</f>
        <v>0.274447961635588</v>
      </c>
      <c r="T94" s="54" t="n">
        <f aca="true">RAND()</f>
        <v>0.300586078864765</v>
      </c>
      <c r="U94" s="54" t="n">
        <f aca="true">RAND()</f>
        <v>0.0524204513164401</v>
      </c>
    </row>
    <row r="95" customFormat="false" ht="15" hidden="false" customHeight="false" outlineLevel="0" collapsed="false">
      <c r="A95" s="50" t="n">
        <v>15</v>
      </c>
      <c r="B95" s="51" t="n">
        <f aca="false">1+IF($G$6=$E$6,$F$6,IF(P95&lt;($F$6-$E$6)/($G$6-$E$6),$E$6+SQRT(P95*($G$6-$E$6)*($F$6-$E$6)),$G$6-SQRT((1-P95)*($G$6-$E$6)*($G$6-$F$6))))</f>
        <v>0.938419037823858</v>
      </c>
      <c r="C95" s="51" t="n">
        <f aca="false">1+IF($G$7=$E$7,$F$7,IF(Q95&lt;($F$7-$E$7)/($G$7-$E$7),$E$7+SQRT(Q95*($G$7-$E$7)*($F$7-$E$7)),$G$7-SQRT((1-Q95)*($G$7-$E$7)*($G$7-$F$7))))</f>
        <v>0.88909017326651</v>
      </c>
      <c r="D95" s="51" t="n">
        <f aca="false">1+IF($G$8=$E$8,$F$8,IF(R95&lt;($F$8-$E$8)/($G$8-$E$8),$E$8+SQRT(R95*($G$8-$E$8)*($F$8-$E$8)),$G$8-SQRT((1-R95)*($G$8-$E$8)*($G$8-$F$8))))</f>
        <v>0.96749027920931</v>
      </c>
      <c r="E95" s="51" t="n">
        <f aca="false">1+IF($G$9=$E$9,$F$9,IF(S95&lt;($F$9-$E$9)/($G$9-$E$9),$E$9+SQRT(S95*($G$9-$E$9)*($F$9-$E$9)),$G$9-SQRT((1-S95)*($G$9-$E$9)*($G$9-$F$9))))</f>
        <v>0.982735069282304</v>
      </c>
      <c r="F95" s="51" t="n">
        <f aca="false">1+IF($G$10=$E$10,$F$10,IF(T95&lt;($F$10-$E$10)/($G$10-$E$10),$E$10+SQRT(T95*($G$10-$E$10)*($F$10-$E$10)),$G$10-SQRT((1-T95)*($G$10-$E$10)*($G$10-$F$10))))</f>
        <v>0.977967237245323</v>
      </c>
      <c r="G95" s="52" t="n">
        <f aca="false">IF($G$11=$E$11,$F$11,IF(U95&lt;($F$11-$E$11)/($G$11-$E$11),$E$11+SQRT(U95*($G$11-$E$11)*($F$11-$E$11)),$G$11-SQRT((1-U95)*($G$11-$E$11)*($G$11-$F$11))))</f>
        <v>0.103670754776461</v>
      </c>
      <c r="H95" s="53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-1955934474.49065</v>
      </c>
      <c r="I95" s="53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-37756428.0290423</v>
      </c>
      <c r="J95" s="53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205280935.791843</v>
      </c>
      <c r="K95" s="53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497216661.474994</v>
      </c>
      <c r="L95" s="53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607063876.930923</v>
      </c>
      <c r="M95" s="53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765655061.600245</v>
      </c>
      <c r="N95" s="53" t="n">
        <f aca="false">IF(COUNT('Business Case'!B11:G11)=0,"",H95+NPV(G95,I95:M95))</f>
        <v>-575064032.075454</v>
      </c>
      <c r="P95" s="54" t="n">
        <f aca="true">RAND()</f>
        <v>0.0353396827454893</v>
      </c>
      <c r="Q95" s="54" t="n">
        <f aca="true">RAND()</f>
        <v>0.11338655675224</v>
      </c>
      <c r="R95" s="54" t="n">
        <f aca="true">RAND()</f>
        <v>0.0470630564337886</v>
      </c>
      <c r="S95" s="54" t="n">
        <f aca="true">RAND()</f>
        <v>0.142877968122303</v>
      </c>
      <c r="T95" s="54" t="n">
        <f aca="true">RAND()</f>
        <v>0.0625733087308947</v>
      </c>
      <c r="U95" s="54" t="n">
        <f aca="true">RAND()</f>
        <v>0.555592917382526</v>
      </c>
    </row>
    <row r="96" customFormat="false" ht="15" hidden="false" customHeight="false" outlineLevel="0" collapsed="false">
      <c r="A96" s="50" t="n">
        <v>16</v>
      </c>
      <c r="B96" s="51" t="n">
        <f aca="false">1+IF($G$6=$E$6,$F$6,IF(P96&lt;($F$6-$E$6)/($G$6-$E$6),$E$6+SQRT(P96*($G$6-$E$6)*($F$6-$E$6)),$G$6-SQRT((1-P96)*($G$6-$E$6)*($G$6-$F$6))))</f>
        <v>0.948773814091925</v>
      </c>
      <c r="C96" s="51" t="n">
        <f aca="false">1+IF($G$7=$E$7,$F$7,IF(Q96&lt;($F$7-$E$7)/($G$7-$E$7),$E$7+SQRT(Q96*($G$7-$E$7)*($F$7-$E$7)),$G$7-SQRT((1-Q96)*($G$7-$E$7)*($G$7-$F$7))))</f>
        <v>0.94918062549114</v>
      </c>
      <c r="D96" s="51" t="n">
        <f aca="false">1+IF($G$8=$E$8,$F$8,IF(R96&lt;($F$8-$E$8)/($G$8-$E$8),$E$8+SQRT(R96*($G$8-$E$8)*($F$8-$E$8)),$G$8-SQRT((1-R96)*($G$8-$E$8)*($G$8-$F$8))))</f>
        <v>1.0451508876817</v>
      </c>
      <c r="E96" s="51" t="n">
        <f aca="false">1+IF($G$9=$E$9,$F$9,IF(S96&lt;($F$9-$E$9)/($G$9-$E$9),$E$9+SQRT(S96*($G$9-$E$9)*($F$9-$E$9)),$G$9-SQRT((1-S96)*($G$9-$E$9)*($G$9-$F$9))))</f>
        <v>1.00428121425504</v>
      </c>
      <c r="F96" s="51" t="n">
        <f aca="false">1+IF($G$10=$E$10,$F$10,IF(T96&lt;($F$10-$E$10)/($G$10-$E$10),$E$10+SQRT(T96*($G$10-$E$10)*($F$10-$E$10)),$G$10-SQRT((1-T96)*($G$10-$E$10)*($G$10-$F$10))))</f>
        <v>1.05372690419004</v>
      </c>
      <c r="G96" s="52" t="n">
        <f aca="false">IF($G$11=$E$11,$F$11,IF(U96&lt;($F$11-$E$11)/($G$11-$E$11),$E$11+SQRT(U96*($G$11-$E$11)*($F$11-$E$11)),$G$11-SQRT((1-U96)*($G$11-$E$11)*($G$11-$F$11))))</f>
        <v>0.107037666733451</v>
      </c>
      <c r="H96" s="53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-2107453808.38009</v>
      </c>
      <c r="I96" s="53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-65088344.0561268</v>
      </c>
      <c r="J96" s="53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164689703.298336</v>
      </c>
      <c r="K96" s="53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447154095.862301</v>
      </c>
      <c r="L96" s="53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554870053.1968</v>
      </c>
      <c r="M96" s="53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726048065.053369</v>
      </c>
      <c r="N96" s="53" t="n">
        <f aca="false">IF(COUNT('Business Case'!B11:G11)=0,"",H96+NPV(G96,I96:M96))</f>
        <v>-896171599.589649</v>
      </c>
      <c r="P96" s="54" t="n">
        <f aca="true">RAND()</f>
        <v>0.0862429559788169</v>
      </c>
      <c r="Q96" s="54" t="n">
        <f aca="true">RAND()</f>
        <v>0.317926557456113</v>
      </c>
      <c r="R96" s="54" t="n">
        <f aca="true">RAND()</f>
        <v>0.883224939483323</v>
      </c>
      <c r="S96" s="54" t="n">
        <f aca="true">RAND()</f>
        <v>0.389194270367326</v>
      </c>
      <c r="T96" s="54" t="n">
        <f aca="true">RAND()</f>
        <v>0.572083628843427</v>
      </c>
      <c r="U96" s="54" t="n">
        <f aca="true">RAND()</f>
        <v>0.719963193811511</v>
      </c>
    </row>
    <row r="97" customFormat="false" ht="15" hidden="false" customHeight="false" outlineLevel="0" collapsed="false">
      <c r="A97" s="50" t="n">
        <v>17</v>
      </c>
      <c r="B97" s="51" t="n">
        <f aca="false">1+IF($G$6=$E$6,$F$6,IF(P97&lt;($F$6-$E$6)/($G$6-$E$6),$E$6+SQRT(P97*($G$6-$E$6)*($F$6-$E$6)),$G$6-SQRT((1-P97)*($G$6-$E$6)*($G$6-$F$6))))</f>
        <v>0.980067170407859</v>
      </c>
      <c r="C97" s="51" t="n">
        <f aca="false">1+IF($G$7=$E$7,$F$7,IF(Q97&lt;($F$7-$E$7)/($G$7-$E$7),$E$7+SQRT(Q97*($G$7-$E$7)*($F$7-$E$7)),$G$7-SQRT((1-Q97)*($G$7-$E$7)*($G$7-$F$7))))</f>
        <v>0.965482402131222</v>
      </c>
      <c r="D97" s="51" t="n">
        <f aca="false">1+IF($G$8=$E$8,$F$8,IF(R97&lt;($F$8-$E$8)/($G$8-$E$8),$E$8+SQRT(R97*($G$8-$E$8)*($F$8-$E$8)),$G$8-SQRT((1-R97)*($G$8-$E$8)*($G$8-$F$8))))</f>
        <v>1.04911024232001</v>
      </c>
      <c r="E97" s="51" t="n">
        <f aca="false">1+IF($G$9=$E$9,$F$9,IF(S97&lt;($F$9-$E$9)/($G$9-$E$9),$E$9+SQRT(S97*($G$9-$E$9)*($F$9-$E$9)),$G$9-SQRT((1-S97)*($G$9-$E$9)*($G$9-$F$9))))</f>
        <v>1.02198481989907</v>
      </c>
      <c r="F97" s="51" t="n">
        <f aca="false">1+IF($G$10=$E$10,$F$10,IF(T97&lt;($F$10-$E$10)/($G$10-$E$10),$E$10+SQRT(T97*($G$10-$E$10)*($F$10-$E$10)),$G$10-SQRT((1-T97)*($G$10-$E$10)*($G$10-$F$10))))</f>
        <v>1.07926274382859</v>
      </c>
      <c r="G97" s="52" t="n">
        <f aca="false">IF($G$11=$E$11,$F$11,IF(U97&lt;($F$11-$E$11)/($G$11-$E$11),$E$11+SQRT(U97*($G$11-$E$11)*($F$11-$E$11)),$G$11-SQRT((1-U97)*($G$11-$E$11)*($G$11-$F$11))))</f>
        <v>0.110885877683187</v>
      </c>
      <c r="H97" s="53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-2158525487.65718</v>
      </c>
      <c r="I97" s="53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-45791221.2474454</v>
      </c>
      <c r="J97" s="53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210723030.769303</v>
      </c>
      <c r="K97" s="53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521200419.97748</v>
      </c>
      <c r="L97" s="53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639407142.310855</v>
      </c>
      <c r="M97" s="53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819267986.447043</v>
      </c>
      <c r="N97" s="53" t="n">
        <f aca="false">IF(COUNT('Business Case'!B11:G11)=0,"",H97+NPV(G97,I97:M97))</f>
        <v>-744689270.428878</v>
      </c>
      <c r="P97" s="54" t="n">
        <f aca="true">RAND()</f>
        <v>0.375840100084036</v>
      </c>
      <c r="Q97" s="54" t="n">
        <f aca="true">RAND()</f>
        <v>0.391206077358851</v>
      </c>
      <c r="R97" s="54" t="n">
        <f aca="true">RAND()</f>
        <v>0.90825219908379</v>
      </c>
      <c r="S97" s="54" t="n">
        <f aca="true">RAND()</f>
        <v>0.594242111587918</v>
      </c>
      <c r="T97" s="54" t="n">
        <f aca="true">RAND()</f>
        <v>0.708450299443979</v>
      </c>
      <c r="U97" s="54" t="n">
        <f aca="true">RAND()</f>
        <v>0.861554623990281</v>
      </c>
    </row>
    <row r="98" customFormat="false" ht="15" hidden="false" customHeight="false" outlineLevel="0" collapsed="false">
      <c r="A98" s="50" t="n">
        <v>18</v>
      </c>
      <c r="B98" s="51" t="n">
        <f aca="false">1+IF($G$6=$E$6,$F$6,IF(P98&lt;($F$6-$E$6)/($G$6-$E$6),$E$6+SQRT(P98*($G$6-$E$6)*($F$6-$E$6)),$G$6-SQRT((1-P98)*($G$6-$E$6)*($G$6-$F$6))))</f>
        <v>0.985780990958396</v>
      </c>
      <c r="C98" s="51" t="n">
        <f aca="false">1+IF($G$7=$E$7,$F$7,IF(Q98&lt;($F$7-$E$7)/($G$7-$E$7),$E$7+SQRT(Q98*($G$7-$E$7)*($F$7-$E$7)),$G$7-SQRT((1-Q98)*($G$7-$E$7)*($G$7-$F$7))))</f>
        <v>1.01968722478031</v>
      </c>
      <c r="D98" s="51" t="n">
        <f aca="false">1+IF($G$8=$E$8,$F$8,IF(R98&lt;($F$8-$E$8)/($G$8-$E$8),$E$8+SQRT(R98*($G$8-$E$8)*($F$8-$E$8)),$G$8-SQRT((1-R98)*($G$8-$E$8)*($G$8-$F$8))))</f>
        <v>0.985824852522561</v>
      </c>
      <c r="E98" s="51" t="n">
        <f aca="false">1+IF($G$9=$E$9,$F$9,IF(S98&lt;($F$9-$E$9)/($G$9-$E$9),$E$9+SQRT(S98*($G$9-$E$9)*($F$9-$E$9)),$G$9-SQRT((1-S98)*($G$9-$E$9)*($G$9-$F$9))))</f>
        <v>1.04957920857706</v>
      </c>
      <c r="F98" s="51" t="n">
        <f aca="false">1+IF($G$10=$E$10,$F$10,IF(T98&lt;($F$10-$E$10)/($G$10-$E$10),$E$10+SQRT(T98*($G$10-$E$10)*($F$10-$E$10)),$G$10-SQRT((1-T98)*($G$10-$E$10)*($G$10-$F$10))))</f>
        <v>1.10390176523364</v>
      </c>
      <c r="G98" s="52" t="n">
        <f aca="false">IF($G$11=$E$11,$F$11,IF(U98&lt;($F$11-$E$11)/($G$11-$E$11),$E$11+SQRT(U98*($G$11-$E$11)*($F$11-$E$11)),$G$11-SQRT((1-U98)*($G$11-$E$11)*($G$11-$F$11))))</f>
        <v>0.0976460265721802</v>
      </c>
      <c r="H98" s="53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-2207803530.46727</v>
      </c>
      <c r="I98" s="53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-3026604.75753917</v>
      </c>
      <c r="J98" s="53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305696091.054078</v>
      </c>
      <c r="K98" s="53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669613875.127376</v>
      </c>
      <c r="L98" s="53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807260747.455338</v>
      </c>
      <c r="M98" s="53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998326936.271167</v>
      </c>
      <c r="N98" s="53" t="n">
        <f aca="false">IF(COUNT('Business Case'!B11:G11)=0,"",H98+NPV(G98,I98:M98))</f>
        <v>-267827294.871031</v>
      </c>
      <c r="P98" s="54" t="n">
        <f aca="true">RAND()</f>
        <v>0.450743622027974</v>
      </c>
      <c r="Q98" s="54" t="n">
        <f aca="true">RAND()</f>
        <v>0.676544392657969</v>
      </c>
      <c r="R98" s="54" t="n">
        <f aca="true">RAND()</f>
        <v>0.197449239732811</v>
      </c>
      <c r="S98" s="54" t="n">
        <f aca="true">RAND()</f>
        <v>0.83051625281894</v>
      </c>
      <c r="T98" s="54" t="n">
        <f aca="true">RAND()</f>
        <v>0.815302585495772</v>
      </c>
      <c r="U98" s="54" t="n">
        <f aca="true">RAND()</f>
        <v>0.194872407808284</v>
      </c>
    </row>
    <row r="99" customFormat="false" ht="15" hidden="false" customHeight="false" outlineLevel="0" collapsed="false">
      <c r="A99" s="50" t="n">
        <v>19</v>
      </c>
      <c r="B99" s="51" t="n">
        <f aca="false">1+IF($G$6=$E$6,$F$6,IF(P99&lt;($F$6-$E$6)/($G$6-$E$6),$E$6+SQRT(P99*($G$6-$E$6)*($F$6-$E$6)),$G$6-SQRT((1-P99)*($G$6-$E$6)*($G$6-$F$6))))</f>
        <v>0.980511681478972</v>
      </c>
      <c r="C99" s="51" t="n">
        <f aca="false">1+IF($G$7=$E$7,$F$7,IF(Q99&lt;($F$7-$E$7)/($G$7-$E$7),$E$7+SQRT(Q99*($G$7-$E$7)*($F$7-$E$7)),$G$7-SQRT((1-Q99)*($G$7-$E$7)*($G$7-$F$7))))</f>
        <v>0.982315153999558</v>
      </c>
      <c r="D99" s="51" t="n">
        <f aca="false">1+IF($G$8=$E$8,$F$8,IF(R99&lt;($F$8-$E$8)/($G$8-$E$8),$E$8+SQRT(R99*($G$8-$E$8)*($F$8-$E$8)),$G$8-SQRT((1-R99)*($G$8-$E$8)*($G$8-$F$8))))</f>
        <v>1.04419953825741</v>
      </c>
      <c r="E99" s="51" t="n">
        <f aca="false">1+IF($G$9=$E$9,$F$9,IF(S99&lt;($F$9-$E$9)/($G$9-$E$9),$E$9+SQRT(S99*($G$9-$E$9)*($F$9-$E$9)),$G$9-SQRT((1-S99)*($G$9-$E$9)*($G$9-$F$9))))</f>
        <v>0.984840595153365</v>
      </c>
      <c r="F99" s="51" t="n">
        <f aca="false">1+IF($G$10=$E$10,$F$10,IF(T99&lt;($F$10-$E$10)/($G$10-$E$10),$E$10+SQRT(T99*($G$10-$E$10)*($F$10-$E$10)),$G$10-SQRT((1-T99)*($G$10-$E$10)*($G$10-$F$10))))</f>
        <v>0.977271895821081</v>
      </c>
      <c r="G99" s="52" t="n">
        <f aca="false">IF($G$11=$E$11,$F$11,IF(U99&lt;($F$11-$E$11)/($G$11-$E$11),$E$11+SQRT(U99*($G$11-$E$11)*($F$11-$E$11)),$G$11-SQRT((1-U99)*($G$11-$E$11)*($G$11-$F$11))))</f>
        <v>0.100401276998916</v>
      </c>
      <c r="H99" s="53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-1954543791.64216</v>
      </c>
      <c r="I99" s="53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-23888791.5034798</v>
      </c>
      <c r="J99" s="53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239924748.904914</v>
      </c>
      <c r="K99" s="53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552601884.104363</v>
      </c>
      <c r="L99" s="53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673826937.373133</v>
      </c>
      <c r="M99" s="53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856906572.935977</v>
      </c>
      <c r="N99" s="53" t="n">
        <f aca="false">IF(COUNT('Business Case'!B11:G11)=0,"",H99+NPV(G99,I99:M99))</f>
        <v>-372724645.959867</v>
      </c>
      <c r="P99" s="54" t="n">
        <f aca="true">RAND()</f>
        <v>0.381423291188806</v>
      </c>
      <c r="Q99" s="54" t="n">
        <f aca="true">RAND()</f>
        <v>0.474840219684036</v>
      </c>
      <c r="R99" s="54" t="n">
        <f aca="true">RAND()</f>
        <v>0.876762205674719</v>
      </c>
      <c r="S99" s="54" t="n">
        <f aca="true">RAND()</f>
        <v>0.161848942752093</v>
      </c>
      <c r="T99" s="54" t="n">
        <f aca="true">RAND()</f>
        <v>0.0595005041340697</v>
      </c>
      <c r="U99" s="54" t="n">
        <f aca="true">RAND()</f>
        <v>0.359816761211307</v>
      </c>
    </row>
    <row r="100" customFormat="false" ht="15" hidden="false" customHeight="false" outlineLevel="0" collapsed="false">
      <c r="A100" s="50" t="n">
        <v>20</v>
      </c>
      <c r="B100" s="51" t="n">
        <f aca="false">1+IF($G$6=$E$6,$F$6,IF(P100&lt;($F$6-$E$6)/($G$6-$E$6),$E$6+SQRT(P100*($G$6-$E$6)*($F$6-$E$6)),$G$6-SQRT((1-P100)*($G$6-$E$6)*($G$6-$F$6))))</f>
        <v>0.988649652894302</v>
      </c>
      <c r="C100" s="51" t="n">
        <f aca="false">1+IF($G$7=$E$7,$F$7,IF(Q100&lt;($F$7-$E$7)/($G$7-$E$7),$E$7+SQRT(Q100*($G$7-$E$7)*($F$7-$E$7)),$G$7-SQRT((1-Q100)*($G$7-$E$7)*($G$7-$F$7))))</f>
        <v>0.838069529608596</v>
      </c>
      <c r="D100" s="51" t="n">
        <f aca="false">1+IF($G$8=$E$8,$F$8,IF(R100&lt;($F$8-$E$8)/($G$8-$E$8),$E$8+SQRT(R100*($G$8-$E$8)*($F$8-$E$8)),$G$8-SQRT((1-R100)*($G$8-$E$8)*($G$8-$F$8))))</f>
        <v>1.0386535038661</v>
      </c>
      <c r="E100" s="51" t="n">
        <f aca="false">1+IF($G$9=$E$9,$F$9,IF(S100&lt;($F$9-$E$9)/($G$9-$E$9),$E$9+SQRT(S100*($G$9-$E$9)*($F$9-$E$9)),$G$9-SQRT((1-S100)*($G$9-$E$9)*($G$9-$F$9))))</f>
        <v>1.06147152822496</v>
      </c>
      <c r="F100" s="51" t="n">
        <f aca="false">1+IF($G$10=$E$10,$F$10,IF(T100&lt;($F$10-$E$10)/($G$10-$E$10),$E$10+SQRT(T100*($G$10-$E$10)*($F$10-$E$10)),$G$10-SQRT((1-T100)*($G$10-$E$10)*($G$10-$F$10))))</f>
        <v>0.971052445517019</v>
      </c>
      <c r="G100" s="52" t="n">
        <f aca="false">IF($G$11=$E$11,$F$11,IF(U100&lt;($F$11-$E$11)/($G$11-$E$11),$E$11+SQRT(U100*($G$11-$E$11)*($F$11-$E$11)),$G$11-SQRT((1-U100)*($G$11-$E$11)*($G$11-$F$11))))</f>
        <v>0.114822896339263</v>
      </c>
      <c r="H100" s="53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-1942104891.03404</v>
      </c>
      <c r="I100" s="53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-57958792.7409987</v>
      </c>
      <c r="J100" s="53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175081313.015905</v>
      </c>
      <c r="K100" s="53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456674041.048659</v>
      </c>
      <c r="L100" s="53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562989011.389368</v>
      </c>
      <c r="M100" s="53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720481154.37561</v>
      </c>
      <c r="N100" s="53" t="n">
        <f aca="false">IF(COUNT('Business Case'!B11:G11)=0,"",H100+NPV(G100,I100:M100))</f>
        <v>-740736157.187388</v>
      </c>
      <c r="P100" s="54" t="n">
        <f aca="true">RAND()</f>
        <v>0.490914046094605</v>
      </c>
      <c r="Q100" s="54" t="n">
        <f aca="true">RAND()</f>
        <v>0.0207041297802822</v>
      </c>
      <c r="R100" s="54" t="n">
        <f aca="true">RAND()</f>
        <v>0.835621851677835</v>
      </c>
      <c r="S100" s="54" t="n">
        <f aca="true">RAND()</f>
        <v>0.901037124178653</v>
      </c>
      <c r="T100" s="54" t="n">
        <f aca="true">RAND()</f>
        <v>0.0354564369797652</v>
      </c>
      <c r="U100" s="54" t="n">
        <f aca="true">RAND()</f>
        <v>0.955329329476646</v>
      </c>
    </row>
    <row r="101" customFormat="false" ht="15" hidden="false" customHeight="false" outlineLevel="0" collapsed="false">
      <c r="A101" s="50" t="n">
        <v>21</v>
      </c>
      <c r="B101" s="51" t="n">
        <f aca="false">1+IF($G$6=$E$6,$F$6,IF(P101&lt;($F$6-$E$6)/($G$6-$E$6),$E$6+SQRT(P101*($G$6-$E$6)*($F$6-$E$6)),$G$6-SQRT((1-P101)*($G$6-$E$6)*($G$6-$F$6))))</f>
        <v>1.00209291884022</v>
      </c>
      <c r="C101" s="51" t="n">
        <f aca="false">1+IF($G$7=$E$7,$F$7,IF(Q101&lt;($F$7-$E$7)/($G$7-$E$7),$E$7+SQRT(Q101*($G$7-$E$7)*($F$7-$E$7)),$G$7-SQRT((1-Q101)*($G$7-$E$7)*($G$7-$F$7))))</f>
        <v>0.995336038785827</v>
      </c>
      <c r="D101" s="51" t="n">
        <f aca="false">1+IF($G$8=$E$8,$F$8,IF(R101&lt;($F$8-$E$8)/($G$8-$E$8),$E$8+SQRT(R101*($G$8-$E$8)*($F$8-$E$8)),$G$8-SQRT((1-R101)*($G$8-$E$8)*($G$8-$F$8))))</f>
        <v>1.05614103852339</v>
      </c>
      <c r="E101" s="51" t="n">
        <f aca="false">1+IF($G$9=$E$9,$F$9,IF(S101&lt;($F$9-$E$9)/($G$9-$E$9),$E$9+SQRT(S101*($G$9-$E$9)*($F$9-$E$9)),$G$9-SQRT((1-S101)*($G$9-$E$9)*($G$9-$F$9))))</f>
        <v>0.972236417104639</v>
      </c>
      <c r="F101" s="51" t="n">
        <f aca="false">1+IF($G$10=$E$10,$F$10,IF(T101&lt;($F$10-$E$10)/($G$10-$E$10),$E$10+SQRT(T101*($G$10-$E$10)*($F$10-$E$10)),$G$10-SQRT((1-T101)*($G$10-$E$10)*($G$10-$F$10))))</f>
        <v>0.990511112062635</v>
      </c>
      <c r="G101" s="52" t="n">
        <f aca="false">IF($G$11=$E$11,$F$11,IF(U101&lt;($F$11-$E$11)/($G$11-$E$11),$E$11+SQRT(U101*($G$11-$E$11)*($F$11-$E$11)),$G$11-SQRT((1-U101)*($G$11-$E$11)*($G$11-$F$11))))</f>
        <v>0.107366223731119</v>
      </c>
      <c r="H101" s="53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-1981022224.12527</v>
      </c>
      <c r="I101" s="53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-10189309.3516958</v>
      </c>
      <c r="J101" s="53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268630722.153093</v>
      </c>
      <c r="K101" s="53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596976309.261014</v>
      </c>
      <c r="L101" s="53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724387127.187905</v>
      </c>
      <c r="M101" s="53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913976568.027025</v>
      </c>
      <c r="N101" s="53" t="n">
        <f aca="false">IF(COUNT('Business Case'!B11:G11)=0,"",H101+NPV(G101,I101:M101))</f>
        <v>-300918853.094991</v>
      </c>
      <c r="P101" s="54" t="n">
        <f aca="true">RAND()</f>
        <v>0.700636082905426</v>
      </c>
      <c r="Q101" s="54" t="n">
        <f aca="true">RAND()</f>
        <v>0.545088114979116</v>
      </c>
      <c r="R101" s="54" t="n">
        <f aca="true">RAND()</f>
        <v>0.94526441896708</v>
      </c>
      <c r="S101" s="54" t="n">
        <f aca="true">RAND()</f>
        <v>0.0659277660868611</v>
      </c>
      <c r="T101" s="54" t="n">
        <f aca="true">RAND()</f>
        <v>0.131292016044109</v>
      </c>
      <c r="U101" s="54" t="n">
        <f aca="true">RAND()</f>
        <v>0.733979495313088</v>
      </c>
    </row>
    <row r="102" customFormat="false" ht="15" hidden="false" customHeight="false" outlineLevel="0" collapsed="false">
      <c r="A102" s="50" t="n">
        <v>22</v>
      </c>
      <c r="B102" s="51" t="n">
        <f aca="false">1+IF($G$6=$E$6,$F$6,IF(P102&lt;($F$6-$E$6)/($G$6-$E$6),$E$6+SQRT(P102*($G$6-$E$6)*($F$6-$E$6)),$G$6-SQRT((1-P102)*($G$6-$E$6)*($G$6-$F$6))))</f>
        <v>0.993118216208747</v>
      </c>
      <c r="C102" s="51" t="n">
        <f aca="false">1+IF($G$7=$E$7,$F$7,IF(Q102&lt;($F$7-$E$7)/($G$7-$E$7),$E$7+SQRT(Q102*($G$7-$E$7)*($F$7-$E$7)),$G$7-SQRT((1-Q102)*($G$7-$E$7)*($G$7-$F$7))))</f>
        <v>0.834574581457664</v>
      </c>
      <c r="D102" s="51" t="n">
        <f aca="false">1+IF($G$8=$E$8,$F$8,IF(R102&lt;($F$8-$E$8)/($G$8-$E$8),$E$8+SQRT(R102*($G$8-$E$8)*($F$8-$E$8)),$G$8-SQRT((1-R102)*($G$8-$E$8)*($G$8-$F$8))))</f>
        <v>0.98960859112243</v>
      </c>
      <c r="E102" s="51" t="n">
        <f aca="false">1+IF($G$9=$E$9,$F$9,IF(S102&lt;($F$9-$E$9)/($G$9-$E$9),$E$9+SQRT(S102*($G$9-$E$9)*($F$9-$E$9)),$G$9-SQRT((1-S102)*($G$9-$E$9)*($G$9-$F$9))))</f>
        <v>1.00081184671318</v>
      </c>
      <c r="F102" s="51" t="n">
        <f aca="false">1+IF($G$10=$E$10,$F$10,IF(T102&lt;($F$10-$E$10)/($G$10-$E$10),$E$10+SQRT(T102*($G$10-$E$10)*($F$10-$E$10)),$G$10-SQRT((1-T102)*($G$10-$E$10)*($G$10-$F$10))))</f>
        <v>1.03535993190873</v>
      </c>
      <c r="G102" s="52" t="n">
        <f aca="false">IF($G$11=$E$11,$F$11,IF(U102&lt;($F$11-$E$11)/($G$11-$E$11),$E$11+SQRT(U102*($G$11-$E$11)*($F$11-$E$11)),$G$11-SQRT((1-U102)*($G$11-$E$11)*($G$11-$F$11))))</f>
        <v>0.101790518434185</v>
      </c>
      <c r="H102" s="53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-2070719863.81747</v>
      </c>
      <c r="I102" s="53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-32741445.3003291</v>
      </c>
      <c r="J102" s="53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223335157.618469</v>
      </c>
      <c r="K102" s="53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531179757.132703</v>
      </c>
      <c r="L102" s="53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645183031.722729</v>
      </c>
      <c r="M102" s="53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802727269.950075</v>
      </c>
      <c r="N102" s="53" t="n">
        <f aca="false">IF(COUNT('Business Case'!B11:G11)=0,"",H102+NPV(G102,I102:M102))</f>
        <v>-587115851.220178</v>
      </c>
      <c r="P102" s="54" t="n">
        <f aca="true">RAND()</f>
        <v>0.556903493911366</v>
      </c>
      <c r="Q102" s="54" t="n">
        <f aca="true">RAND()</f>
        <v>0.017077166899609</v>
      </c>
      <c r="R102" s="54" t="n">
        <f aca="true">RAND()</f>
        <v>0.241360075492903</v>
      </c>
      <c r="S102" s="54" t="n">
        <f aca="true">RAND()</f>
        <v>0.344114016503294</v>
      </c>
      <c r="T102" s="54" t="n">
        <f aca="true">RAND()</f>
        <v>0.457872959578066</v>
      </c>
      <c r="U102" s="54" t="n">
        <f aca="true">RAND()</f>
        <v>0.447357968507054</v>
      </c>
    </row>
    <row r="103" customFormat="false" ht="15" hidden="false" customHeight="false" outlineLevel="0" collapsed="false">
      <c r="A103" s="50" t="n">
        <v>23</v>
      </c>
      <c r="B103" s="51" t="n">
        <f aca="false">1+IF($G$6=$E$6,$F$6,IF(P103&lt;($F$6-$E$6)/($G$6-$E$6),$E$6+SQRT(P103*($G$6-$E$6)*($F$6-$E$6)),$G$6-SQRT((1-P103)*($G$6-$E$6)*($G$6-$F$6))))</f>
        <v>1.00354211298149</v>
      </c>
      <c r="C103" s="51" t="n">
        <f aca="false">1+IF($G$7=$E$7,$F$7,IF(Q103&lt;($F$7-$E$7)/($G$7-$E$7),$E$7+SQRT(Q103*($G$7-$E$7)*($F$7-$E$7)),$G$7-SQRT((1-Q103)*($G$7-$E$7)*($G$7-$F$7))))</f>
        <v>0.936489970986524</v>
      </c>
      <c r="D103" s="51" t="n">
        <f aca="false">1+IF($G$8=$E$8,$F$8,IF(R103&lt;($F$8-$E$8)/($G$8-$E$8),$E$8+SQRT(R103*($G$8-$E$8)*($F$8-$E$8)),$G$8-SQRT((1-R103)*($G$8-$E$8)*($G$8-$F$8))))</f>
        <v>1.03539544420889</v>
      </c>
      <c r="E103" s="51" t="n">
        <f aca="false">1+IF($G$9=$E$9,$F$9,IF(S103&lt;($F$9-$E$9)/($G$9-$E$9),$E$9+SQRT(S103*($G$9-$E$9)*($F$9-$E$9)),$G$9-SQRT((1-S103)*($G$9-$E$9)*($G$9-$F$9))))</f>
        <v>1.0331699040561</v>
      </c>
      <c r="F103" s="51" t="n">
        <f aca="false">1+IF($G$10=$E$10,$F$10,IF(T103&lt;($F$10-$E$10)/($G$10-$E$10),$E$10+SQRT(T103*($G$10-$E$10)*($F$10-$E$10)),$G$10-SQRT((1-T103)*($G$10-$E$10)*($G$10-$F$10))))</f>
        <v>1.11175894358762</v>
      </c>
      <c r="G103" s="52" t="n">
        <f aca="false">IF($G$11=$E$11,$F$11,IF(U103&lt;($F$11-$E$11)/($G$11-$E$11),$E$11+SQRT(U103*($G$11-$E$11)*($F$11-$E$11)),$G$11-SQRT((1-U103)*($G$11-$E$11)*($G$11-$F$11))))</f>
        <v>0.109025919366504</v>
      </c>
      <c r="H103" s="53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-2223517887.17525</v>
      </c>
      <c r="I103" s="53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-33419358.299282</v>
      </c>
      <c r="J103" s="53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239973539.439121</v>
      </c>
      <c r="K103" s="53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568954384.356906</v>
      </c>
      <c r="L103" s="53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692565084.48447</v>
      </c>
      <c r="M103" s="53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871203622.665672</v>
      </c>
      <c r="N103" s="53" t="n">
        <f aca="false">IF(COUNT('Business Case'!B11:G11)=0,"",H103+NPV(G103,I103:M103))</f>
        <v>-664319509.588491</v>
      </c>
      <c r="P103" s="54" t="n">
        <f aca="true">RAND()</f>
        <v>0.723088015446941</v>
      </c>
      <c r="Q103" s="54" t="n">
        <f aca="true">RAND()</f>
        <v>0.266135888284315</v>
      </c>
      <c r="R103" s="54" t="n">
        <f aca="true">RAND()</f>
        <v>0.808695538718983</v>
      </c>
      <c r="S103" s="54" t="n">
        <f aca="true">RAND()</f>
        <v>0.702249218408577</v>
      </c>
      <c r="T103" s="54" t="n">
        <f aca="true">RAND()</f>
        <v>0.844270319264557</v>
      </c>
      <c r="U103" s="54" t="n">
        <f aca="true">RAND()</f>
        <v>0.799282590415866</v>
      </c>
    </row>
    <row r="104" customFormat="false" ht="15" hidden="false" customHeight="false" outlineLevel="0" collapsed="false">
      <c r="A104" s="50" t="n">
        <v>24</v>
      </c>
      <c r="B104" s="51" t="n">
        <f aca="false">1+IF($G$6=$E$6,$F$6,IF(P104&lt;($F$6-$E$6)/($G$6-$E$6),$E$6+SQRT(P104*($G$6-$E$6)*($F$6-$E$6)),$G$6-SQRT((1-P104)*($G$6-$E$6)*($G$6-$F$6))))</f>
        <v>0.976910294592189</v>
      </c>
      <c r="C104" s="51" t="n">
        <f aca="false">1+IF($G$7=$E$7,$F$7,IF(Q104&lt;($F$7-$E$7)/($G$7-$E$7),$E$7+SQRT(Q104*($G$7-$E$7)*($F$7-$E$7)),$G$7-SQRT((1-Q104)*($G$7-$E$7)*($G$7-$F$7))))</f>
        <v>0.947825737294076</v>
      </c>
      <c r="D104" s="51" t="n">
        <f aca="false">1+IF($G$8=$E$8,$F$8,IF(R104&lt;($F$8-$E$8)/($G$8-$E$8),$E$8+SQRT(R104*($G$8-$E$8)*($F$8-$E$8)),$G$8-SQRT((1-R104)*($G$8-$E$8)*($G$8-$F$8))))</f>
        <v>1.01927244705335</v>
      </c>
      <c r="E104" s="51" t="n">
        <f aca="false">1+IF($G$9=$E$9,$F$9,IF(S104&lt;($F$9-$E$9)/($G$9-$E$9),$E$9+SQRT(S104*($G$9-$E$9)*($F$9-$E$9)),$G$9-SQRT((1-S104)*($G$9-$E$9)*($G$9-$F$9))))</f>
        <v>1.00252982669067</v>
      </c>
      <c r="F104" s="51" t="n">
        <f aca="false">1+IF($G$10=$E$10,$F$10,IF(T104&lt;($F$10-$E$10)/($G$10-$E$10),$E$10+SQRT(T104*($G$10-$E$10)*($F$10-$E$10)),$G$10-SQRT((1-T104)*($G$10-$E$10)*($G$10-$F$10))))</f>
        <v>1.07852580526291</v>
      </c>
      <c r="G104" s="52" t="n">
        <f aca="false">IF($G$11=$E$11,$F$11,IF(U104&lt;($F$11-$E$11)/($G$11-$E$11),$E$11+SQRT(U104*($G$11-$E$11)*($F$11-$E$11)),$G$11-SQRT((1-U104)*($G$11-$E$11)*($G$11-$F$11))))</f>
        <v>0.0915603237904706</v>
      </c>
      <c r="H104" s="53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-2157051610.52583</v>
      </c>
      <c r="I104" s="53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-34563125.0158155</v>
      </c>
      <c r="J104" s="53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229286838.78742</v>
      </c>
      <c r="K104" s="53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547063092.853801</v>
      </c>
      <c r="L104" s="53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667013592.079777</v>
      </c>
      <c r="M104" s="53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843016404.183379</v>
      </c>
      <c r="N104" s="53" t="n">
        <f aca="false">IF(COUNT('Business Case'!B11:G11)=0,"",H104+NPV(G104,I104:M104))</f>
        <v>-561825384.764127</v>
      </c>
      <c r="P104" s="54" t="n">
        <f aca="true">RAND()</f>
        <v>0.337373086517676</v>
      </c>
      <c r="Q104" s="54" t="n">
        <f aca="true">RAND()</f>
        <v>0.312177837236244</v>
      </c>
      <c r="R104" s="54" t="n">
        <f aca="true">RAND()</f>
        <v>0.6454004147223</v>
      </c>
      <c r="S104" s="54" t="n">
        <f aca="true">RAND()</f>
        <v>0.366637687669956</v>
      </c>
      <c r="T104" s="54" t="n">
        <f aca="true">RAND()</f>
        <v>0.704880400259527</v>
      </c>
      <c r="U104" s="54" t="n">
        <f aca="true">RAND()</f>
        <v>0.00811536777036213</v>
      </c>
    </row>
    <row r="105" customFormat="false" ht="15" hidden="false" customHeight="false" outlineLevel="0" collapsed="false">
      <c r="A105" s="50" t="n">
        <v>25</v>
      </c>
      <c r="B105" s="51" t="n">
        <f aca="false">1+IF($G$6=$E$6,$F$6,IF(P105&lt;($F$6-$E$6)/($G$6-$E$6),$E$6+SQRT(P105*($G$6-$E$6)*($F$6-$E$6)),$G$6-SQRT((1-P105)*($G$6-$E$6)*($G$6-$F$6))))</f>
        <v>1.0197741590536</v>
      </c>
      <c r="C105" s="51" t="n">
        <f aca="false">1+IF($G$7=$E$7,$F$7,IF(Q105&lt;($F$7-$E$7)/($G$7-$E$7),$E$7+SQRT(Q105*($G$7-$E$7)*($F$7-$E$7)),$G$7-SQRT((1-Q105)*($G$7-$E$7)*($G$7-$F$7))))</f>
        <v>0.921406346178969</v>
      </c>
      <c r="D105" s="51" t="n">
        <f aca="false">1+IF($G$8=$E$8,$F$8,IF(R105&lt;($F$8-$E$8)/($G$8-$E$8),$E$8+SQRT(R105*($G$8-$E$8)*($F$8-$E$8)),$G$8-SQRT((1-R105)*($G$8-$E$8)*($G$8-$F$8))))</f>
        <v>1.02881713207555</v>
      </c>
      <c r="E105" s="51" t="n">
        <f aca="false">1+IF($G$9=$E$9,$F$9,IF(S105&lt;($F$9-$E$9)/($G$9-$E$9),$E$9+SQRT(S105*($G$9-$E$9)*($F$9-$E$9)),$G$9-SQRT((1-S105)*($G$9-$E$9)*($G$9-$F$9))))</f>
        <v>0.995399420881254</v>
      </c>
      <c r="F105" s="51" t="n">
        <f aca="false">1+IF($G$10=$E$10,$F$10,IF(T105&lt;($F$10-$E$10)/($G$10-$E$10),$E$10+SQRT(T105*($G$10-$E$10)*($F$10-$E$10)),$G$10-SQRT((1-T105)*($G$10-$E$10)*($G$10-$F$10))))</f>
        <v>1.06703218788266</v>
      </c>
      <c r="G105" s="52" t="n">
        <f aca="false">IF($G$11=$E$11,$F$11,IF(U105&lt;($F$11-$E$11)/($G$11-$E$11),$E$11+SQRT(U105*($G$11-$E$11)*($F$11-$E$11)),$G$11-SQRT((1-U105)*($G$11-$E$11)*($G$11-$F$11))))</f>
        <v>0.101588032251652</v>
      </c>
      <c r="H105" s="53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-2134064375.76533</v>
      </c>
      <c r="I105" s="53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-12616572.4599411</v>
      </c>
      <c r="J105" s="53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271726103.151315</v>
      </c>
      <c r="K105" s="53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609420388.156704</v>
      </c>
      <c r="L105" s="53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736674767.782868</v>
      </c>
      <c r="M105" s="53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915278950.439463</v>
      </c>
      <c r="N105" s="53" t="n">
        <f aca="false">IF(COUNT('Business Case'!B11:G11)=0,"",H105+NPV(G105,I105:M105))</f>
        <v>-401212878.543533</v>
      </c>
      <c r="P105" s="54" t="n">
        <f aca="true">RAND()</f>
        <v>0.914774032918974</v>
      </c>
      <c r="Q105" s="54" t="n">
        <f aca="true">RAND()</f>
        <v>0.210564298464682</v>
      </c>
      <c r="R105" s="54" t="n">
        <f aca="true">RAND()</f>
        <v>0.7481071183681</v>
      </c>
      <c r="S105" s="54" t="n">
        <f aca="true">RAND()</f>
        <v>0.274814322180431</v>
      </c>
      <c r="T105" s="54" t="n">
        <f aca="true">RAND()</f>
        <v>0.64639121881457</v>
      </c>
      <c r="U105" s="54" t="n">
        <f aca="true">RAND()</f>
        <v>0.43499907272301</v>
      </c>
    </row>
    <row r="106" customFormat="false" ht="15" hidden="false" customHeight="false" outlineLevel="0" collapsed="false">
      <c r="A106" s="50" t="n">
        <v>26</v>
      </c>
      <c r="B106" s="51" t="n">
        <f aca="false">1+IF($G$6=$E$6,$F$6,IF(P106&lt;($F$6-$E$6)/($G$6-$E$6),$E$6+SQRT(P106*($G$6-$E$6)*($F$6-$E$6)),$G$6-SQRT((1-P106)*($G$6-$E$6)*($G$6-$F$6))))</f>
        <v>0.963865550962024</v>
      </c>
      <c r="C106" s="51" t="n">
        <f aca="false">1+IF($G$7=$E$7,$F$7,IF(Q106&lt;($F$7-$E$7)/($G$7-$E$7),$E$7+SQRT(Q106*($G$7-$E$7)*($F$7-$E$7)),$G$7-SQRT((1-Q106)*($G$7-$E$7)*($G$7-$F$7))))</f>
        <v>1.10057326490446</v>
      </c>
      <c r="D106" s="51" t="n">
        <f aca="false">1+IF($G$8=$E$8,$F$8,IF(R106&lt;($F$8-$E$8)/($G$8-$E$8),$E$8+SQRT(R106*($G$8-$E$8)*($F$8-$E$8)),$G$8-SQRT((1-R106)*($G$8-$E$8)*($G$8-$F$8))))</f>
        <v>0.982061724754573</v>
      </c>
      <c r="E106" s="51" t="n">
        <f aca="false">1+IF($G$9=$E$9,$F$9,IF(S106&lt;($F$9-$E$9)/($G$9-$E$9),$E$9+SQRT(S106*($G$9-$E$9)*($F$9-$E$9)),$G$9-SQRT((1-S106)*($G$9-$E$9)*($G$9-$F$9))))</f>
        <v>1.01411624493691</v>
      </c>
      <c r="F106" s="51" t="n">
        <f aca="false">1+IF($G$10=$E$10,$F$10,IF(T106&lt;($F$10-$E$10)/($G$10-$E$10),$E$10+SQRT(T106*($G$10-$E$10)*($F$10-$E$10)),$G$10-SQRT((1-T106)*($G$10-$E$10)*($G$10-$F$10))))</f>
        <v>1.11389214217653</v>
      </c>
      <c r="G106" s="52" t="n">
        <f aca="false">IF($G$11=$E$11,$F$11,IF(U106&lt;($F$11-$E$11)/($G$11-$E$11),$E$11+SQRT(U106*($G$11-$E$11)*($F$11-$E$11)),$G$11-SQRT((1-U106)*($G$11-$E$11)*($G$11-$F$11))))</f>
        <v>0.115055788988664</v>
      </c>
      <c r="H106" s="53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-2227784284.35305</v>
      </c>
      <c r="I106" s="53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4987790.40383816</v>
      </c>
      <c r="J106" s="53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320564238.440605</v>
      </c>
      <c r="K106" s="53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691835293.586198</v>
      </c>
      <c r="L106" s="53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833688851.855285</v>
      </c>
      <c r="M106" s="53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1035326600.93452</v>
      </c>
      <c r="N106" s="53" t="n">
        <f aca="false">IF(COUNT('Business Case'!B11:G11)=0,"",H106+NPV(G106,I106:M106))</f>
        <v>-326577180.65923</v>
      </c>
      <c r="P106" s="54" t="n">
        <f aca="true">RAND()</f>
        <v>0.200436100125198</v>
      </c>
      <c r="Q106" s="54" t="n">
        <f aca="true">RAND()</f>
        <v>0.953466625862775</v>
      </c>
      <c r="R106" s="54" t="n">
        <f aca="true">RAND()</f>
        <v>0.158146799113542</v>
      </c>
      <c r="S106" s="54" t="n">
        <f aca="true">RAND()</f>
        <v>0.508265374417582</v>
      </c>
      <c r="T106" s="54" t="n">
        <f aca="true">RAND()</f>
        <v>0.851708736421048</v>
      </c>
      <c r="U106" s="54" t="n">
        <f aca="true">RAND()</f>
        <v>0.959257962458974</v>
      </c>
    </row>
    <row r="107" customFormat="false" ht="15" hidden="false" customHeight="false" outlineLevel="0" collapsed="false">
      <c r="A107" s="50" t="n">
        <v>27</v>
      </c>
      <c r="B107" s="51" t="n">
        <f aca="false">1+IF($G$6=$E$6,$F$6,IF(P107&lt;($F$6-$E$6)/($G$6-$E$6),$E$6+SQRT(P107*($G$6-$E$6)*($F$6-$E$6)),$G$6-SQRT((1-P107)*($G$6-$E$6)*($G$6-$F$6))))</f>
        <v>0.950165997846872</v>
      </c>
      <c r="C107" s="51" t="n">
        <f aca="false">1+IF($G$7=$E$7,$F$7,IF(Q107&lt;($F$7-$E$7)/($G$7-$E$7),$E$7+SQRT(Q107*($G$7-$E$7)*($F$7-$E$7)),$G$7-SQRT((1-Q107)*($G$7-$E$7)*($G$7-$F$7))))</f>
        <v>0.949758265649673</v>
      </c>
      <c r="D107" s="51" t="n">
        <f aca="false">1+IF($G$8=$E$8,$F$8,IF(R107&lt;($F$8-$E$8)/($G$8-$E$8),$E$8+SQRT(R107*($G$8-$E$8)*($F$8-$E$8)),$G$8-SQRT((1-R107)*($G$8-$E$8)*($G$8-$F$8))))</f>
        <v>1.03867594194909</v>
      </c>
      <c r="E107" s="51" t="n">
        <f aca="false">1+IF($G$9=$E$9,$F$9,IF(S107&lt;($F$9-$E$9)/($G$9-$E$9),$E$9+SQRT(S107*($G$9-$E$9)*($F$9-$E$9)),$G$9-SQRT((1-S107)*($G$9-$E$9)*($G$9-$F$9))))</f>
        <v>1.02529584494419</v>
      </c>
      <c r="F107" s="51" t="n">
        <f aca="false">1+IF($G$10=$E$10,$F$10,IF(T107&lt;($F$10-$E$10)/($G$10-$E$10),$E$10+SQRT(T107*($G$10-$E$10)*($F$10-$E$10)),$G$10-SQRT((1-T107)*($G$10-$E$10)*($G$10-$F$10))))</f>
        <v>1.0770996615215</v>
      </c>
      <c r="G107" s="52" t="n">
        <f aca="false">IF($G$11=$E$11,$F$11,IF(U107&lt;($F$11-$E$11)/($G$11-$E$11),$E$11+SQRT(U107*($G$11-$E$11)*($F$11-$E$11)),$G$11-SQRT((1-U107)*($G$11-$E$11)*($G$11-$F$11))))</f>
        <v>0.104431734852523</v>
      </c>
      <c r="H107" s="53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-2154199323.04299</v>
      </c>
      <c r="I107" s="53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-66139892.2340708</v>
      </c>
      <c r="J107" s="53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168009118.883547</v>
      </c>
      <c r="K107" s="53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456013113.077239</v>
      </c>
      <c r="L107" s="53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565250695.482094</v>
      </c>
      <c r="M107" s="53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736784211.659833</v>
      </c>
      <c r="N107" s="53" t="n">
        <f aca="false">IF(COUNT('Business Case'!B11:G11)=0,"",H107+NPV(G107,I107:M107))</f>
        <v>-909551282.28332</v>
      </c>
      <c r="P107" s="54" t="n">
        <f aca="true">RAND()</f>
        <v>0.094790356885156</v>
      </c>
      <c r="Q107" s="54" t="n">
        <f aca="true">RAND()</f>
        <v>0.32039340186283</v>
      </c>
      <c r="R107" s="54" t="n">
        <f aca="true">RAND()</f>
        <v>0.835800214058149</v>
      </c>
      <c r="S107" s="54" t="n">
        <f aca="true">RAND()</f>
        <v>0.627952614493185</v>
      </c>
      <c r="T107" s="54" t="n">
        <f aca="true">RAND()</f>
        <v>0.697910136037387</v>
      </c>
      <c r="U107" s="54" t="n">
        <f aca="true">RAND()</f>
        <v>0.596048533829737</v>
      </c>
    </row>
    <row r="108" customFormat="false" ht="15" hidden="false" customHeight="false" outlineLevel="0" collapsed="false">
      <c r="A108" s="50" t="n">
        <v>28</v>
      </c>
      <c r="B108" s="51" t="n">
        <f aca="false">1+IF($G$6=$E$6,$F$6,IF(P108&lt;($F$6-$E$6)/($G$6-$E$6),$E$6+SQRT(P108*($G$6-$E$6)*($F$6-$E$6)),$G$6-SQRT((1-P108)*($G$6-$E$6)*($G$6-$F$6))))</f>
        <v>1.00878921862517</v>
      </c>
      <c r="C108" s="51" t="n">
        <f aca="false">1+IF($G$7=$E$7,$F$7,IF(Q108&lt;($F$7-$E$7)/($G$7-$E$7),$E$7+SQRT(Q108*($G$7-$E$7)*($F$7-$E$7)),$G$7-SQRT((1-Q108)*($G$7-$E$7)*($G$7-$F$7))))</f>
        <v>1.08866579251473</v>
      </c>
      <c r="D108" s="51" t="n">
        <f aca="false">1+IF($G$8=$E$8,$F$8,IF(R108&lt;($F$8-$E$8)/($G$8-$E$8),$E$8+SQRT(R108*($G$8-$E$8)*($F$8-$E$8)),$G$8-SQRT((1-R108)*($G$8-$E$8)*($G$8-$F$8))))</f>
        <v>1.01518303384502</v>
      </c>
      <c r="E108" s="51" t="n">
        <f aca="false">1+IF($G$9=$E$9,$F$9,IF(S108&lt;($F$9-$E$9)/($G$9-$E$9),$E$9+SQRT(S108*($G$9-$E$9)*($F$9-$E$9)),$G$9-SQRT((1-S108)*($G$9-$E$9)*($G$9-$F$9))))</f>
        <v>0.999216921741534</v>
      </c>
      <c r="F108" s="51" t="n">
        <f aca="false">1+IF($G$10=$E$10,$F$10,IF(T108&lt;($F$10-$E$10)/($G$10-$E$10),$E$10+SQRT(T108*($G$10-$E$10)*($F$10-$E$10)),$G$10-SQRT((1-T108)*($G$10-$E$10)*($G$10-$F$10))))</f>
        <v>0.971923676616348</v>
      </c>
      <c r="G108" s="52" t="n">
        <f aca="false">IF($G$11=$E$11,$F$11,IF(U108&lt;($F$11-$E$11)/($G$11-$E$11),$E$11+SQRT(U108*($G$11-$E$11)*($F$11-$E$11)),$G$11-SQRT((1-U108)*($G$11-$E$11)*($G$11-$F$11))))</f>
        <v>0.103398927228498</v>
      </c>
      <c r="H108" s="53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-1943847353.2327</v>
      </c>
      <c r="I108" s="53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37548049.453856</v>
      </c>
      <c r="J108" s="53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371309579.68782</v>
      </c>
      <c r="K108" s="53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753667293.752601</v>
      </c>
      <c r="L108" s="53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902876115.061806</v>
      </c>
      <c r="M108" s="53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1111628493.50017</v>
      </c>
      <c r="N108" s="53" t="n">
        <f aca="false">IF(COUNT('Business Case'!B11:G11)=0,"",H108+NPV(G108,I108:M108))</f>
        <v>244967769.167399</v>
      </c>
      <c r="P108" s="54" t="n">
        <f aca="true">RAND()</f>
        <v>0.797059817911011</v>
      </c>
      <c r="Q108" s="54" t="n">
        <f aca="true">RAND()</f>
        <v>0.928345047469606</v>
      </c>
      <c r="R108" s="54" t="n">
        <f aca="true">RAND()</f>
        <v>0.596034701775444</v>
      </c>
      <c r="S108" s="54" t="n">
        <f aca="true">RAND()</f>
        <v>0.322974051428309</v>
      </c>
      <c r="T108" s="54" t="n">
        <f aca="true">RAND()</f>
        <v>0.0384518077102564</v>
      </c>
      <c r="U108" s="54" t="n">
        <f aca="true">RAND()</f>
        <v>0.540673971392165</v>
      </c>
    </row>
    <row r="109" customFormat="false" ht="15" hidden="false" customHeight="false" outlineLevel="0" collapsed="false">
      <c r="A109" s="50" t="n">
        <v>29</v>
      </c>
      <c r="B109" s="51" t="n">
        <f aca="false">1+IF($G$6=$E$6,$F$6,IF(P109&lt;($F$6-$E$6)/($G$6-$E$6),$E$6+SQRT(P109*($G$6-$E$6)*($F$6-$E$6)),$G$6-SQRT((1-P109)*($G$6-$E$6)*($G$6-$F$6))))</f>
        <v>0.939672823672345</v>
      </c>
      <c r="C109" s="51" t="n">
        <f aca="false">1+IF($G$7=$E$7,$F$7,IF(Q109&lt;($F$7-$E$7)/($G$7-$E$7),$E$7+SQRT(Q109*($G$7-$E$7)*($F$7-$E$7)),$G$7-SQRT((1-Q109)*($G$7-$E$7)*($G$7-$F$7))))</f>
        <v>1.02214754125941</v>
      </c>
      <c r="D109" s="51" t="n">
        <f aca="false">1+IF($G$8=$E$8,$F$8,IF(R109&lt;($F$8-$E$8)/($G$8-$E$8),$E$8+SQRT(R109*($G$8-$E$8)*($F$8-$E$8)),$G$8-SQRT((1-R109)*($G$8-$E$8)*($G$8-$F$8))))</f>
        <v>0.977114845640576</v>
      </c>
      <c r="E109" s="51" t="n">
        <f aca="false">1+IF($G$9=$E$9,$F$9,IF(S109&lt;($F$9-$E$9)/($G$9-$E$9),$E$9+SQRT(S109*($G$9-$E$9)*($F$9-$E$9)),$G$9-SQRT((1-S109)*($G$9-$E$9)*($G$9-$F$9))))</f>
        <v>0.972446014939862</v>
      </c>
      <c r="F109" s="51" t="n">
        <f aca="false">1+IF($G$10=$E$10,$F$10,IF(T109&lt;($F$10-$E$10)/($G$10-$E$10),$E$10+SQRT(T109*($G$10-$E$10)*($F$10-$E$10)),$G$10-SQRT((1-T109)*($G$10-$E$10)*($G$10-$F$10))))</f>
        <v>1.01695468517987</v>
      </c>
      <c r="G109" s="52" t="n">
        <f aca="false">IF($G$11=$E$11,$F$11,IF(U109&lt;($F$11-$E$11)/($G$11-$E$11),$E$11+SQRT(U109*($G$11-$E$11)*($F$11-$E$11)),$G$11-SQRT((1-U109)*($G$11-$E$11)*($G$11-$F$11))))</f>
        <v>0.104843804873833</v>
      </c>
      <c r="H109" s="53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-2033909370.35975</v>
      </c>
      <c r="I109" s="53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-14345961.737564</v>
      </c>
      <c r="J109" s="53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261076872.732558</v>
      </c>
      <c r="K109" s="53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587347441.461674</v>
      </c>
      <c r="L109" s="53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712349389.195215</v>
      </c>
      <c r="M109" s="53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894918238.534464</v>
      </c>
      <c r="N109" s="53" t="n">
        <f aca="false">IF(COUNT('Business Case'!B11:G11)=0,"",H109+NPV(G109,I109:M109))</f>
        <v>-375844258.06067</v>
      </c>
      <c r="P109" s="54" t="n">
        <f aca="true">RAND()</f>
        <v>0.0403145824211639</v>
      </c>
      <c r="Q109" s="54" t="n">
        <f aca="true">RAND()</f>
        <v>0.688642834171161</v>
      </c>
      <c r="R109" s="54" t="n">
        <f aca="true">RAND()</f>
        <v>0.113109977555733</v>
      </c>
      <c r="S109" s="54" t="n">
        <f aca="true">RAND()</f>
        <v>0.0671764782240684</v>
      </c>
      <c r="T109" s="54" t="n">
        <f aca="true">RAND()</f>
        <v>0.329888254448022</v>
      </c>
      <c r="U109" s="54" t="n">
        <f aca="true">RAND()</f>
        <v>0.617149582162591</v>
      </c>
    </row>
    <row r="110" customFormat="false" ht="15" hidden="false" customHeight="false" outlineLevel="0" collapsed="false">
      <c r="A110" s="50" t="n">
        <v>30</v>
      </c>
      <c r="B110" s="51" t="n">
        <f aca="false">1+IF($G$6=$E$6,$F$6,IF(P110&lt;($F$6-$E$6)/($G$6-$E$6),$E$6+SQRT(P110*($G$6-$E$6)*($F$6-$E$6)),$G$6-SQRT((1-P110)*($G$6-$E$6)*($G$6-$F$6))))</f>
        <v>0.977325485527491</v>
      </c>
      <c r="C110" s="51" t="n">
        <f aca="false">1+IF($G$7=$E$7,$F$7,IF(Q110&lt;($F$7-$E$7)/($G$7-$E$7),$E$7+SQRT(Q110*($G$7-$E$7)*($F$7-$E$7)),$G$7-SQRT((1-Q110)*($G$7-$E$7)*($G$7-$F$7))))</f>
        <v>0.908403093064887</v>
      </c>
      <c r="D110" s="51" t="n">
        <f aca="false">1+IF($G$8=$E$8,$F$8,IF(R110&lt;($F$8-$E$8)/($G$8-$E$8),$E$8+SQRT(R110*($G$8-$E$8)*($F$8-$E$8)),$G$8-SQRT((1-R110)*($G$8-$E$8)*($G$8-$F$8))))</f>
        <v>1.01339429890086</v>
      </c>
      <c r="E110" s="51" t="n">
        <f aca="false">1+IF($G$9=$E$9,$F$9,IF(S110&lt;($F$9-$E$9)/($G$9-$E$9),$E$9+SQRT(S110*($G$9-$E$9)*($F$9-$E$9)),$G$9-SQRT((1-S110)*($G$9-$E$9)*($G$9-$F$9))))</f>
        <v>0.983602565491083</v>
      </c>
      <c r="F110" s="51" t="n">
        <f aca="false">1+IF($G$10=$E$10,$F$10,IF(T110&lt;($F$10-$E$10)/($G$10-$E$10),$E$10+SQRT(T110*($G$10-$E$10)*($F$10-$E$10)),$G$10-SQRT((1-T110)*($G$10-$E$10)*($G$10-$F$10))))</f>
        <v>1.02400227292195</v>
      </c>
      <c r="G110" s="52" t="n">
        <f aca="false">IF($G$11=$E$11,$F$11,IF(U110&lt;($F$11-$E$11)/($G$11-$E$11),$E$11+SQRT(U110*($G$11-$E$11)*($F$11-$E$11)),$G$11-SQRT((1-U110)*($G$11-$E$11)*($G$11-$F$11))))</f>
        <v>0.109917086008417</v>
      </c>
      <c r="H110" s="53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-2048004545.84391</v>
      </c>
      <c r="I110" s="53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-32374185.6985273</v>
      </c>
      <c r="J110" s="53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223543977.51612</v>
      </c>
      <c r="K110" s="53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530662254.376864</v>
      </c>
      <c r="L110" s="53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646650866.653844</v>
      </c>
      <c r="M110" s="53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815404934.950383</v>
      </c>
      <c r="N110" s="53" t="n">
        <f aca="false">IF(COUNT('Business Case'!B11:G11)=0,"",H110+NPV(G110,I110:M110))</f>
        <v>-597429444.271372</v>
      </c>
      <c r="P110" s="54" t="n">
        <f aca="true">RAND()</f>
        <v>0.342313676141931</v>
      </c>
      <c r="Q110" s="54" t="n">
        <f aca="true">RAND()</f>
        <v>0.167874722657636</v>
      </c>
      <c r="R110" s="54" t="n">
        <f aca="true">RAND()</f>
        <v>0.573430825105024</v>
      </c>
      <c r="S110" s="54" t="n">
        <f aca="true">RAND()</f>
        <v>0.150550987677673</v>
      </c>
      <c r="T110" s="54" t="n">
        <f aca="true">RAND()</f>
        <v>0.380496001267229</v>
      </c>
      <c r="U110" s="54" t="n">
        <f aca="true">RAND()</f>
        <v>0.830558075730553</v>
      </c>
    </row>
    <row r="111" customFormat="false" ht="15" hidden="false" customHeight="false" outlineLevel="0" collapsed="false">
      <c r="A111" s="50" t="n">
        <v>31</v>
      </c>
      <c r="B111" s="51" t="n">
        <f aca="false">1+IF($G$6=$E$6,$F$6,IF(P111&lt;($F$6-$E$6)/($G$6-$E$6),$E$6+SQRT(P111*($G$6-$E$6)*($F$6-$E$6)),$G$6-SQRT((1-P111)*($G$6-$E$6)*($G$6-$F$6))))</f>
        <v>0.942603740008123</v>
      </c>
      <c r="C111" s="51" t="n">
        <f aca="false">1+IF($G$7=$E$7,$F$7,IF(Q111&lt;($F$7-$E$7)/($G$7-$E$7),$E$7+SQRT(Q111*($G$7-$E$7)*($F$7-$E$7)),$G$7-SQRT((1-Q111)*($G$7-$E$7)*($G$7-$F$7))))</f>
        <v>1.08676204148922</v>
      </c>
      <c r="D111" s="51" t="n">
        <f aca="false">1+IF($G$8=$E$8,$F$8,IF(R111&lt;($F$8-$E$8)/($G$8-$E$8),$E$8+SQRT(R111*($G$8-$E$8)*($F$8-$E$8)),$G$8-SQRT((1-R111)*($G$8-$E$8)*($G$8-$F$8))))</f>
        <v>1.0540042053353</v>
      </c>
      <c r="E111" s="51" t="n">
        <f aca="false">1+IF($G$9=$E$9,$F$9,IF(S111&lt;($F$9-$E$9)/($G$9-$E$9),$E$9+SQRT(S111*($G$9-$E$9)*($F$9-$E$9)),$G$9-SQRT((1-S111)*($G$9-$E$9)*($G$9-$F$9))))</f>
        <v>0.968061316236026</v>
      </c>
      <c r="F111" s="51" t="n">
        <f aca="false">1+IF($G$10=$E$10,$F$10,IF(T111&lt;($F$10-$E$10)/($G$10-$E$10),$E$10+SQRT(T111*($G$10-$E$10)*($F$10-$E$10)),$G$10-SQRT((1-T111)*($G$10-$E$10)*($G$10-$F$10))))</f>
        <v>1.05606195036561</v>
      </c>
      <c r="G111" s="52" t="n">
        <f aca="false">IF($G$11=$E$11,$F$11,IF(U111&lt;($F$11-$E$11)/($G$11-$E$11),$E$11+SQRT(U111*($G$11-$E$11)*($F$11-$E$11)),$G$11-SQRT((1-U111)*($G$11-$E$11)*($G$11-$F$11))))</f>
        <v>0.101950477136415</v>
      </c>
      <c r="H111" s="53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-2112123900.73122</v>
      </c>
      <c r="I111" s="53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-43702487.6212206</v>
      </c>
      <c r="J111" s="53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208963707.378457</v>
      </c>
      <c r="K111" s="53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514432999.896414</v>
      </c>
      <c r="L111" s="53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634057843.840022</v>
      </c>
      <c r="M111" s="53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828773128.03046</v>
      </c>
      <c r="N111" s="53" t="n">
        <f aca="false">IF(COUNT('Business Case'!B11:G11)=0,"",H111+NPV(G111,I111:M111))</f>
        <v>-655167536.018855</v>
      </c>
      <c r="P111" s="54" t="n">
        <f aca="true">RAND()</f>
        <v>0.053221777328627</v>
      </c>
      <c r="Q111" s="54" t="n">
        <f aca="true">RAND()</f>
        <v>0.923827821016925</v>
      </c>
      <c r="R111" s="54" t="n">
        <f aca="true">RAND()</f>
        <v>0.935021024976049</v>
      </c>
      <c r="S111" s="54" t="n">
        <f aca="true">RAND()</f>
        <v>0.0434948192236959</v>
      </c>
      <c r="T111" s="54" t="n">
        <f aca="true">RAND()</f>
        <v>0.58563675734895</v>
      </c>
      <c r="U111" s="54" t="n">
        <f aca="true">RAND()</f>
        <v>0.457024540661553</v>
      </c>
    </row>
    <row r="112" customFormat="false" ht="15" hidden="false" customHeight="false" outlineLevel="0" collapsed="false">
      <c r="A112" s="50" t="n">
        <v>32</v>
      </c>
      <c r="B112" s="51" t="n">
        <f aca="false">1+IF($G$6=$E$6,$F$6,IF(P112&lt;($F$6-$E$6)/($G$6-$E$6),$E$6+SQRT(P112*($G$6-$E$6)*($F$6-$E$6)),$G$6-SQRT((1-P112)*($G$6-$E$6)*($G$6-$F$6))))</f>
        <v>0.994726087604081</v>
      </c>
      <c r="C112" s="51" t="n">
        <f aca="false">1+IF($G$7=$E$7,$F$7,IF(Q112&lt;($F$7-$E$7)/($G$7-$E$7),$E$7+SQRT(Q112*($G$7-$E$7)*($F$7-$E$7)),$G$7-SQRT((1-Q112)*($G$7-$E$7)*($G$7-$F$7))))</f>
        <v>1.03458422740681</v>
      </c>
      <c r="D112" s="51" t="n">
        <f aca="false">1+IF($G$8=$E$8,$F$8,IF(R112&lt;($F$8-$E$8)/($G$8-$E$8),$E$8+SQRT(R112*($G$8-$E$8)*($F$8-$E$8)),$G$8-SQRT((1-R112)*($G$8-$E$8)*($G$8-$F$8))))</f>
        <v>0.95972555964921</v>
      </c>
      <c r="E112" s="51" t="n">
        <f aca="false">1+IF($G$9=$E$9,$F$9,IF(S112&lt;($F$9-$E$9)/($G$9-$E$9),$E$9+SQRT(S112*($G$9-$E$9)*($F$9-$E$9)),$G$9-SQRT((1-S112)*($G$9-$E$9)*($G$9-$F$9))))</f>
        <v>1.00382057036396</v>
      </c>
      <c r="F112" s="51" t="n">
        <f aca="false">1+IF($G$10=$E$10,$F$10,IF(T112&lt;($F$10-$E$10)/($G$10-$E$10),$E$10+SQRT(T112*($G$10-$E$10)*($F$10-$E$10)),$G$10-SQRT((1-T112)*($G$10-$E$10)*($G$10-$F$10))))</f>
        <v>1.00010123824359</v>
      </c>
      <c r="G112" s="52" t="n">
        <f aca="false">IF($G$11=$E$11,$F$11,IF(U112&lt;($F$11-$E$11)/($G$11-$E$11),$E$11+SQRT(U112*($G$11-$E$11)*($F$11-$E$11)),$G$11-SQRT((1-U112)*($G$11-$E$11)*($G$11-$F$11))))</f>
        <v>0.110866810115767</v>
      </c>
      <c r="H112" s="53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-2000202476.48718</v>
      </c>
      <c r="I112" s="53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38532430.9286771</v>
      </c>
      <c r="J112" s="53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373168262.20305</v>
      </c>
      <c r="K112" s="53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757809155.389603</v>
      </c>
      <c r="L112" s="53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904921093.424782</v>
      </c>
      <c r="M112" s="53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1100537728.61525</v>
      </c>
      <c r="N112" s="53" t="n">
        <f aca="false">IF(COUNT('Business Case'!B11:G11)=0,"",H112+NPV(G112,I112:M112))</f>
        <v>134503626.187723</v>
      </c>
      <c r="P112" s="54" t="n">
        <f aca="true">RAND()</f>
        <v>0.581665434230493</v>
      </c>
      <c r="Q112" s="54" t="n">
        <f aca="true">RAND()</f>
        <v>0.746270465461254</v>
      </c>
      <c r="R112" s="54" t="n">
        <f aca="true">RAND()</f>
        <v>0.0145517708446678</v>
      </c>
      <c r="S112" s="54" t="n">
        <f aca="true">RAND()</f>
        <v>0.383301154325784</v>
      </c>
      <c r="T112" s="54" t="n">
        <f aca="true">RAND()</f>
        <v>0.200809700965073</v>
      </c>
      <c r="U112" s="54" t="n">
        <f aca="true">RAND()</f>
        <v>0.860974737564243</v>
      </c>
    </row>
    <row r="113" customFormat="false" ht="15" hidden="false" customHeight="false" outlineLevel="0" collapsed="false">
      <c r="A113" s="50" t="n">
        <v>33</v>
      </c>
      <c r="B113" s="51" t="n">
        <f aca="false">1+IF($G$6=$E$6,$F$6,IF(P113&lt;($F$6-$E$6)/($G$6-$E$6),$E$6+SQRT(P113*($G$6-$E$6)*($F$6-$E$6)),$G$6-SQRT((1-P113)*($G$6-$E$6)*($G$6-$F$6))))</f>
        <v>1.0074711910351</v>
      </c>
      <c r="C113" s="51" t="n">
        <f aca="false">1+IF($G$7=$E$7,$F$7,IF(Q113&lt;($F$7-$E$7)/($G$7-$E$7),$E$7+SQRT(Q113*($G$7-$E$7)*($F$7-$E$7)),$G$7-SQRT((1-Q113)*($G$7-$E$7)*($G$7-$F$7))))</f>
        <v>0.928991370562186</v>
      </c>
      <c r="D113" s="51" t="n">
        <f aca="false">1+IF($G$8=$E$8,$F$8,IF(R113&lt;($F$8-$E$8)/($G$8-$E$8),$E$8+SQRT(R113*($G$8-$E$8)*($F$8-$E$8)),$G$8-SQRT((1-R113)*($G$8-$E$8)*($G$8-$F$8))))</f>
        <v>0.996707736724545</v>
      </c>
      <c r="E113" s="51" t="n">
        <f aca="false">1+IF($G$9=$E$9,$F$9,IF(S113&lt;($F$9-$E$9)/($G$9-$E$9),$E$9+SQRT(S113*($G$9-$E$9)*($F$9-$E$9)),$G$9-SQRT((1-S113)*($G$9-$E$9)*($G$9-$F$9))))</f>
        <v>1.07529277311042</v>
      </c>
      <c r="F113" s="51" t="n">
        <f aca="false">1+IF($G$10=$E$10,$F$10,IF(T113&lt;($F$10-$E$10)/($G$10-$E$10),$E$10+SQRT(T113*($G$10-$E$10)*($F$10-$E$10)),$G$10-SQRT((1-T113)*($G$10-$E$10)*($G$10-$F$10))))</f>
        <v>1.08107537601305</v>
      </c>
      <c r="G113" s="52" t="n">
        <f aca="false">IF($G$11=$E$11,$F$11,IF(U113&lt;($F$11-$E$11)/($G$11-$E$11),$E$11+SQRT(U113*($G$11-$E$11)*($F$11-$E$11)),$G$11-SQRT((1-U113)*($G$11-$E$11)*($G$11-$F$11))))</f>
        <v>0.0962006313028931</v>
      </c>
      <c r="H113" s="53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-2162150752.02609</v>
      </c>
      <c r="I113" s="53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-16940720.2595732</v>
      </c>
      <c r="J113" s="53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275651446.504854</v>
      </c>
      <c r="K113" s="53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622297382.069934</v>
      </c>
      <c r="L113" s="53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752173915.715672</v>
      </c>
      <c r="M113" s="53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930075878.365783</v>
      </c>
      <c r="N113" s="53" t="n">
        <f aca="false">IF(COUNT('Business Case'!B11:G11)=0,"",H113+NPV(G113,I113:M113))</f>
        <v>-367306258.628034</v>
      </c>
      <c r="P113" s="54" t="n">
        <f aca="true">RAND()</f>
        <v>0.77955762235937</v>
      </c>
      <c r="Q113" s="54" t="n">
        <f aca="true">RAND()</f>
        <v>0.237696766850158</v>
      </c>
      <c r="R113" s="54" t="n">
        <f aca="true">RAND()</f>
        <v>0.335632718450674</v>
      </c>
      <c r="S113" s="54" t="n">
        <f aca="true">RAND()</f>
        <v>0.959303529295119</v>
      </c>
      <c r="T113" s="54" t="n">
        <f aca="true">RAND()</f>
        <v>0.717138676191236</v>
      </c>
      <c r="U113" s="54" t="n">
        <f aca="true">RAND()</f>
        <v>0.128159428514726</v>
      </c>
    </row>
    <row r="114" customFormat="false" ht="15" hidden="false" customHeight="false" outlineLevel="0" collapsed="false">
      <c r="A114" s="50" t="n">
        <v>34</v>
      </c>
      <c r="B114" s="51" t="n">
        <f aca="false">1+IF($G$6=$E$6,$F$6,IF(P114&lt;($F$6-$E$6)/($G$6-$E$6),$E$6+SQRT(P114*($G$6-$E$6)*($F$6-$E$6)),$G$6-SQRT((1-P114)*($G$6-$E$6)*($G$6-$F$6))))</f>
        <v>1.02660638948574</v>
      </c>
      <c r="C114" s="51" t="n">
        <f aca="false">1+IF($G$7=$E$7,$F$7,IF(Q114&lt;($F$7-$E$7)/($G$7-$E$7),$E$7+SQRT(Q114*($G$7-$E$7)*($F$7-$E$7)),$G$7-SQRT((1-Q114)*($G$7-$E$7)*($G$7-$F$7))))</f>
        <v>0.864329067876897</v>
      </c>
      <c r="D114" s="51" t="n">
        <f aca="false">1+IF($G$8=$E$8,$F$8,IF(R114&lt;($F$8-$E$8)/($G$8-$E$8),$E$8+SQRT(R114*($G$8-$E$8)*($F$8-$E$8)),$G$8-SQRT((1-R114)*($G$8-$E$8)*($G$8-$F$8))))</f>
        <v>1.04377073272421</v>
      </c>
      <c r="E114" s="51" t="n">
        <f aca="false">1+IF($G$9=$E$9,$F$9,IF(S114&lt;($F$9-$E$9)/($G$9-$E$9),$E$9+SQRT(S114*($G$9-$E$9)*($F$9-$E$9)),$G$9-SQRT((1-S114)*($G$9-$E$9)*($G$9-$F$9))))</f>
        <v>0.989770304305558</v>
      </c>
      <c r="F114" s="51" t="n">
        <f aca="false">1+IF($G$10=$E$10,$F$10,IF(T114&lt;($F$10-$E$10)/($G$10-$E$10),$E$10+SQRT(T114*($G$10-$E$10)*($F$10-$E$10)),$G$10-SQRT((1-T114)*($G$10-$E$10)*($G$10-$F$10))))</f>
        <v>1.08815525856273</v>
      </c>
      <c r="G114" s="52" t="n">
        <f aca="false">IF($G$11=$E$11,$F$11,IF(U114&lt;($F$11-$E$11)/($G$11-$E$11),$E$11+SQRT(U114*($G$11-$E$11)*($F$11-$E$11)),$G$11-SQRT((1-U114)*($G$11-$E$11)*($G$11-$F$11))))</f>
        <v>0.10338714356386</v>
      </c>
      <c r="H114" s="53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-2176310517.12545</v>
      </c>
      <c r="I114" s="53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-30610614.0870683</v>
      </c>
      <c r="J114" s="53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234338601.507829</v>
      </c>
      <c r="K114" s="53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553695580.030863</v>
      </c>
      <c r="L114" s="53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672677962.931458</v>
      </c>
      <c r="M114" s="53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841340840.294083</v>
      </c>
      <c r="N114" s="53" t="n">
        <f aca="false">IF(COUNT('Business Case'!B11:G11)=0,"",H114+NPV(G114,I114:M114))</f>
        <v>-631121865.509049</v>
      </c>
      <c r="P114" s="54" t="n">
        <f aca="true">RAND()</f>
        <v>0.962627332790067</v>
      </c>
      <c r="Q114" s="54" t="n">
        <f aca="true">RAND()</f>
        <v>0.0591175567701481</v>
      </c>
      <c r="R114" s="54" t="n">
        <f aca="true">RAND()</f>
        <v>0.87379232621723</v>
      </c>
      <c r="S114" s="54" t="n">
        <f aca="true">RAND()</f>
        <v>0.210890280607556</v>
      </c>
      <c r="T114" s="54" t="n">
        <f aca="true">RAND()</f>
        <v>0.749815076256587</v>
      </c>
      <c r="U114" s="54" t="n">
        <f aca="true">RAND()</f>
        <v>0.540021668386994</v>
      </c>
    </row>
    <row r="115" customFormat="false" ht="15" hidden="false" customHeight="false" outlineLevel="0" collapsed="false">
      <c r="A115" s="50" t="n">
        <v>35</v>
      </c>
      <c r="B115" s="51" t="n">
        <f aca="false">1+IF($G$6=$E$6,$F$6,IF(P115&lt;($F$6-$E$6)/($G$6-$E$6),$E$6+SQRT(P115*($G$6-$E$6)*($F$6-$E$6)),$G$6-SQRT((1-P115)*($G$6-$E$6)*($G$6-$F$6))))</f>
        <v>0.96591181999287</v>
      </c>
      <c r="C115" s="51" t="n">
        <f aca="false">1+IF($G$7=$E$7,$F$7,IF(Q115&lt;($F$7-$E$7)/($G$7-$E$7),$E$7+SQRT(Q115*($G$7-$E$7)*($F$7-$E$7)),$G$7-SQRT((1-Q115)*($G$7-$E$7)*($G$7-$F$7))))</f>
        <v>0.950364534710313</v>
      </c>
      <c r="D115" s="51" t="n">
        <f aca="false">1+IF($G$8=$E$8,$F$8,IF(R115&lt;($F$8-$E$8)/($G$8-$E$8),$E$8+SQRT(R115*($G$8-$E$8)*($F$8-$E$8)),$G$8-SQRT((1-R115)*($G$8-$E$8)*($G$8-$F$8))))</f>
        <v>1.00933911716329</v>
      </c>
      <c r="E115" s="51" t="n">
        <f aca="false">1+IF($G$9=$E$9,$F$9,IF(S115&lt;($F$9-$E$9)/($G$9-$E$9),$E$9+SQRT(S115*($G$9-$E$9)*($F$9-$E$9)),$G$9-SQRT((1-S115)*($G$9-$E$9)*($G$9-$F$9))))</f>
        <v>1.06097318983072</v>
      </c>
      <c r="F115" s="51" t="n">
        <f aca="false">1+IF($G$10=$E$10,$F$10,IF(T115&lt;($F$10-$E$10)/($G$10-$E$10),$E$10+SQRT(T115*($G$10-$E$10)*($F$10-$E$10)),$G$10-SQRT((1-T115)*($G$10-$E$10)*($G$10-$F$10))))</f>
        <v>1.095330587663</v>
      </c>
      <c r="G115" s="52" t="n">
        <f aca="false">IF($G$11=$E$11,$F$11,IF(U115&lt;($F$11-$E$11)/($G$11-$E$11),$E$11+SQRT(U115*($G$11-$E$11)*($F$11-$E$11)),$G$11-SQRT((1-U115)*($G$11-$E$11)*($G$11-$F$11))))</f>
        <v>0.109835719438275</v>
      </c>
      <c r="H115" s="53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-2190661175.326</v>
      </c>
      <c r="I115" s="53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-47162955.1577235</v>
      </c>
      <c r="J115" s="53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213665014.654494</v>
      </c>
      <c r="K115" s="53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529259513.849861</v>
      </c>
      <c r="L115" s="53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647927156.193742</v>
      </c>
      <c r="M115" s="53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822414577.762688</v>
      </c>
      <c r="N115" s="53" t="n">
        <f aca="false">IF(COUNT('Business Case'!B11:G11)=0,"",H115+NPV(G115,I115:M115))</f>
        <v>-757041277.681342</v>
      </c>
      <c r="P115" s="54" t="n">
        <f aca="true">RAND()</f>
        <v>0.219572418235176</v>
      </c>
      <c r="Q115" s="54" t="n">
        <f aca="true">RAND()</f>
        <v>0.32299276140927</v>
      </c>
      <c r="R115" s="54" t="n">
        <f aca="true">RAND()</f>
        <v>0.519907657378533</v>
      </c>
      <c r="S115" s="54" t="n">
        <f aca="true">RAND()</f>
        <v>0.898460539200724</v>
      </c>
      <c r="T115" s="54" t="n">
        <f aca="true">RAND()</f>
        <v>0.780886282420539</v>
      </c>
      <c r="U115" s="54" t="n">
        <f aca="true">RAND()</f>
        <v>0.827812334437567</v>
      </c>
    </row>
    <row r="116" customFormat="false" ht="15" hidden="false" customHeight="false" outlineLevel="0" collapsed="false">
      <c r="A116" s="50" t="n">
        <v>36</v>
      </c>
      <c r="B116" s="51" t="n">
        <f aca="false">1+IF($G$6=$E$6,$F$6,IF(P116&lt;($F$6-$E$6)/($G$6-$E$6),$E$6+SQRT(P116*($G$6-$E$6)*($F$6-$E$6)),$G$6-SQRT((1-P116)*($G$6-$E$6)*($G$6-$F$6))))</f>
        <v>0.99301457045087</v>
      </c>
      <c r="C116" s="51" t="n">
        <f aca="false">1+IF($G$7=$E$7,$F$7,IF(Q116&lt;($F$7-$E$7)/($G$7-$E$7),$E$7+SQRT(Q116*($G$7-$E$7)*($F$7-$E$7)),$G$7-SQRT((1-Q116)*($G$7-$E$7)*($G$7-$F$7))))</f>
        <v>0.961328055429937</v>
      </c>
      <c r="D116" s="51" t="n">
        <f aca="false">1+IF($G$8=$E$8,$F$8,IF(R116&lt;($F$8-$E$8)/($G$8-$E$8),$E$8+SQRT(R116*($G$8-$E$8)*($F$8-$E$8)),$G$8-SQRT((1-R116)*($G$8-$E$8)*($G$8-$F$8))))</f>
        <v>1.03445039441944</v>
      </c>
      <c r="E116" s="51" t="n">
        <f aca="false">1+IF($G$9=$E$9,$F$9,IF(S116&lt;($F$9-$E$9)/($G$9-$E$9),$E$9+SQRT(S116*($G$9-$E$9)*($F$9-$E$9)),$G$9-SQRT((1-S116)*($G$9-$E$9)*($G$9-$F$9))))</f>
        <v>1.01188934759342</v>
      </c>
      <c r="F116" s="51" t="n">
        <f aca="false">1+IF($G$10=$E$10,$F$10,IF(T116&lt;($F$10-$E$10)/($G$10-$E$10),$E$10+SQRT(T116*($G$10-$E$10)*($F$10-$E$10)),$G$10-SQRT((1-T116)*($G$10-$E$10)*($G$10-$F$10))))</f>
        <v>1.00649285191096</v>
      </c>
      <c r="G116" s="52" t="n">
        <f aca="false">IF($G$11=$E$11,$F$11,IF(U116&lt;($F$11-$E$11)/($G$11-$E$11),$E$11+SQRT(U116*($G$11-$E$11)*($F$11-$E$11)),$G$11-SQRT((1-U116)*($G$11-$E$11)*($G$11-$F$11))))</f>
        <v>0.111009100627522</v>
      </c>
      <c r="H116" s="53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-2012985703.82191</v>
      </c>
      <c r="I116" s="53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-21207380.3072564</v>
      </c>
      <c r="J116" s="53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251612315.595109</v>
      </c>
      <c r="K116" s="53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574756654.093023</v>
      </c>
      <c r="L116" s="53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698687969.920973</v>
      </c>
      <c r="M116" s="53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880140764.487029</v>
      </c>
      <c r="N116" s="53" t="n">
        <f aca="false">IF(COUNT('Business Case'!B11:G11)=0,"",H116+NPV(G116,I116:M116))</f>
        <v>-430587149.358263</v>
      </c>
      <c r="P116" s="54" t="n">
        <f aca="true">RAND()</f>
        <v>0.555325781054691</v>
      </c>
      <c r="Q116" s="54" t="n">
        <f aca="true">RAND()</f>
        <v>0.371810592411495</v>
      </c>
      <c r="R116" s="54" t="n">
        <f aca="true">RAND()</f>
        <v>0.800503214563014</v>
      </c>
      <c r="S116" s="54" t="n">
        <f aca="true">RAND()</f>
        <v>0.482434195499082</v>
      </c>
      <c r="T116" s="54" t="n">
        <f aca="true">RAND()</f>
        <v>0.25109967276889</v>
      </c>
      <c r="U116" s="54" t="n">
        <f aca="true">RAND()</f>
        <v>0.865272880789971</v>
      </c>
    </row>
    <row r="117" customFormat="false" ht="15" hidden="false" customHeight="false" outlineLevel="0" collapsed="false">
      <c r="A117" s="50" t="n">
        <v>37</v>
      </c>
      <c r="B117" s="51" t="n">
        <f aca="false">1+IF($G$6=$E$6,$F$6,IF(P117&lt;($F$6-$E$6)/($G$6-$E$6),$E$6+SQRT(P117*($G$6-$E$6)*($F$6-$E$6)),$G$6-SQRT((1-P117)*($G$6-$E$6)*($G$6-$F$6))))</f>
        <v>1.00857502148064</v>
      </c>
      <c r="C117" s="51" t="n">
        <f aca="false">1+IF($G$7=$E$7,$F$7,IF(Q117&lt;($F$7-$E$7)/($G$7-$E$7),$E$7+SQRT(Q117*($G$7-$E$7)*($F$7-$E$7)),$G$7-SQRT((1-Q117)*($G$7-$E$7)*($G$7-$F$7))))</f>
        <v>1.00401514449801</v>
      </c>
      <c r="D117" s="51" t="n">
        <f aca="false">1+IF($G$8=$E$8,$F$8,IF(R117&lt;($F$8-$E$8)/($G$8-$E$8),$E$8+SQRT(R117*($G$8-$E$8)*($F$8-$E$8)),$G$8-SQRT((1-R117)*($G$8-$E$8)*($G$8-$F$8))))</f>
        <v>1.03402561689923</v>
      </c>
      <c r="E117" s="51" t="n">
        <f aca="false">1+IF($G$9=$E$9,$F$9,IF(S117&lt;($F$9-$E$9)/($G$9-$E$9),$E$9+SQRT(S117*($G$9-$E$9)*($F$9-$E$9)),$G$9-SQRT((1-S117)*($G$9-$E$9)*($G$9-$F$9))))</f>
        <v>1.02499655396794</v>
      </c>
      <c r="F117" s="51" t="n">
        <f aca="false">1+IF($G$10=$E$10,$F$10,IF(T117&lt;($F$10-$E$10)/($G$10-$E$10),$E$10+SQRT(T117*($G$10-$E$10)*($F$10-$E$10)),$G$10-SQRT((1-T117)*($G$10-$E$10)*($G$10-$F$10))))</f>
        <v>0.976445169331369</v>
      </c>
      <c r="G117" s="52" t="n">
        <f aca="false">IF($G$11=$E$11,$F$11,IF(U117&lt;($F$11-$E$11)/($G$11-$E$11),$E$11+SQRT(U117*($G$11-$E$11)*($F$11-$E$11)),$G$11-SQRT((1-U117)*($G$11-$E$11)*($G$11-$F$11))))</f>
        <v>0.112791453477592</v>
      </c>
      <c r="H117" s="53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-1952890338.66274</v>
      </c>
      <c r="I117" s="53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2055203.13387515</v>
      </c>
      <c r="J117" s="53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300003892.228086</v>
      </c>
      <c r="K117" s="53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646774839.788865</v>
      </c>
      <c r="L117" s="53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781087375.52224</v>
      </c>
      <c r="M117" s="53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973567058.716417</v>
      </c>
      <c r="N117" s="53" t="n">
        <f aca="false">IF(COUNT('Business Case'!B11:G11)=0,"",H117+NPV(G117,I117:M117))</f>
        <v>-159470138.24222</v>
      </c>
      <c r="P117" s="54" t="n">
        <f aca="true">RAND()</f>
        <v>0.794264734386991</v>
      </c>
      <c r="Q117" s="54" t="n">
        <f aca="true">RAND()</f>
        <v>0.594065180267852</v>
      </c>
      <c r="R117" s="54" t="n">
        <f aca="true">RAND()</f>
        <v>0.796765009471505</v>
      </c>
      <c r="S117" s="54" t="n">
        <f aca="true">RAND()</f>
        <v>0.624965538887729</v>
      </c>
      <c r="T117" s="54" t="n">
        <f aca="true">RAND()</f>
        <v>0.0559477584771812</v>
      </c>
      <c r="U117" s="54" t="n">
        <f aca="true">RAND()</f>
        <v>0.91339476172381</v>
      </c>
    </row>
    <row r="118" customFormat="false" ht="15" hidden="false" customHeight="false" outlineLevel="0" collapsed="false">
      <c r="A118" s="50" t="n">
        <v>38</v>
      </c>
      <c r="B118" s="51" t="n">
        <f aca="false">1+IF($G$6=$E$6,$F$6,IF(P118&lt;($F$6-$E$6)/($G$6-$E$6),$E$6+SQRT(P118*($G$6-$E$6)*($F$6-$E$6)),$G$6-SQRT((1-P118)*($G$6-$E$6)*($G$6-$F$6))))</f>
        <v>1.02741032519579</v>
      </c>
      <c r="C118" s="51" t="n">
        <f aca="false">1+IF($G$7=$E$7,$F$7,IF(Q118&lt;($F$7-$E$7)/($G$7-$E$7),$E$7+SQRT(Q118*($G$7-$E$7)*($F$7-$E$7)),$G$7-SQRT((1-Q118)*($G$7-$E$7)*($G$7-$F$7))))</f>
        <v>0.914914986793872</v>
      </c>
      <c r="D118" s="51" t="n">
        <f aca="false">1+IF($G$8=$E$8,$F$8,IF(R118&lt;($F$8-$E$8)/($G$8-$E$8),$E$8+SQRT(R118*($G$8-$E$8)*($F$8-$E$8)),$G$8-SQRT((1-R118)*($G$8-$E$8)*($G$8-$F$8))))</f>
        <v>0.984441971152391</v>
      </c>
      <c r="E118" s="51" t="n">
        <f aca="false">1+IF($G$9=$E$9,$F$9,IF(S118&lt;($F$9-$E$9)/($G$9-$E$9),$E$9+SQRT(S118*($G$9-$E$9)*($F$9-$E$9)),$G$9-SQRT((1-S118)*($G$9-$E$9)*($G$9-$F$9))))</f>
        <v>1.03417765622892</v>
      </c>
      <c r="F118" s="51" t="n">
        <f aca="false">1+IF($G$10=$E$10,$F$10,IF(T118&lt;($F$10-$E$10)/($G$10-$E$10),$E$10+SQRT(T118*($G$10-$E$10)*($F$10-$E$10)),$G$10-SQRT((1-T118)*($G$10-$E$10)*($G$10-$F$10))))</f>
        <v>1.15975824043763</v>
      </c>
      <c r="G118" s="52" t="n">
        <f aca="false">IF($G$11=$E$11,$F$11,IF(U118&lt;($F$11-$E$11)/($G$11-$E$11),$E$11+SQRT(U118*($G$11-$E$11)*($F$11-$E$11)),$G$11-SQRT((1-U118)*($G$11-$E$11)*($G$11-$F$11))))</f>
        <v>0.102403154560121</v>
      </c>
      <c r="H118" s="53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-2319516480.87527</v>
      </c>
      <c r="I118" s="53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-2919568.12572807</v>
      </c>
      <c r="J118" s="53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305925993.025038</v>
      </c>
      <c r="K118" s="53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672759466.197687</v>
      </c>
      <c r="L118" s="53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808194148.259261</v>
      </c>
      <c r="M118" s="53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986868037.488185</v>
      </c>
      <c r="N118" s="53" t="n">
        <f aca="false">IF(COUNT('Business Case'!B11:G11)=0,"",H118+NPV(G118,I118:M118))</f>
        <v>-414951372.030219</v>
      </c>
      <c r="P118" s="54" t="n">
        <f aca="true">RAND()</f>
        <v>0.966979185067546</v>
      </c>
      <c r="Q118" s="54" t="n">
        <f aca="true">RAND()</f>
        <v>0.188649345569081</v>
      </c>
      <c r="R118" s="54" t="n">
        <f aca="true">RAND()</f>
        <v>0.182499904132634</v>
      </c>
      <c r="S118" s="54" t="n">
        <f aca="true">RAND()</f>
        <v>0.711161270698761</v>
      </c>
      <c r="T118" s="54" t="n">
        <f aca="true">RAND()</f>
        <v>0.967612015746492</v>
      </c>
      <c r="U118" s="54" t="n">
        <f aca="true">RAND()</f>
        <v>0.483918384275029</v>
      </c>
    </row>
    <row r="119" customFormat="false" ht="15" hidden="false" customHeight="false" outlineLevel="0" collapsed="false">
      <c r="A119" s="50" t="n">
        <v>39</v>
      </c>
      <c r="B119" s="51" t="n">
        <f aca="false">1+IF($G$6=$E$6,$F$6,IF(P119&lt;($F$6-$E$6)/($G$6-$E$6),$E$6+SQRT(P119*($G$6-$E$6)*($F$6-$E$6)),$G$6-SQRT((1-P119)*($G$6-$E$6)*($G$6-$F$6))))</f>
        <v>1.0030162270149</v>
      </c>
      <c r="C119" s="51" t="n">
        <f aca="false">1+IF($G$7=$E$7,$F$7,IF(Q119&lt;($F$7-$E$7)/($G$7-$E$7),$E$7+SQRT(Q119*($G$7-$E$7)*($F$7-$E$7)),$G$7-SQRT((1-Q119)*($G$7-$E$7)*($G$7-$F$7))))</f>
        <v>0.874244163156544</v>
      </c>
      <c r="D119" s="51" t="n">
        <f aca="false">1+IF($G$8=$E$8,$F$8,IF(R119&lt;($F$8-$E$8)/($G$8-$E$8),$E$8+SQRT(R119*($G$8-$E$8)*($F$8-$E$8)),$G$8-SQRT((1-R119)*($G$8-$E$8)*($G$8-$F$8))))</f>
        <v>1.05545236564558</v>
      </c>
      <c r="E119" s="51" t="n">
        <f aca="false">1+IF($G$9=$E$9,$F$9,IF(S119&lt;($F$9-$E$9)/($G$9-$E$9),$E$9+SQRT(S119*($G$9-$E$9)*($F$9-$E$9)),$G$9-SQRT((1-S119)*($G$9-$E$9)*($G$9-$F$9))))</f>
        <v>1.03934333823687</v>
      </c>
      <c r="F119" s="51" t="n">
        <f aca="false">1+IF($G$10=$E$10,$F$10,IF(T119&lt;($F$10-$E$10)/($G$10-$E$10),$E$10+SQRT(T119*($G$10-$E$10)*($F$10-$E$10)),$G$10-SQRT((1-T119)*($G$10-$E$10)*($G$10-$F$10))))</f>
        <v>1.02009494879623</v>
      </c>
      <c r="G119" s="52" t="n">
        <f aca="false">IF($G$11=$E$11,$F$11,IF(U119&lt;($F$11-$E$11)/($G$11-$E$11),$E$11+SQRT(U119*($G$11-$E$11)*($F$11-$E$11)),$G$11-SQRT((1-U119)*($G$11-$E$11)*($G$11-$F$11))))</f>
        <v>0.0935079853816083</v>
      </c>
      <c r="H119" s="53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-2040189897.59246</v>
      </c>
      <c r="I119" s="53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-49393285.3312063</v>
      </c>
      <c r="J119" s="53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196475062.206362</v>
      </c>
      <c r="K119" s="53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493348157.183743</v>
      </c>
      <c r="L119" s="53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605609283.224178</v>
      </c>
      <c r="M119" s="53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772286839.294364</v>
      </c>
      <c r="N119" s="53" t="n">
        <f aca="false">IF(COUNT('Business Case'!B11:G11)=0,"",H119+NPV(G119,I119:M119))</f>
        <v>-626265019.680913</v>
      </c>
      <c r="P119" s="54" t="n">
        <f aca="true">RAND()</f>
        <v>0.715041778288916</v>
      </c>
      <c r="Q119" s="54" t="n">
        <f aca="true">RAND()</f>
        <v>0.0787456537545073</v>
      </c>
      <c r="R119" s="54" t="n">
        <f aca="true">RAND()</f>
        <v>0.942059004577103</v>
      </c>
      <c r="S119" s="54" t="n">
        <f aca="true">RAND()</f>
        <v>0.754717958916893</v>
      </c>
      <c r="T119" s="54" t="n">
        <f aca="true">RAND()</f>
        <v>0.352683451027364</v>
      </c>
      <c r="U119" s="54" t="n">
        <f aca="true">RAND()</f>
        <v>0.0410198714585904</v>
      </c>
    </row>
    <row r="120" customFormat="false" ht="15" hidden="false" customHeight="false" outlineLevel="0" collapsed="false">
      <c r="A120" s="50" t="n">
        <v>40</v>
      </c>
      <c r="B120" s="51" t="n">
        <f aca="false">1+IF($G$6=$E$6,$F$6,IF(P120&lt;($F$6-$E$6)/($G$6-$E$6),$E$6+SQRT(P120*($G$6-$E$6)*($F$6-$E$6)),$G$6-SQRT((1-P120)*($G$6-$E$6)*($G$6-$F$6))))</f>
        <v>0.971211612628713</v>
      </c>
      <c r="C120" s="51" t="n">
        <f aca="false">1+IF($G$7=$E$7,$F$7,IF(Q120&lt;($F$7-$E$7)/($G$7-$E$7),$E$7+SQRT(Q120*($G$7-$E$7)*($F$7-$E$7)),$G$7-SQRT((1-Q120)*($G$7-$E$7)*($G$7-$F$7))))</f>
        <v>1.04966450851559</v>
      </c>
      <c r="D120" s="51" t="n">
        <f aca="false">1+IF($G$8=$E$8,$F$8,IF(R120&lt;($F$8-$E$8)/($G$8-$E$8),$E$8+SQRT(R120*($G$8-$E$8)*($F$8-$E$8)),$G$8-SQRT((1-R120)*($G$8-$E$8)*($G$8-$F$8))))</f>
        <v>0.995131349014342</v>
      </c>
      <c r="E120" s="51" t="n">
        <f aca="false">1+IF($G$9=$E$9,$F$9,IF(S120&lt;($F$9-$E$9)/($G$9-$E$9),$E$9+SQRT(S120*($G$9-$E$9)*($F$9-$E$9)),$G$9-SQRT((1-S120)*($G$9-$E$9)*($G$9-$F$9))))</f>
        <v>1.00405498899954</v>
      </c>
      <c r="F120" s="51" t="n">
        <f aca="false">1+IF($G$10=$E$10,$F$10,IF(T120&lt;($F$10-$E$10)/($G$10-$E$10),$E$10+SQRT(T120*($G$10-$E$10)*($F$10-$E$10)),$G$10-SQRT((1-T120)*($G$10-$E$10)*($G$10-$F$10))))</f>
        <v>1.00785393928773</v>
      </c>
      <c r="G120" s="52" t="n">
        <f aca="false">IF($G$11=$E$11,$F$11,IF(U120&lt;($F$11-$E$11)/($G$11-$E$11),$E$11+SQRT(U120*($G$11-$E$11)*($F$11-$E$11)),$G$11-SQRT((1-U120)*($G$11-$E$11)*($G$11-$F$11))))</f>
        <v>0.105204769683843</v>
      </c>
      <c r="H120" s="53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-2015707878.57546</v>
      </c>
      <c r="I120" s="53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3861742.77593409</v>
      </c>
      <c r="J120" s="53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304133598.220566</v>
      </c>
      <c r="K120" s="53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654798150.629585</v>
      </c>
      <c r="L120" s="53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790120835.313923</v>
      </c>
      <c r="M120" s="53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983897199.42929</v>
      </c>
      <c r="N120" s="53" t="n">
        <f aca="false">IF(COUNT('Business Case'!B11:G11)=0,"",H120+NPV(G120,I120:M120))</f>
        <v>-151942251.603443</v>
      </c>
      <c r="P120" s="54" t="n">
        <f aca="true">RAND()</f>
        <v>0.273190548753478</v>
      </c>
      <c r="Q120" s="54" t="n">
        <f aca="true">RAND()</f>
        <v>0.808243602830116</v>
      </c>
      <c r="R120" s="54" t="n">
        <f aca="true">RAND()</f>
        <v>0.31335979443913</v>
      </c>
      <c r="S120" s="54" t="n">
        <f aca="true">RAND()</f>
        <v>0.386303657608079</v>
      </c>
      <c r="T120" s="54" t="n">
        <f aca="true">RAND()</f>
        <v>0.261597827055136</v>
      </c>
      <c r="U120" s="54" t="n">
        <f aca="true">RAND()</f>
        <v>0.635168599819759</v>
      </c>
    </row>
    <row r="121" customFormat="false" ht="15" hidden="false" customHeight="false" outlineLevel="0" collapsed="false">
      <c r="A121" s="50" t="n">
        <v>41</v>
      </c>
      <c r="B121" s="51" t="n">
        <f aca="false">1+IF($G$6=$E$6,$F$6,IF(P121&lt;($F$6-$E$6)/($G$6-$E$6),$E$6+SQRT(P121*($G$6-$E$6)*($F$6-$E$6)),$G$6-SQRT((1-P121)*($G$6-$E$6)*($G$6-$F$6))))</f>
        <v>1.03932587213019</v>
      </c>
      <c r="C121" s="51" t="n">
        <f aca="false">1+IF($G$7=$E$7,$F$7,IF(Q121&lt;($F$7-$E$7)/($G$7-$E$7),$E$7+SQRT(Q121*($G$7-$E$7)*($F$7-$E$7)),$G$7-SQRT((1-Q121)*($G$7-$E$7)*($G$7-$F$7))))</f>
        <v>1.0910566444821</v>
      </c>
      <c r="D121" s="51" t="n">
        <f aca="false">1+IF($G$8=$E$8,$F$8,IF(R121&lt;($F$8-$E$8)/($G$8-$E$8),$E$8+SQRT(R121*($G$8-$E$8)*($F$8-$E$8)),$G$8-SQRT((1-R121)*($G$8-$E$8)*($G$8-$F$8))))</f>
        <v>0.985207437660689</v>
      </c>
      <c r="E121" s="51" t="n">
        <f aca="false">1+IF($G$9=$E$9,$F$9,IF(S121&lt;($F$9-$E$9)/($G$9-$E$9),$E$9+SQRT(S121*($G$9-$E$9)*($F$9-$E$9)),$G$9-SQRT((1-S121)*($G$9-$E$9)*($G$9-$F$9))))</f>
        <v>0.963217169757179</v>
      </c>
      <c r="F121" s="51" t="n">
        <f aca="false">1+IF($G$10=$E$10,$F$10,IF(T121&lt;($F$10-$E$10)/($G$10-$E$10),$E$10+SQRT(T121*($G$10-$E$10)*($F$10-$E$10)),$G$10-SQRT((1-T121)*($G$10-$E$10)*($G$10-$F$10))))</f>
        <v>0.999367733319917</v>
      </c>
      <c r="G121" s="52" t="n">
        <f aca="false">IF($G$11=$E$11,$F$11,IF(U121&lt;($F$11-$E$11)/($G$11-$E$11),$E$11+SQRT(U121*($G$11-$E$11)*($F$11-$E$11)),$G$11-SQRT((1-U121)*($G$11-$E$11)*($G$11-$F$11))))</f>
        <v>0.0988878268746038</v>
      </c>
      <c r="H121" s="53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-1998735466.63983</v>
      </c>
      <c r="I121" s="53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82835178.7306535</v>
      </c>
      <c r="J121" s="53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461361274.914628</v>
      </c>
      <c r="K121" s="53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889855757.764598</v>
      </c>
      <c r="L121" s="53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1055220898.21383</v>
      </c>
      <c r="M121" s="53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1270764661.01398</v>
      </c>
      <c r="N121" s="53" t="n">
        <f aca="false">IF(COUNT('Business Case'!B11:G11)=0,"",H121+NPV(G121,I121:M121))</f>
        <v>645999912.151508</v>
      </c>
      <c r="P121" s="54" t="n">
        <f aca="true">RAND()</f>
        <v>0.999905323253156</v>
      </c>
      <c r="Q121" s="54" t="n">
        <f aca="true">RAND()</f>
        <v>0.933822492196011</v>
      </c>
      <c r="R121" s="54" t="n">
        <f aca="true">RAND()</f>
        <v>0.190702102558662</v>
      </c>
      <c r="S121" s="54" t="n">
        <f aca="true">RAND()</f>
        <v>0.0232924768520116</v>
      </c>
      <c r="T121" s="54" t="n">
        <f aca="true">RAND()</f>
        <v>0.194973847451718</v>
      </c>
      <c r="U121" s="54" t="n">
        <f aca="true">RAND()</f>
        <v>0.263311555176433</v>
      </c>
    </row>
    <row r="122" customFormat="false" ht="15" hidden="false" customHeight="false" outlineLevel="0" collapsed="false">
      <c r="A122" s="50" t="n">
        <v>42</v>
      </c>
      <c r="B122" s="51" t="n">
        <f aca="false">1+IF($G$6=$E$6,$F$6,IF(P122&lt;($F$6-$E$6)/($G$6-$E$6),$E$6+SQRT(P122*($G$6-$E$6)*($F$6-$E$6)),$G$6-SQRT((1-P122)*($G$6-$E$6)*($G$6-$F$6))))</f>
        <v>1.02577896908002</v>
      </c>
      <c r="C122" s="51" t="n">
        <f aca="false">1+IF($G$7=$E$7,$F$7,IF(Q122&lt;($F$7-$E$7)/($G$7-$E$7),$E$7+SQRT(Q122*($G$7-$E$7)*($F$7-$E$7)),$G$7-SQRT((1-Q122)*($G$7-$E$7)*($G$7-$F$7))))</f>
        <v>0.925876418043795</v>
      </c>
      <c r="D122" s="51" t="n">
        <f aca="false">1+IF($G$8=$E$8,$F$8,IF(R122&lt;($F$8-$E$8)/($G$8-$E$8),$E$8+SQRT(R122*($G$8-$E$8)*($F$8-$E$8)),$G$8-SQRT((1-R122)*($G$8-$E$8)*($G$8-$F$8))))</f>
        <v>1.01591098705463</v>
      </c>
      <c r="E122" s="51" t="n">
        <f aca="false">1+IF($G$9=$E$9,$F$9,IF(S122&lt;($F$9-$E$9)/($G$9-$E$9),$E$9+SQRT(S122*($G$9-$E$9)*($F$9-$E$9)),$G$9-SQRT((1-S122)*($G$9-$E$9)*($G$9-$F$9))))</f>
        <v>1.01605850939013</v>
      </c>
      <c r="F122" s="51" t="n">
        <f aca="false">1+IF($G$10=$E$10,$F$10,IF(T122&lt;($F$10-$E$10)/($G$10-$E$10),$E$10+SQRT(T122*($G$10-$E$10)*($F$10-$E$10)),$G$10-SQRT((1-T122)*($G$10-$E$10)*($G$10-$F$10))))</f>
        <v>1.14722559407991</v>
      </c>
      <c r="G122" s="52" t="n">
        <f aca="false">IF($G$11=$E$11,$F$11,IF(U122&lt;($F$11-$E$11)/($G$11-$E$11),$E$11+SQRT(U122*($G$11-$E$11)*($F$11-$E$11)),$G$11-SQRT((1-U122)*($G$11-$E$11)*($G$11-$F$11))))</f>
        <v>0.108750884335348</v>
      </c>
      <c r="H122" s="53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-2294451188.15981</v>
      </c>
      <c r="I122" s="53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-12047723.5690365</v>
      </c>
      <c r="J122" s="53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284345390.170995</v>
      </c>
      <c r="K122" s="53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638099783.615022</v>
      </c>
      <c r="L122" s="53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769720660.105567</v>
      </c>
      <c r="M122" s="53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950248105.613504</v>
      </c>
      <c r="N122" s="53" t="n">
        <f aca="false">IF(COUNT('Business Case'!B11:G11)=0,"",H122+NPV(G122,I122:M122))</f>
        <v>-529426705.105362</v>
      </c>
      <c r="P122" s="54" t="n">
        <f aca="true">RAND()</f>
        <v>0.957867141577721</v>
      </c>
      <c r="Q122" s="54" t="n">
        <f aca="true">RAND()</f>
        <v>0.226355323136232</v>
      </c>
      <c r="R122" s="54" t="n">
        <f aca="true">RAND()</f>
        <v>0.605057540354596</v>
      </c>
      <c r="S122" s="54" t="n">
        <f aca="true">RAND()</f>
        <v>0.530255076946215</v>
      </c>
      <c r="T122" s="54" t="n">
        <f aca="true">RAND()</f>
        <v>0.944297241595624</v>
      </c>
      <c r="U122" s="54" t="n">
        <f aca="true">RAND()</f>
        <v>0.789095661272134</v>
      </c>
    </row>
    <row r="123" customFormat="false" ht="15" hidden="false" customHeight="false" outlineLevel="0" collapsed="false">
      <c r="A123" s="50" t="n">
        <v>43</v>
      </c>
      <c r="B123" s="51" t="n">
        <f aca="false">1+IF($G$6=$E$6,$F$6,IF(P123&lt;($F$6-$E$6)/($G$6-$E$6),$E$6+SQRT(P123*($G$6-$E$6)*($F$6-$E$6)),$G$6-SQRT((1-P123)*($G$6-$E$6)*($G$6-$F$6))))</f>
        <v>0.927628976199506</v>
      </c>
      <c r="C123" s="51" t="n">
        <f aca="false">1+IF($G$7=$E$7,$F$7,IF(Q123&lt;($F$7-$E$7)/($G$7-$E$7),$E$7+SQRT(Q123*($G$7-$E$7)*($F$7-$E$7)),$G$7-SQRT((1-Q123)*($G$7-$E$7)*($G$7-$F$7))))</f>
        <v>0.977170279283712</v>
      </c>
      <c r="D123" s="51" t="n">
        <f aca="false">1+IF($G$8=$E$8,$F$8,IF(R123&lt;($F$8-$E$8)/($G$8-$E$8),$E$8+SQRT(R123*($G$8-$E$8)*($F$8-$E$8)),$G$8-SQRT((1-R123)*($G$8-$E$8)*($G$8-$F$8))))</f>
        <v>1.04785494364727</v>
      </c>
      <c r="E123" s="51" t="n">
        <f aca="false">1+IF($G$9=$E$9,$F$9,IF(S123&lt;($F$9-$E$9)/($G$9-$E$9),$E$9+SQRT(S123*($G$9-$E$9)*($F$9-$E$9)),$G$9-SQRT((1-S123)*($G$9-$E$9)*($G$9-$F$9))))</f>
        <v>0.994550546702371</v>
      </c>
      <c r="F123" s="51" t="n">
        <f aca="false">1+IF($G$10=$E$10,$F$10,IF(T123&lt;($F$10-$E$10)/($G$10-$E$10),$E$10+SQRT(T123*($G$10-$E$10)*($F$10-$E$10)),$G$10-SQRT((1-T123)*($G$10-$E$10)*($G$10-$F$10))))</f>
        <v>1.06194371804917</v>
      </c>
      <c r="G123" s="52" t="n">
        <f aca="false">IF($G$11=$E$11,$F$11,IF(U123&lt;($F$11-$E$11)/($G$11-$E$11),$E$11+SQRT(U123*($G$11-$E$11)*($F$11-$E$11)),$G$11-SQRT((1-U123)*($G$11-$E$11)*($G$11-$F$11))))</f>
        <v>0.110759474408152</v>
      </c>
      <c r="H123" s="53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-2123887436.09833</v>
      </c>
      <c r="I123" s="53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-76332520.4247514</v>
      </c>
      <c r="J123" s="53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141944862.680688</v>
      </c>
      <c r="K123" s="53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413319431.688585</v>
      </c>
      <c r="L123" s="53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517405522.046529</v>
      </c>
      <c r="M123" s="53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689703816.65525</v>
      </c>
      <c r="N123" s="53" t="n">
        <f aca="false">IF(COUNT('Business Case'!B11:G11)=0,"",H123+NPV(G123,I123:M123))</f>
        <v>-1028156096.67451</v>
      </c>
      <c r="P123" s="54" t="n">
        <f aca="true">RAND()</f>
        <v>0.00606263310964821</v>
      </c>
      <c r="Q123" s="54" t="n">
        <f aca="true">RAND()</f>
        <v>0.448418683735263</v>
      </c>
      <c r="R123" s="54" t="n">
        <f aca="true">RAND()</f>
        <v>0.900643783853841</v>
      </c>
      <c r="S123" s="54" t="n">
        <f aca="true">RAND()</f>
        <v>0.264633494864014</v>
      </c>
      <c r="T123" s="54" t="n">
        <f aca="true">RAND()</f>
        <v>0.618809260278244</v>
      </c>
      <c r="U123" s="54" t="n">
        <f aca="true">RAND()</f>
        <v>0.857687811310674</v>
      </c>
    </row>
    <row r="124" customFormat="false" ht="15" hidden="false" customHeight="false" outlineLevel="0" collapsed="false">
      <c r="A124" s="50" t="n">
        <v>44</v>
      </c>
      <c r="B124" s="51" t="n">
        <f aca="false">1+IF($G$6=$E$6,$F$6,IF(P124&lt;($F$6-$E$6)/($G$6-$E$6),$E$6+SQRT(P124*($G$6-$E$6)*($F$6-$E$6)),$G$6-SQRT((1-P124)*($G$6-$E$6)*($G$6-$F$6))))</f>
        <v>1.00842028457573</v>
      </c>
      <c r="C124" s="51" t="n">
        <f aca="false">1+IF($G$7=$E$7,$F$7,IF(Q124&lt;($F$7-$E$7)/($G$7-$E$7),$E$7+SQRT(Q124*($G$7-$E$7)*($F$7-$E$7)),$G$7-SQRT((1-Q124)*($G$7-$E$7)*($G$7-$F$7))))</f>
        <v>1.06766552853858</v>
      </c>
      <c r="D124" s="51" t="n">
        <f aca="false">1+IF($G$8=$E$8,$F$8,IF(R124&lt;($F$8-$E$8)/($G$8-$E$8),$E$8+SQRT(R124*($G$8-$E$8)*($F$8-$E$8)),$G$8-SQRT((1-R124)*($G$8-$E$8)*($G$8-$F$8))))</f>
        <v>1.03765308151426</v>
      </c>
      <c r="E124" s="51" t="n">
        <f aca="false">1+IF($G$9=$E$9,$F$9,IF(S124&lt;($F$9-$E$9)/($G$9-$E$9),$E$9+SQRT(S124*($G$9-$E$9)*($F$9-$E$9)),$G$9-SQRT((1-S124)*($G$9-$E$9)*($G$9-$F$9))))</f>
        <v>1.05731956672035</v>
      </c>
      <c r="F124" s="51" t="n">
        <f aca="false">1+IF($G$10=$E$10,$F$10,IF(T124&lt;($F$10-$E$10)/($G$10-$E$10),$E$10+SQRT(T124*($G$10-$E$10)*($F$10-$E$10)),$G$10-SQRT((1-T124)*($G$10-$E$10)*($G$10-$F$10))))</f>
        <v>1.08497489188968</v>
      </c>
      <c r="G124" s="52" t="n">
        <f aca="false">IF($G$11=$E$11,$F$11,IF(U124&lt;($F$11-$E$11)/($G$11-$E$11),$E$11+SQRT(U124*($G$11-$E$11)*($F$11-$E$11)),$G$11-SQRT((1-U124)*($G$11-$E$11)*($G$11-$F$11))))</f>
        <v>0.0926270805868461</v>
      </c>
      <c r="H124" s="53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-2169949783.77936</v>
      </c>
      <c r="I124" s="53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57298.7497108132</v>
      </c>
      <c r="J124" s="53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314776754.142113</v>
      </c>
      <c r="K124" s="53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683744954.129</v>
      </c>
      <c r="L124" s="53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825860655.970528</v>
      </c>
      <c r="M124" s="53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1030511347.87952</v>
      </c>
      <c r="N124" s="53" t="n">
        <f aca="false">IF(COUNT('Business Case'!B11:G11)=0,"",H124+NPV(G124,I124:M124))</f>
        <v>-140848716.479287</v>
      </c>
      <c r="P124" s="54" t="n">
        <f aca="true">RAND()</f>
        <v>0.792233661192058</v>
      </c>
      <c r="Q124" s="54" t="n">
        <f aca="true">RAND()</f>
        <v>0.870876853507969</v>
      </c>
      <c r="R124" s="54" t="n">
        <f aca="true">RAND()</f>
        <v>0.827571009111744</v>
      </c>
      <c r="S124" s="54" t="n">
        <f aca="true">RAND()</f>
        <v>0.878558707670754</v>
      </c>
      <c r="T124" s="54" t="n">
        <f aca="true">RAND()</f>
        <v>0.735384490084181</v>
      </c>
      <c r="U124" s="54" t="n">
        <f aca="true">RAND()</f>
        <v>0.0230051746992794</v>
      </c>
    </row>
    <row r="125" customFormat="false" ht="15" hidden="false" customHeight="false" outlineLevel="0" collapsed="false">
      <c r="A125" s="50" t="n">
        <v>45</v>
      </c>
      <c r="B125" s="51" t="n">
        <f aca="false">1+IF($G$6=$E$6,$F$6,IF(P125&lt;($F$6-$E$6)/($G$6-$E$6),$E$6+SQRT(P125*($G$6-$E$6)*($F$6-$E$6)),$G$6-SQRT((1-P125)*($G$6-$E$6)*($G$6-$F$6))))</f>
        <v>0.934244445567158</v>
      </c>
      <c r="C125" s="51" t="n">
        <f aca="false">1+IF($G$7=$E$7,$F$7,IF(Q125&lt;($F$7-$E$7)/($G$7-$E$7),$E$7+SQRT(Q125*($G$7-$E$7)*($F$7-$E$7)),$G$7-SQRT((1-Q125)*($G$7-$E$7)*($G$7-$F$7))))</f>
        <v>1.08033963926514</v>
      </c>
      <c r="D125" s="51" t="n">
        <f aca="false">1+IF($G$8=$E$8,$F$8,IF(R125&lt;($F$8-$E$8)/($G$8-$E$8),$E$8+SQRT(R125*($G$8-$E$8)*($F$8-$E$8)),$G$8-SQRT((1-R125)*($G$8-$E$8)*($G$8-$F$8))))</f>
        <v>1.02244123527256</v>
      </c>
      <c r="E125" s="51" t="n">
        <f aca="false">1+IF($G$9=$E$9,$F$9,IF(S125&lt;($F$9-$E$9)/($G$9-$E$9),$E$9+SQRT(S125*($G$9-$E$9)*($F$9-$E$9)),$G$9-SQRT((1-S125)*($G$9-$E$9)*($G$9-$F$9))))</f>
        <v>0.983548021864139</v>
      </c>
      <c r="F125" s="51" t="n">
        <f aca="false">1+IF($G$10=$E$10,$F$10,IF(T125&lt;($F$10-$E$10)/($G$10-$E$10),$E$10+SQRT(T125*($G$10-$E$10)*($F$10-$E$10)),$G$10-SQRT((1-T125)*($G$10-$E$10)*($G$10-$F$10))))</f>
        <v>1.05622505613228</v>
      </c>
      <c r="G125" s="52" t="n">
        <f aca="false">IF($G$11=$E$11,$F$11,IF(U125&lt;($F$11-$E$11)/($G$11-$E$11),$E$11+SQRT(U125*($G$11-$E$11)*($F$11-$E$11)),$G$11-SQRT((1-U125)*($G$11-$E$11)*($G$11-$F$11))))</f>
        <v>0.102397218639227</v>
      </c>
      <c r="H125" s="53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-2112450112.26455</v>
      </c>
      <c r="I125" s="53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-36573310.1945074</v>
      </c>
      <c r="J125" s="53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224658593.704217</v>
      </c>
      <c r="K125" s="53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538701750.409555</v>
      </c>
      <c r="L125" s="53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660660504.889746</v>
      </c>
      <c r="M125" s="53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852508497.383133</v>
      </c>
      <c r="N125" s="53" t="n">
        <f aca="false">IF(COUNT('Business Case'!B11:G11)=0,"",H125+NPV(G125,I125:M125))</f>
        <v>-587726529.713346</v>
      </c>
      <c r="P125" s="54" t="n">
        <f aca="true">RAND()</f>
        <v>0.0211358572412217</v>
      </c>
      <c r="Q125" s="54" t="n">
        <f aca="true">RAND()</f>
        <v>0.907570174138843</v>
      </c>
      <c r="R125" s="54" t="n">
        <f aca="true">RAND()</f>
        <v>0.681441211831878</v>
      </c>
      <c r="S125" s="54" t="n">
        <f aca="true">RAND()</f>
        <v>0.150062636132903</v>
      </c>
      <c r="T125" s="54" t="n">
        <f aca="true">RAND()</f>
        <v>0.586575310316658</v>
      </c>
      <c r="U125" s="54" t="n">
        <f aca="true">RAND()</f>
        <v>0.483570147274685</v>
      </c>
    </row>
    <row r="126" customFormat="false" ht="15" hidden="false" customHeight="false" outlineLevel="0" collapsed="false">
      <c r="A126" s="50" t="n">
        <v>46</v>
      </c>
      <c r="B126" s="51" t="n">
        <f aca="false">1+IF($G$6=$E$6,$F$6,IF(P126&lt;($F$6-$E$6)/($G$6-$E$6),$E$6+SQRT(P126*($G$6-$E$6)*($F$6-$E$6)),$G$6-SQRT((1-P126)*($G$6-$E$6)*($G$6-$F$6))))</f>
        <v>0.987610125944211</v>
      </c>
      <c r="C126" s="51" t="n">
        <f aca="false">1+IF($G$7=$E$7,$F$7,IF(Q126&lt;($F$7-$E$7)/($G$7-$E$7),$E$7+SQRT(Q126*($G$7-$E$7)*($F$7-$E$7)),$G$7-SQRT((1-Q126)*($G$7-$E$7)*($G$7-$F$7))))</f>
        <v>0.924389100619091</v>
      </c>
      <c r="D126" s="51" t="n">
        <f aca="false">1+IF($G$8=$E$8,$F$8,IF(R126&lt;($F$8-$E$8)/($G$8-$E$8),$E$8+SQRT(R126*($G$8-$E$8)*($F$8-$E$8)),$G$8-SQRT((1-R126)*($G$8-$E$8)*($G$8-$F$8))))</f>
        <v>0.993748405853413</v>
      </c>
      <c r="E126" s="51" t="n">
        <f aca="false">1+IF($G$9=$E$9,$F$9,IF(S126&lt;($F$9-$E$9)/($G$9-$E$9),$E$9+SQRT(S126*($G$9-$E$9)*($F$9-$E$9)),$G$9-SQRT((1-S126)*($G$9-$E$9)*($G$9-$F$9))))</f>
        <v>1.06711693447783</v>
      </c>
      <c r="F126" s="51" t="n">
        <f aca="false">1+IF($G$10=$E$10,$F$10,IF(T126&lt;($F$10-$E$10)/($G$10-$E$10),$E$10+SQRT(T126*($G$10-$E$10)*($F$10-$E$10)),$G$10-SQRT((1-T126)*($G$10-$E$10)*($G$10-$F$10))))</f>
        <v>1.00310337472223</v>
      </c>
      <c r="G126" s="52" t="n">
        <f aca="false">IF($G$11=$E$11,$F$11,IF(U126&lt;($F$11-$E$11)/($G$11-$E$11),$E$11+SQRT(U126*($G$11-$E$11)*($F$11-$E$11)),$G$11-SQRT((1-U126)*($G$11-$E$11)*($G$11-$F$11))))</f>
        <v>0.100876144044909</v>
      </c>
      <c r="H126" s="53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-2006206749.44445</v>
      </c>
      <c r="I126" s="53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-21875555.8084423</v>
      </c>
      <c r="J126" s="53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255629858.048673</v>
      </c>
      <c r="K126" s="53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583290440.6419</v>
      </c>
      <c r="L126" s="53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707343314.667997</v>
      </c>
      <c r="M126" s="53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880874196.40682</v>
      </c>
      <c r="N126" s="53" t="n">
        <f aca="false">IF(COUNT('Business Case'!B11:G11)=0,"",H126+NPV(G126,I126:M126))</f>
        <v>-351590958.828302</v>
      </c>
      <c r="P126" s="54" t="n">
        <f aca="true">RAND()</f>
        <v>0.476159284395005</v>
      </c>
      <c r="Q126" s="54" t="n">
        <f aca="true">RAND()</f>
        <v>0.221037833611807</v>
      </c>
      <c r="R126" s="54" t="n">
        <f aca="true">RAND()</f>
        <v>0.294449694571526</v>
      </c>
      <c r="S126" s="54" t="n">
        <f aca="true">RAND()</f>
        <v>0.927913600124294</v>
      </c>
      <c r="T126" s="54" t="n">
        <f aca="true">RAND()</f>
        <v>0.224634379084469</v>
      </c>
      <c r="U126" s="54" t="n">
        <f aca="true">RAND()</f>
        <v>0.390463555681578</v>
      </c>
    </row>
    <row r="127" customFormat="false" ht="15" hidden="false" customHeight="false" outlineLevel="0" collapsed="false">
      <c r="A127" s="50" t="n">
        <v>47</v>
      </c>
      <c r="B127" s="51" t="n">
        <f aca="false">1+IF($G$6=$E$6,$F$6,IF(P127&lt;($F$6-$E$6)/($G$6-$E$6),$E$6+SQRT(P127*($G$6-$E$6)*($F$6-$E$6)),$G$6-SQRT((1-P127)*($G$6-$E$6)*($G$6-$F$6))))</f>
        <v>1.0003009612644</v>
      </c>
      <c r="C127" s="51" t="n">
        <f aca="false">1+IF($G$7=$E$7,$F$7,IF(Q127&lt;($F$7-$E$7)/($G$7-$E$7),$E$7+SQRT(Q127*($G$7-$E$7)*($F$7-$E$7)),$G$7-SQRT((1-Q127)*($G$7-$E$7)*($G$7-$F$7))))</f>
        <v>0.872081223334189</v>
      </c>
      <c r="D127" s="51" t="n">
        <f aca="false">1+IF($G$8=$E$8,$F$8,IF(R127&lt;($F$8-$E$8)/($G$8-$E$8),$E$8+SQRT(R127*($G$8-$E$8)*($F$8-$E$8)),$G$8-SQRT((1-R127)*($G$8-$E$8)*($G$8-$F$8))))</f>
        <v>0.994214973892547</v>
      </c>
      <c r="E127" s="51" t="n">
        <f aca="false">1+IF($G$9=$E$9,$F$9,IF(S127&lt;($F$9-$E$9)/($G$9-$E$9),$E$9+SQRT(S127*($G$9-$E$9)*($F$9-$E$9)),$G$9-SQRT((1-S127)*($G$9-$E$9)*($G$9-$F$9))))</f>
        <v>1.0874355644833</v>
      </c>
      <c r="F127" s="51" t="n">
        <f aca="false">1+IF($G$10=$E$10,$F$10,IF(T127&lt;($F$10-$E$10)/($G$10-$E$10),$E$10+SQRT(T127*($G$10-$E$10)*($F$10-$E$10)),$G$10-SQRT((1-T127)*($G$10-$E$10)*($G$10-$F$10))))</f>
        <v>1.04439150104608</v>
      </c>
      <c r="G127" s="52" t="n">
        <f aca="false">IF($G$11=$E$11,$F$11,IF(U127&lt;($F$11-$E$11)/($G$11-$E$11),$E$11+SQRT(U127*($G$11-$E$11)*($F$11-$E$11)),$G$11-SQRT((1-U127)*($G$11-$E$11)*($G$11-$F$11))))</f>
        <v>0.110746457493192</v>
      </c>
      <c r="H127" s="53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-2088783002.09216</v>
      </c>
      <c r="I127" s="53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-33635673.4516891</v>
      </c>
      <c r="J127" s="53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237023437.153089</v>
      </c>
      <c r="K127" s="53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559902122.810172</v>
      </c>
      <c r="L127" s="53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680270024.133321</v>
      </c>
      <c r="M127" s="53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846085111.968548</v>
      </c>
      <c r="N127" s="53" t="n">
        <f aca="false">IF(COUNT('Business Case'!B11:G11)=0,"",H127+NPV(G127,I127:M127))</f>
        <v>-571042217.000878</v>
      </c>
      <c r="P127" s="54" t="n">
        <f aca="true">RAND()</f>
        <v>0.671663817389474</v>
      </c>
      <c r="Q127" s="54" t="n">
        <f aca="true">RAND()</f>
        <v>0.0742243251050454</v>
      </c>
      <c r="R127" s="54" t="n">
        <f aca="true">RAND()</f>
        <v>0.300763679433631</v>
      </c>
      <c r="S127" s="54" t="n">
        <f aca="true">RAND()</f>
        <v>0.989475664009778</v>
      </c>
      <c r="T127" s="54" t="n">
        <f aca="true">RAND()</f>
        <v>0.515719901066151</v>
      </c>
      <c r="U127" s="54" t="n">
        <f aca="true">RAND()</f>
        <v>0.857286585124503</v>
      </c>
    </row>
    <row r="128" customFormat="false" ht="15" hidden="false" customHeight="false" outlineLevel="0" collapsed="false">
      <c r="A128" s="50" t="n">
        <v>48</v>
      </c>
      <c r="B128" s="51" t="n">
        <f aca="false">1+IF($G$6=$E$6,$F$6,IF(P128&lt;($F$6-$E$6)/($G$6-$E$6),$E$6+SQRT(P128*($G$6-$E$6)*($F$6-$E$6)),$G$6-SQRT((1-P128)*($G$6-$E$6)*($G$6-$F$6))))</f>
        <v>0.975656334567051</v>
      </c>
      <c r="C128" s="51" t="n">
        <f aca="false">1+IF($G$7=$E$7,$F$7,IF(Q128&lt;($F$7-$E$7)/($G$7-$E$7),$E$7+SQRT(Q128*($G$7-$E$7)*($F$7-$E$7)),$G$7-SQRT((1-Q128)*($G$7-$E$7)*($G$7-$F$7))))</f>
        <v>0.921208810813403</v>
      </c>
      <c r="D128" s="51" t="n">
        <f aca="false">1+IF($G$8=$E$8,$F$8,IF(R128&lt;($F$8-$E$8)/($G$8-$E$8),$E$8+SQRT(R128*($G$8-$E$8)*($F$8-$E$8)),$G$8-SQRT((1-R128)*($G$8-$E$8)*($G$8-$F$8))))</f>
        <v>0.986530641597064</v>
      </c>
      <c r="E128" s="51" t="n">
        <f aca="false">1+IF($G$9=$E$9,$F$9,IF(S128&lt;($F$9-$E$9)/($G$9-$E$9),$E$9+SQRT(S128*($G$9-$E$9)*($F$9-$E$9)),$G$9-SQRT((1-S128)*($G$9-$E$9)*($G$9-$F$9))))</f>
        <v>1.06002845587885</v>
      </c>
      <c r="F128" s="51" t="n">
        <f aca="false">1+IF($G$10=$E$10,$F$10,IF(T128&lt;($F$10-$E$10)/($G$10-$E$10),$E$10+SQRT(T128*($G$10-$E$10)*($F$10-$E$10)),$G$10-SQRT((1-T128)*($G$10-$E$10)*($G$10-$F$10))))</f>
        <v>0.995193085873354</v>
      </c>
      <c r="G128" s="52" t="n">
        <f aca="false">IF($G$11=$E$11,$F$11,IF(U128&lt;($F$11-$E$11)/($G$11-$E$11),$E$11+SQRT(U128*($G$11-$E$11)*($F$11-$E$11)),$G$11-SQRT((1-U128)*($G$11-$E$11)*($G$11-$F$11))))</f>
        <v>0.110490276901673</v>
      </c>
      <c r="H128" s="53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-1990386171.74671</v>
      </c>
      <c r="I128" s="53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-25913378.0728768</v>
      </c>
      <c r="J128" s="53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245021520.563589</v>
      </c>
      <c r="K128" s="53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565716073.493724</v>
      </c>
      <c r="L128" s="53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687089654.169902</v>
      </c>
      <c r="M128" s="53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857930367.055365</v>
      </c>
      <c r="N128" s="53" t="n">
        <f aca="false">IF(COUNT('Business Case'!B11:G11)=0,"",H128+NPV(G128,I128:M128))</f>
        <v>-442107294.897772</v>
      </c>
      <c r="P128" s="54" t="n">
        <f aca="true">RAND()</f>
        <v>0.32266953931662</v>
      </c>
      <c r="Q128" s="54" t="n">
        <f aca="true">RAND()</f>
        <v>0.209879654554277</v>
      </c>
      <c r="R128" s="54" t="n">
        <f aca="true">RAND()</f>
        <v>0.205305811614325</v>
      </c>
      <c r="S128" s="54" t="n">
        <f aca="true">RAND()</f>
        <v>0.89348504403805</v>
      </c>
      <c r="T128" s="54" t="n">
        <f aca="true">RAND()</f>
        <v>0.163393200860507</v>
      </c>
      <c r="U128" s="54" t="n">
        <f aca="true">RAND()</f>
        <v>0.849275277655238</v>
      </c>
    </row>
    <row r="129" customFormat="false" ht="15" hidden="false" customHeight="false" outlineLevel="0" collapsed="false">
      <c r="A129" s="50" t="n">
        <v>49</v>
      </c>
      <c r="B129" s="51" t="n">
        <f aca="false">1+IF($G$6=$E$6,$F$6,IF(P129&lt;($F$6-$E$6)/($G$6-$E$6),$E$6+SQRT(P129*($G$6-$E$6)*($F$6-$E$6)),$G$6-SQRT((1-P129)*($G$6-$E$6)*($G$6-$F$6))))</f>
        <v>0.972230598415447</v>
      </c>
      <c r="C129" s="51" t="n">
        <f aca="false">1+IF($G$7=$E$7,$F$7,IF(Q129&lt;($F$7-$E$7)/($G$7-$E$7),$E$7+SQRT(Q129*($G$7-$E$7)*($F$7-$E$7)),$G$7-SQRT((1-Q129)*($G$7-$E$7)*($G$7-$F$7))))</f>
        <v>0.900338185947338</v>
      </c>
      <c r="D129" s="51" t="n">
        <f aca="false">1+IF($G$8=$E$8,$F$8,IF(R129&lt;($F$8-$E$8)/($G$8-$E$8),$E$8+SQRT(R129*($G$8-$E$8)*($F$8-$E$8)),$G$8-SQRT((1-R129)*($G$8-$E$8)*($G$8-$F$8))))</f>
        <v>0.99052861096449</v>
      </c>
      <c r="E129" s="51" t="n">
        <f aca="false">1+IF($G$9=$E$9,$F$9,IF(S129&lt;($F$9-$E$9)/($G$9-$E$9),$E$9+SQRT(S129*($G$9-$E$9)*($F$9-$E$9)),$G$9-SQRT((1-S129)*($G$9-$E$9)*($G$9-$F$9))))</f>
        <v>0.994885620391968</v>
      </c>
      <c r="F129" s="51" t="n">
        <f aca="false">1+IF($G$10=$E$10,$F$10,IF(T129&lt;($F$10-$E$10)/($G$10-$E$10),$E$10+SQRT(T129*($G$10-$E$10)*($F$10-$E$10)),$G$10-SQRT((1-T129)*($G$10-$E$10)*($G$10-$F$10))))</f>
        <v>1.1116035867787</v>
      </c>
      <c r="G129" s="52" t="n">
        <f aca="false">IF($G$11=$E$11,$F$11,IF(U129&lt;($F$11-$E$11)/($G$11-$E$11),$E$11+SQRT(U129*($G$11-$E$11)*($F$11-$E$11)),$G$11-SQRT((1-U129)*($G$11-$E$11)*($G$11-$F$11))))</f>
        <v>0.105588532362138</v>
      </c>
      <c r="H129" s="53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-2223207173.5574</v>
      </c>
      <c r="I129" s="53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-37582798.5237224</v>
      </c>
      <c r="J129" s="53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222844932.368428</v>
      </c>
      <c r="K129" s="53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538852842.599513</v>
      </c>
      <c r="L129" s="53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655913709.909073</v>
      </c>
      <c r="M129" s="53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822297640.14271</v>
      </c>
      <c r="N129" s="53" t="n">
        <f aca="false">IF(COUNT('Business Case'!B11:G11)=0,"",H129+NPV(G129,I129:M129))</f>
        <v>-739332991.421989</v>
      </c>
      <c r="P129" s="54" t="n">
        <f aca="true">RAND()</f>
        <v>0.284170355295379</v>
      </c>
      <c r="Q129" s="54" t="n">
        <f aca="true">RAND()</f>
        <v>0.143825022274321</v>
      </c>
      <c r="R129" s="54" t="n">
        <f aca="true">RAND()</f>
        <v>0.252702816417067</v>
      </c>
      <c r="S129" s="54" t="n">
        <f aca="true">RAND()</f>
        <v>0.268629189062914</v>
      </c>
      <c r="T129" s="54" t="n">
        <f aca="true">RAND()</f>
        <v>0.843721482592186</v>
      </c>
      <c r="U129" s="54" t="n">
        <f aca="true">RAND()</f>
        <v>0.65384933420476</v>
      </c>
    </row>
    <row r="130" customFormat="false" ht="15" hidden="false" customHeight="false" outlineLevel="0" collapsed="false">
      <c r="A130" s="50" t="n">
        <v>50</v>
      </c>
      <c r="B130" s="51" t="n">
        <f aca="false">1+IF($G$6=$E$6,$F$6,IF(P130&lt;($F$6-$E$6)/($G$6-$E$6),$E$6+SQRT(P130*($G$6-$E$6)*($F$6-$E$6)),$G$6-SQRT((1-P130)*($G$6-$E$6)*($G$6-$F$6))))</f>
        <v>0.946022594399906</v>
      </c>
      <c r="C130" s="51" t="n">
        <f aca="false">1+IF($G$7=$E$7,$F$7,IF(Q130&lt;($F$7-$E$7)/($G$7-$E$7),$E$7+SQRT(Q130*($G$7-$E$7)*($F$7-$E$7)),$G$7-SQRT((1-Q130)*($G$7-$E$7)*($G$7-$F$7))))</f>
        <v>0.97099862374117</v>
      </c>
      <c r="D130" s="51" t="n">
        <f aca="false">1+IF($G$8=$E$8,$F$8,IF(R130&lt;($F$8-$E$8)/($G$8-$E$8),$E$8+SQRT(R130*($G$8-$E$8)*($F$8-$E$8)),$G$8-SQRT((1-R130)*($G$8-$E$8)*($G$8-$F$8))))</f>
        <v>1.00109976649892</v>
      </c>
      <c r="E130" s="51" t="n">
        <f aca="false">1+IF($G$9=$E$9,$F$9,IF(S130&lt;($F$9-$E$9)/($G$9-$E$9),$E$9+SQRT(S130*($G$9-$E$9)*($F$9-$E$9)),$G$9-SQRT((1-S130)*($G$9-$E$9)*($G$9-$F$9))))</f>
        <v>1.04013368918428</v>
      </c>
      <c r="F130" s="51" t="n">
        <f aca="false">1+IF($G$10=$E$10,$F$10,IF(T130&lt;($F$10-$E$10)/($G$10-$E$10),$E$10+SQRT(T130*($G$10-$E$10)*($F$10-$E$10)),$G$10-SQRT((1-T130)*($G$10-$E$10)*($G$10-$F$10))))</f>
        <v>1.06118191150607</v>
      </c>
      <c r="G130" s="52" t="n">
        <f aca="false">IF($G$11=$E$11,$F$11,IF(U130&lt;($F$11-$E$11)/($G$11-$E$11),$E$11+SQRT(U130*($G$11-$E$11)*($F$11-$E$11)),$G$11-SQRT((1-U130)*($G$11-$E$11)*($G$11-$F$11))))</f>
        <v>0.0994820953483415</v>
      </c>
      <c r="H130" s="53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-2122363823.01213</v>
      </c>
      <c r="I130" s="53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-46876419.3031439</v>
      </c>
      <c r="J130" s="53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207891894.418271</v>
      </c>
      <c r="K130" s="53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515719303.71499</v>
      </c>
      <c r="L130" s="53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632388429.136761</v>
      </c>
      <c r="M130" s="53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806993377.133905</v>
      </c>
      <c r="N130" s="53" t="n">
        <f aca="false">IF(COUNT('Business Case'!B11:G11)=0,"",H130+NPV(G130,I130:M130))</f>
        <v>-670005219.621025</v>
      </c>
      <c r="P130" s="54" t="n">
        <f aca="true">RAND()</f>
        <v>0.0705391061772931</v>
      </c>
      <c r="Q130" s="54" t="n">
        <f aca="true">RAND()</f>
        <v>0.417721847448205</v>
      </c>
      <c r="R130" s="54" t="n">
        <f aca="true">RAND()</f>
        <v>0.401418572449559</v>
      </c>
      <c r="S130" s="54" t="n">
        <f aca="true">RAND()</f>
        <v>0.761068321954357</v>
      </c>
      <c r="T130" s="54" t="n">
        <f aca="true">RAND()</f>
        <v>0.614590766137814</v>
      </c>
      <c r="U130" s="54" t="n">
        <f aca="true">RAND()</f>
        <v>0.29970044065013</v>
      </c>
    </row>
    <row r="131" customFormat="false" ht="15" hidden="false" customHeight="false" outlineLevel="0" collapsed="false">
      <c r="A131" s="50" t="n">
        <v>51</v>
      </c>
      <c r="B131" s="51" t="n">
        <f aca="false">1+IF($G$6=$E$6,$F$6,IF(P131&lt;($F$6-$E$6)/($G$6-$E$6),$E$6+SQRT(P131*($G$6-$E$6)*($F$6-$E$6)),$G$6-SQRT((1-P131)*($G$6-$E$6)*($G$6-$F$6))))</f>
        <v>0.974829846874406</v>
      </c>
      <c r="C131" s="51" t="n">
        <f aca="false">1+IF($G$7=$E$7,$F$7,IF(Q131&lt;($F$7-$E$7)/($G$7-$E$7),$E$7+SQRT(Q131*($G$7-$E$7)*($F$7-$E$7)),$G$7-SQRT((1-Q131)*($G$7-$E$7)*($G$7-$F$7))))</f>
        <v>0.918961521906778</v>
      </c>
      <c r="D131" s="51" t="n">
        <f aca="false">1+IF($G$8=$E$8,$F$8,IF(R131&lt;($F$8-$E$8)/($G$8-$E$8),$E$8+SQRT(R131*($G$8-$E$8)*($F$8-$E$8)),$G$8-SQRT((1-R131)*($G$8-$E$8)*($G$8-$F$8))))</f>
        <v>1.01608459753256</v>
      </c>
      <c r="E131" s="51" t="n">
        <f aca="false">1+IF($G$9=$E$9,$F$9,IF(S131&lt;($F$9-$E$9)/($G$9-$E$9),$E$9+SQRT(S131*($G$9-$E$9)*($F$9-$E$9)),$G$9-SQRT((1-S131)*($G$9-$E$9)*($G$9-$F$9))))</f>
        <v>1.0074613832876</v>
      </c>
      <c r="F131" s="51" t="n">
        <f aca="false">1+IF($G$10=$E$10,$F$10,IF(T131&lt;($F$10-$E$10)/($G$10-$E$10),$E$10+SQRT(T131*($G$10-$E$10)*($F$10-$E$10)),$G$10-SQRT((1-T131)*($G$10-$E$10)*($G$10-$F$10))))</f>
        <v>1.06022488658032</v>
      </c>
      <c r="G131" s="52" t="n">
        <f aca="false">IF($G$11=$E$11,$F$11,IF(U131&lt;($F$11-$E$11)/($G$11-$E$11),$E$11+SQRT(U131*($G$11-$E$11)*($F$11-$E$11)),$G$11-SQRT((1-U131)*($G$11-$E$11)*($G$11-$F$11))))</f>
        <v>0.109461290799542</v>
      </c>
      <c r="H131" s="53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-2120449773.16064</v>
      </c>
      <c r="I131" s="53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-39974732.1772873</v>
      </c>
      <c r="J131" s="53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215773918.251365</v>
      </c>
      <c r="K131" s="53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524533813.009033</v>
      </c>
      <c r="L131" s="53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640743286.64819</v>
      </c>
      <c r="M131" s="53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811022865.877698</v>
      </c>
      <c r="N131" s="53" t="n">
        <f aca="false">IF(COUNT('Business Case'!B11:G11)=0,"",H131+NPV(G131,I131:M131))</f>
        <v>-691719850.254022</v>
      </c>
      <c r="P131" s="54" t="n">
        <f aca="true">RAND()</f>
        <v>0.313157511278214</v>
      </c>
      <c r="Q131" s="54" t="n">
        <f aca="true">RAND()</f>
        <v>0.202169195633955</v>
      </c>
      <c r="R131" s="54" t="n">
        <f aca="true">RAND()</f>
        <v>0.607194358406285</v>
      </c>
      <c r="S131" s="54" t="n">
        <f aca="true">RAND()</f>
        <v>0.429106961130339</v>
      </c>
      <c r="T131" s="54" t="n">
        <f aca="true">RAND()</f>
        <v>0.609258353370299</v>
      </c>
      <c r="U131" s="54" t="n">
        <f aca="true">RAND()</f>
        <v>0.814892680646985</v>
      </c>
    </row>
    <row r="132" customFormat="false" ht="15" hidden="false" customHeight="false" outlineLevel="0" collapsed="false">
      <c r="A132" s="50" t="n">
        <v>52</v>
      </c>
      <c r="B132" s="51" t="n">
        <f aca="false">1+IF($G$6=$E$6,$F$6,IF(P132&lt;($F$6-$E$6)/($G$6-$E$6),$E$6+SQRT(P132*($G$6-$E$6)*($F$6-$E$6)),$G$6-SQRT((1-P132)*($G$6-$E$6)*($G$6-$F$6))))</f>
        <v>1.00910879701417</v>
      </c>
      <c r="C132" s="51" t="n">
        <f aca="false">1+IF($G$7=$E$7,$F$7,IF(Q132&lt;($F$7-$E$7)/($G$7-$E$7),$E$7+SQRT(Q132*($G$7-$E$7)*($F$7-$E$7)),$G$7-SQRT((1-Q132)*($G$7-$E$7)*($G$7-$F$7))))</f>
        <v>0.967146629204153</v>
      </c>
      <c r="D132" s="51" t="n">
        <f aca="false">1+IF($G$8=$E$8,$F$8,IF(R132&lt;($F$8-$E$8)/($G$8-$E$8),$E$8+SQRT(R132*($G$8-$E$8)*($F$8-$E$8)),$G$8-SQRT((1-R132)*($G$8-$E$8)*($G$8-$F$8))))</f>
        <v>1.02328371998945</v>
      </c>
      <c r="E132" s="51" t="n">
        <f aca="false">1+IF($G$9=$E$9,$F$9,IF(S132&lt;($F$9-$E$9)/($G$9-$E$9),$E$9+SQRT(S132*($G$9-$E$9)*($F$9-$E$9)),$G$9-SQRT((1-S132)*($G$9-$E$9)*($G$9-$F$9))))</f>
        <v>1.06114791795603</v>
      </c>
      <c r="F132" s="51" t="n">
        <f aca="false">1+IF($G$10=$E$10,$F$10,IF(T132&lt;($F$10-$E$10)/($G$10-$E$10),$E$10+SQRT(T132*($G$10-$E$10)*($F$10-$E$10)),$G$10-SQRT((1-T132)*($G$10-$E$10)*($G$10-$F$10))))</f>
        <v>1.02998410332272</v>
      </c>
      <c r="G132" s="52" t="n">
        <f aca="false">IF($G$11=$E$11,$F$11,IF(U132&lt;($F$11-$E$11)/($G$11-$E$11),$E$11+SQRT(U132*($G$11-$E$11)*($F$11-$E$11)),$G$11-SQRT((1-U132)*($G$11-$E$11)*($G$11-$F$11))))</f>
        <v>0.109768739553436</v>
      </c>
      <c r="H132" s="53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-2059968206.64544</v>
      </c>
      <c r="I132" s="53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-11738350.6960745</v>
      </c>
      <c r="J132" s="53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281010510.805716</v>
      </c>
      <c r="K132" s="53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625258577.473643</v>
      </c>
      <c r="L132" s="53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756570576.595737</v>
      </c>
      <c r="M132" s="53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942080325.680637</v>
      </c>
      <c r="N132" s="53" t="n">
        <f aca="false">IF(COUNT('Business Case'!B11:G11)=0,"",H132+NPV(G132,I132:M132))</f>
        <v>-326452840.224454</v>
      </c>
      <c r="P132" s="54" t="n">
        <f aca="true">RAND()</f>
        <v>0.801194495435078</v>
      </c>
      <c r="Q132" s="54" t="n">
        <f aca="true">RAND()</f>
        <v>0.399114223633007</v>
      </c>
      <c r="R132" s="54" t="n">
        <f aca="true">RAND()</f>
        <v>0.690698421323559</v>
      </c>
      <c r="S132" s="54" t="n">
        <f aca="true">RAND()</f>
        <v>0.899367714723251</v>
      </c>
      <c r="T132" s="54" t="n">
        <f aca="true">RAND()</f>
        <v>0.421891897540402</v>
      </c>
      <c r="U132" s="54" t="n">
        <f aca="true">RAND()</f>
        <v>0.825535516124276</v>
      </c>
    </row>
    <row r="133" customFormat="false" ht="15" hidden="false" customHeight="false" outlineLevel="0" collapsed="false">
      <c r="A133" s="50" t="n">
        <v>53</v>
      </c>
      <c r="B133" s="51" t="n">
        <f aca="false">1+IF($G$6=$E$6,$F$6,IF(P133&lt;($F$6-$E$6)/($G$6-$E$6),$E$6+SQRT(P133*($G$6-$E$6)*($F$6-$E$6)),$G$6-SQRT((1-P133)*($G$6-$E$6)*($G$6-$F$6))))</f>
        <v>1.01011732724886</v>
      </c>
      <c r="C133" s="51" t="n">
        <f aca="false">1+IF($G$7=$E$7,$F$7,IF(Q133&lt;($F$7-$E$7)/($G$7-$E$7),$E$7+SQRT(Q133*($G$7-$E$7)*($F$7-$E$7)),$G$7-SQRT((1-Q133)*($G$7-$E$7)*($G$7-$F$7))))</f>
        <v>1.02051246469376</v>
      </c>
      <c r="D133" s="51" t="n">
        <f aca="false">1+IF($G$8=$E$8,$F$8,IF(R133&lt;($F$8-$E$8)/($G$8-$E$8),$E$8+SQRT(R133*($G$8-$E$8)*($F$8-$E$8)),$G$8-SQRT((1-R133)*($G$8-$E$8)*($G$8-$F$8))))</f>
        <v>1.01889384277485</v>
      </c>
      <c r="E133" s="51" t="n">
        <f aca="false">1+IF($G$9=$E$9,$F$9,IF(S133&lt;($F$9-$E$9)/($G$9-$E$9),$E$9+SQRT(S133*($G$9-$E$9)*($F$9-$E$9)),$G$9-SQRT((1-S133)*($G$9-$E$9)*($G$9-$F$9))))</f>
        <v>0.97827263756787</v>
      </c>
      <c r="F133" s="51" t="n">
        <f aca="false">1+IF($G$10=$E$10,$F$10,IF(T133&lt;($F$10-$E$10)/($G$10-$E$10),$E$10+SQRT(T133*($G$10-$E$10)*($F$10-$E$10)),$G$10-SQRT((1-T133)*($G$10-$E$10)*($G$10-$F$10))))</f>
        <v>1.04680051375421</v>
      </c>
      <c r="G133" s="52" t="n">
        <f aca="false">IF($G$11=$E$11,$F$11,IF(U133&lt;($F$11-$E$11)/($G$11-$E$11),$E$11+SQRT(U133*($G$11-$E$11)*($F$11-$E$11)),$G$11-SQRT((1-U133)*($G$11-$E$11)*($G$11-$F$11))))</f>
        <v>0.09494530151632</v>
      </c>
      <c r="H133" s="53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-2093601027.50842</v>
      </c>
      <c r="I133" s="53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14809684.4949012</v>
      </c>
      <c r="J133" s="53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326848396.265205</v>
      </c>
      <c r="K133" s="53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691227133.723219</v>
      </c>
      <c r="L133" s="53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830865775.53854</v>
      </c>
      <c r="M133" s="53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1026807333.94392</v>
      </c>
      <c r="N133" s="53" t="n">
        <f aca="false">IF(COUNT('Business Case'!B11:G11)=0,"",H133+NPV(G133,I133:M133))</f>
        <v>-50434702.5508766</v>
      </c>
      <c r="P133" s="54" t="n">
        <f aca="true">RAND()</f>
        <v>0.813963722760029</v>
      </c>
      <c r="Q133" s="54" t="n">
        <f aca="true">RAND()</f>
        <v>0.680628156196496</v>
      </c>
      <c r="R133" s="54" t="n">
        <f aca="true">RAND()</f>
        <v>0.640965148959185</v>
      </c>
      <c r="S133" s="54" t="n">
        <f aca="true">RAND()</f>
        <v>0.106578938005884</v>
      </c>
      <c r="T133" s="54" t="n">
        <f aca="true">RAND()</f>
        <v>0.530598348280531</v>
      </c>
      <c r="U133" s="54" t="n">
        <f aca="true">RAND()</f>
        <v>0.0815200236243885</v>
      </c>
    </row>
    <row r="134" customFormat="false" ht="15" hidden="false" customHeight="false" outlineLevel="0" collapsed="false">
      <c r="A134" s="50" t="n">
        <v>54</v>
      </c>
      <c r="B134" s="51" t="n">
        <f aca="false">1+IF($G$6=$E$6,$F$6,IF(P134&lt;($F$6-$E$6)/($G$6-$E$6),$E$6+SQRT(P134*($G$6-$E$6)*($F$6-$E$6)),$G$6-SQRT((1-P134)*($G$6-$E$6)*($G$6-$F$6))))</f>
        <v>0.967311495175489</v>
      </c>
      <c r="C134" s="51" t="n">
        <f aca="false">1+IF($G$7=$E$7,$F$7,IF(Q134&lt;($F$7-$E$7)/($G$7-$E$7),$E$7+SQRT(Q134*($G$7-$E$7)*($F$7-$E$7)),$G$7-SQRT((1-Q134)*($G$7-$E$7)*($G$7-$F$7))))</f>
        <v>1.07647975018539</v>
      </c>
      <c r="D134" s="51" t="n">
        <f aca="false">1+IF($G$8=$E$8,$F$8,IF(R134&lt;($F$8-$E$8)/($G$8-$E$8),$E$8+SQRT(R134*($G$8-$E$8)*($F$8-$E$8)),$G$8-SQRT((1-R134)*($G$8-$E$8)*($G$8-$F$8))))</f>
        <v>0.971452148425055</v>
      </c>
      <c r="E134" s="51" t="n">
        <f aca="false">1+IF($G$9=$E$9,$F$9,IF(S134&lt;($F$9-$E$9)/($G$9-$E$9),$E$9+SQRT(S134*($G$9-$E$9)*($F$9-$E$9)),$G$9-SQRT((1-S134)*($G$9-$E$9)*($G$9-$F$9))))</f>
        <v>1.06883480808025</v>
      </c>
      <c r="F134" s="51" t="n">
        <f aca="false">1+IF($G$10=$E$10,$F$10,IF(T134&lt;($F$10-$E$10)/($G$10-$E$10),$E$10+SQRT(T134*($G$10-$E$10)*($F$10-$E$10)),$G$10-SQRT((1-T134)*($G$10-$E$10)*($G$10-$F$10))))</f>
        <v>1.04577949716894</v>
      </c>
      <c r="G134" s="52" t="n">
        <f aca="false">IF($G$11=$E$11,$F$11,IF(U134&lt;($F$11-$E$11)/($G$11-$E$11),$E$11+SQRT(U134*($G$11-$E$11)*($F$11-$E$11)),$G$11-SQRT((1-U134)*($G$11-$E$11)*($G$11-$F$11))))</f>
        <v>0.095367243100794</v>
      </c>
      <c r="H134" s="53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-2091558994.33789</v>
      </c>
      <c r="I134" s="53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7006092.73881225</v>
      </c>
      <c r="J134" s="53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324558982.612916</v>
      </c>
      <c r="K134" s="53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694400847.345468</v>
      </c>
      <c r="L134" s="53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836238835.776426</v>
      </c>
      <c r="M134" s="53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1034167474.04417</v>
      </c>
      <c r="N134" s="53" t="n">
        <f aca="false">IF(COUNT('Business Case'!B11:G11)=0,"",H134+NPV(G134,I134:M134))</f>
        <v>-49579459.2765236</v>
      </c>
      <c r="P134" s="54" t="n">
        <f aca="true">RAND()</f>
        <v>0.233164330806286</v>
      </c>
      <c r="Q134" s="54" t="n">
        <f aca="true">RAND()</f>
        <v>0.897043292708517</v>
      </c>
      <c r="R134" s="54" t="n">
        <f aca="true">RAND()</f>
        <v>0.0707991803154727</v>
      </c>
      <c r="S134" s="54" t="n">
        <f aca="true">RAND()</f>
        <v>0.935248720840339</v>
      </c>
      <c r="T134" s="54" t="n">
        <f aca="true">RAND()</f>
        <v>0.524320730130724</v>
      </c>
      <c r="U134" s="54" t="n">
        <f aca="true">RAND()</f>
        <v>0.0960243283434023</v>
      </c>
    </row>
    <row r="135" customFormat="false" ht="15" hidden="false" customHeight="false" outlineLevel="0" collapsed="false">
      <c r="A135" s="50" t="n">
        <v>55</v>
      </c>
      <c r="B135" s="51" t="n">
        <f aca="false">1+IF($G$6=$E$6,$F$6,IF(P135&lt;($F$6-$E$6)/($G$6-$E$6),$E$6+SQRT(P135*($G$6-$E$6)*($F$6-$E$6)),$G$6-SQRT((1-P135)*($G$6-$E$6)*($G$6-$F$6))))</f>
        <v>0.992185782187185</v>
      </c>
      <c r="C135" s="51" t="n">
        <f aca="false">1+IF($G$7=$E$7,$F$7,IF(Q135&lt;($F$7-$E$7)/($G$7-$E$7),$E$7+SQRT(Q135*($G$7-$E$7)*($F$7-$E$7)),$G$7-SQRT((1-Q135)*($G$7-$E$7)*($G$7-$F$7))))</f>
        <v>0.834704454404174</v>
      </c>
      <c r="D135" s="51" t="n">
        <f aca="false">1+IF($G$8=$E$8,$F$8,IF(R135&lt;($F$8-$E$8)/($G$8-$E$8),$E$8+SQRT(R135*($G$8-$E$8)*($F$8-$E$8)),$G$8-SQRT((1-R135)*($G$8-$E$8)*($G$8-$F$8))))</f>
        <v>0.996722208951296</v>
      </c>
      <c r="E135" s="51" t="n">
        <f aca="false">1+IF($G$9=$E$9,$F$9,IF(S135&lt;($F$9-$E$9)/($G$9-$E$9),$E$9+SQRT(S135*($G$9-$E$9)*($F$9-$E$9)),$G$9-SQRT((1-S135)*($G$9-$E$9)*($G$9-$F$9))))</f>
        <v>1.03660783208053</v>
      </c>
      <c r="F135" s="51" t="n">
        <f aca="false">1+IF($G$10=$E$10,$F$10,IF(T135&lt;($F$10-$E$10)/($G$10-$E$10),$E$10+SQRT(T135*($G$10-$E$10)*($F$10-$E$10)),$G$10-SQRT((1-T135)*($G$10-$E$10)*($G$10-$F$10))))</f>
        <v>0.983371315777278</v>
      </c>
      <c r="G135" s="52" t="n">
        <f aca="false">IF($G$11=$E$11,$F$11,IF(U135&lt;($F$11-$E$11)/($G$11-$E$11),$E$11+SQRT(U135*($G$11-$E$11)*($F$11-$E$11)),$G$11-SQRT((1-U135)*($G$11-$E$11)*($G$11-$F$11))))</f>
        <v>0.113495823161802</v>
      </c>
      <c r="H135" s="53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-1966742631.55456</v>
      </c>
      <c r="I135" s="53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-36236413.8873204</v>
      </c>
      <c r="J135" s="53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216202886.805602</v>
      </c>
      <c r="K135" s="53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517810753.287389</v>
      </c>
      <c r="L135" s="53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630579153.038807</v>
      </c>
      <c r="M135" s="53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787999967.067911</v>
      </c>
      <c r="N135" s="53" t="n">
        <f aca="false">IF(COUNT('Business Case'!B11:G11)=0,"",H135+NPV(G135,I135:M135))</f>
        <v>-579311648.185925</v>
      </c>
      <c r="P135" s="54" t="n">
        <f aca="true">RAND()</f>
        <v>0.542790328122466</v>
      </c>
      <c r="Q135" s="54" t="n">
        <f aca="true">RAND()</f>
        <v>0.0172057022213051</v>
      </c>
      <c r="R135" s="54" t="n">
        <f aca="true">RAND()</f>
        <v>0.335840739890553</v>
      </c>
      <c r="S135" s="54" t="n">
        <f aca="true">RAND()</f>
        <v>0.732095536431277</v>
      </c>
      <c r="T135" s="54" t="n">
        <f aca="true">RAND()</f>
        <v>0.0890915773365433</v>
      </c>
      <c r="U135" s="54" t="n">
        <f aca="true">RAND()</f>
        <v>0.929492806095757</v>
      </c>
    </row>
    <row r="136" customFormat="false" ht="15" hidden="false" customHeight="false" outlineLevel="0" collapsed="false">
      <c r="A136" s="50" t="n">
        <v>56</v>
      </c>
      <c r="B136" s="51" t="n">
        <f aca="false">1+IF($G$6=$E$6,$F$6,IF(P136&lt;($F$6-$E$6)/($G$6-$E$6),$E$6+SQRT(P136*($G$6-$E$6)*($F$6-$E$6)),$G$6-SQRT((1-P136)*($G$6-$E$6)*($G$6-$F$6))))</f>
        <v>0.97140706107508</v>
      </c>
      <c r="C136" s="51" t="n">
        <f aca="false">1+IF($G$7=$E$7,$F$7,IF(Q136&lt;($F$7-$E$7)/($G$7-$E$7),$E$7+SQRT(Q136*($G$7-$E$7)*($F$7-$E$7)),$G$7-SQRT((1-Q136)*($G$7-$E$7)*($G$7-$F$7))))</f>
        <v>0.96576025661714</v>
      </c>
      <c r="D136" s="51" t="n">
        <f aca="false">1+IF($G$8=$E$8,$F$8,IF(R136&lt;($F$8-$E$8)/($G$8-$E$8),$E$8+SQRT(R136*($G$8-$E$8)*($F$8-$E$8)),$G$8-SQRT((1-R136)*($G$8-$E$8)*($G$8-$F$8))))</f>
        <v>1.01377895815675</v>
      </c>
      <c r="E136" s="51" t="n">
        <f aca="false">1+IF($G$9=$E$9,$F$9,IF(S136&lt;($F$9-$E$9)/($G$9-$E$9),$E$9+SQRT(S136*($G$9-$E$9)*($F$9-$E$9)),$G$9-SQRT((1-S136)*($G$9-$E$9)*($G$9-$F$9))))</f>
        <v>0.979258205909769</v>
      </c>
      <c r="F136" s="51" t="n">
        <f aca="false">1+IF($G$10=$E$10,$F$10,IF(T136&lt;($F$10-$E$10)/($G$10-$E$10),$E$10+SQRT(T136*($G$10-$E$10)*($F$10-$E$10)),$G$10-SQRT((1-T136)*($G$10-$E$10)*($G$10-$F$10))))</f>
        <v>1.00501173401496</v>
      </c>
      <c r="G136" s="52" t="n">
        <f aca="false">IF($G$11=$E$11,$F$11,IF(U136&lt;($F$11-$E$11)/($G$11-$E$11),$E$11+SQRT(U136*($G$11-$E$11)*($F$11-$E$11)),$G$11-SQRT((1-U136)*($G$11-$E$11)*($G$11-$F$11))))</f>
        <v>0.100322436407997</v>
      </c>
      <c r="H136" s="53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-2010023468.02992</v>
      </c>
      <c r="I136" s="53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-21180000.3596133</v>
      </c>
      <c r="J136" s="53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246025195.443771</v>
      </c>
      <c r="K136" s="53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563480977.947904</v>
      </c>
      <c r="L136" s="53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684971713.80312</v>
      </c>
      <c r="M136" s="53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863294568.700605</v>
      </c>
      <c r="N136" s="53" t="n">
        <f aca="false">IF(COUNT('Business Case'!B11:G11)=0,"",H136+NPV(G136,I136:M136))</f>
        <v>-400535557.104132</v>
      </c>
      <c r="P136" s="54" t="n">
        <f aca="true">RAND()</f>
        <v>0.275279784205939</v>
      </c>
      <c r="Q136" s="54" t="n">
        <f aca="true">RAND()</f>
        <v>0.392520895339717</v>
      </c>
      <c r="R136" s="54" t="n">
        <f aca="true">RAND()</f>
        <v>0.578343617037904</v>
      </c>
      <c r="S136" s="54" t="n">
        <f aca="true">RAND()</f>
        <v>0.114139015074462</v>
      </c>
      <c r="T136" s="54" t="n">
        <f aca="true">RAND()</f>
        <v>0.239591522562963</v>
      </c>
      <c r="U136" s="54" t="n">
        <f aca="true">RAND()</f>
        <v>0.354655818471155</v>
      </c>
    </row>
    <row r="137" customFormat="false" ht="15" hidden="false" customHeight="false" outlineLevel="0" collapsed="false">
      <c r="A137" s="50" t="n">
        <v>57</v>
      </c>
      <c r="B137" s="51" t="n">
        <f aca="false">1+IF($G$6=$E$6,$F$6,IF(P137&lt;($F$6-$E$6)/($G$6-$E$6),$E$6+SQRT(P137*($G$6-$E$6)*($F$6-$E$6)),$G$6-SQRT((1-P137)*($G$6-$E$6)*($G$6-$F$6))))</f>
        <v>0.925350738850036</v>
      </c>
      <c r="C137" s="51" t="n">
        <f aca="false">1+IF($G$7=$E$7,$F$7,IF(Q137&lt;($F$7-$E$7)/($G$7-$E$7),$E$7+SQRT(Q137*($G$7-$E$7)*($F$7-$E$7)),$G$7-SQRT((1-Q137)*($G$7-$E$7)*($G$7-$F$7))))</f>
        <v>1.06191903903461</v>
      </c>
      <c r="D137" s="51" t="n">
        <f aca="false">1+IF($G$8=$E$8,$F$8,IF(R137&lt;($F$8-$E$8)/($G$8-$E$8),$E$8+SQRT(R137*($G$8-$E$8)*($F$8-$E$8)),$G$8-SQRT((1-R137)*($G$8-$E$8)*($G$8-$F$8))))</f>
        <v>0.989370421631375</v>
      </c>
      <c r="E137" s="51" t="n">
        <f aca="false">1+IF($G$9=$E$9,$F$9,IF(S137&lt;($F$9-$E$9)/($G$9-$E$9),$E$9+SQRT(S137*($G$9-$E$9)*($F$9-$E$9)),$G$9-SQRT((1-S137)*($G$9-$E$9)*($G$9-$F$9))))</f>
        <v>1.00191729714667</v>
      </c>
      <c r="F137" s="51" t="n">
        <f aca="false">1+IF($G$10=$E$10,$F$10,IF(T137&lt;($F$10-$E$10)/($G$10-$E$10),$E$10+SQRT(T137*($G$10-$E$10)*($F$10-$E$10)),$G$10-SQRT((1-T137)*($G$10-$E$10)*($G$10-$F$10))))</f>
        <v>1.03805387859794</v>
      </c>
      <c r="G137" s="52" t="n">
        <f aca="false">IF($G$11=$E$11,$F$11,IF(U137&lt;($F$11-$E$11)/($G$11-$E$11),$E$11+SQRT(U137*($G$11-$E$11)*($F$11-$E$11)),$G$11-SQRT((1-U137)*($G$11-$E$11)*($G$11-$F$11))))</f>
        <v>0.107529475316032</v>
      </c>
      <c r="H137" s="53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-2076107757.19589</v>
      </c>
      <c r="I137" s="53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-30198537.7456349</v>
      </c>
      <c r="J137" s="53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236821401.915221</v>
      </c>
      <c r="K137" s="53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555744035.505973</v>
      </c>
      <c r="L137" s="53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678710981.987884</v>
      </c>
      <c r="M137" s="53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865492631.593496</v>
      </c>
      <c r="N137" s="53" t="n">
        <f aca="false">IF(COUNT('Business Case'!B11:G11)=0,"",H137+NPV(G137,I137:M137))</f>
        <v>-530753120.992917</v>
      </c>
      <c r="P137" s="54" t="n">
        <f aca="true">RAND()</f>
        <v>0.00298233398346737</v>
      </c>
      <c r="Q137" s="54" t="n">
        <f aca="true">RAND()</f>
        <v>0.852223701245953</v>
      </c>
      <c r="R137" s="54" t="n">
        <f aca="true">RAND()</f>
        <v>0.238466169143416</v>
      </c>
      <c r="S137" s="54" t="n">
        <f aca="true">RAND()</f>
        <v>0.358652226732342</v>
      </c>
      <c r="T137" s="54" t="n">
        <f aca="true">RAND()</f>
        <v>0.475469075256607</v>
      </c>
      <c r="U137" s="54" t="n">
        <f aca="true">RAND()</f>
        <v>0.740810023510894</v>
      </c>
    </row>
    <row r="138" customFormat="false" ht="15" hidden="false" customHeight="false" outlineLevel="0" collapsed="false">
      <c r="A138" s="50" t="n">
        <v>58</v>
      </c>
      <c r="B138" s="51" t="n">
        <f aca="false">1+IF($G$6=$E$6,$F$6,IF(P138&lt;($F$6-$E$6)/($G$6-$E$6),$E$6+SQRT(P138*($G$6-$E$6)*($F$6-$E$6)),$G$6-SQRT((1-P138)*($G$6-$E$6)*($G$6-$F$6))))</f>
        <v>0.95351565349257</v>
      </c>
      <c r="C138" s="51" t="n">
        <f aca="false">1+IF($G$7=$E$7,$F$7,IF(Q138&lt;($F$7-$E$7)/($G$7-$E$7),$E$7+SQRT(Q138*($G$7-$E$7)*($F$7-$E$7)),$G$7-SQRT((1-Q138)*($G$7-$E$7)*($G$7-$F$7))))</f>
        <v>0.93392564146834</v>
      </c>
      <c r="D138" s="51" t="n">
        <f aca="false">1+IF($G$8=$E$8,$F$8,IF(R138&lt;($F$8-$E$8)/($G$8-$E$8),$E$8+SQRT(R138*($G$8-$E$8)*($F$8-$E$8)),$G$8-SQRT((1-R138)*($G$8-$E$8)*($G$8-$F$8))))</f>
        <v>1.00573021748201</v>
      </c>
      <c r="E138" s="51" t="n">
        <f aca="false">1+IF($G$9=$E$9,$F$9,IF(S138&lt;($F$9-$E$9)/($G$9-$E$9),$E$9+SQRT(S138*($G$9-$E$9)*($F$9-$E$9)),$G$9-SQRT((1-S138)*($G$9-$E$9)*($G$9-$F$9))))</f>
        <v>1.01104022341641</v>
      </c>
      <c r="F138" s="51" t="n">
        <f aca="false">1+IF($G$10=$E$10,$F$10,IF(T138&lt;($F$10-$E$10)/($G$10-$E$10),$E$10+SQRT(T138*($G$10-$E$10)*($F$10-$E$10)),$G$10-SQRT((1-T138)*($G$10-$E$10)*($G$10-$F$10))))</f>
        <v>0.991066270114288</v>
      </c>
      <c r="G138" s="52" t="n">
        <f aca="false">IF($G$11=$E$11,$F$11,IF(U138&lt;($F$11-$E$11)/($G$11-$E$11),$E$11+SQRT(U138*($G$11-$E$11)*($F$11-$E$11)),$G$11-SQRT((1-U138)*($G$11-$E$11)*($G$11-$F$11))))</f>
        <v>0.0974731930060767</v>
      </c>
      <c r="H138" s="53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-1982132540.22858</v>
      </c>
      <c r="I138" s="53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-40481496.8012075</v>
      </c>
      <c r="J138" s="53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208077732.497477</v>
      </c>
      <c r="K138" s="53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506190275.301877</v>
      </c>
      <c r="L138" s="53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619819471.280538</v>
      </c>
      <c r="M138" s="53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789088128.782254</v>
      </c>
      <c r="N138" s="53" t="n">
        <f aca="false">IF(COUNT('Business Case'!B11:G11)=0,"",H138+NPV(G138,I138:M138))</f>
        <v>-540434223.258693</v>
      </c>
      <c r="P138" s="54" t="n">
        <f aca="true">RAND()</f>
        <v>0.117010315524379</v>
      </c>
      <c r="Q138" s="54" t="n">
        <f aca="true">RAND()</f>
        <v>0.256229677752947</v>
      </c>
      <c r="R138" s="54" t="n">
        <f aca="true">RAND()</f>
        <v>0.469615327377962</v>
      </c>
      <c r="S138" s="54" t="n">
        <f aca="true">RAND()</f>
        <v>0.472410543346539</v>
      </c>
      <c r="T138" s="54" t="n">
        <f aca="true">RAND()</f>
        <v>0.134915083287972</v>
      </c>
      <c r="U138" s="54" t="n">
        <f aca="true">RAND()</f>
        <v>0.186162045686912</v>
      </c>
    </row>
    <row r="139" customFormat="false" ht="15" hidden="false" customHeight="false" outlineLevel="0" collapsed="false">
      <c r="A139" s="50" t="n">
        <v>59</v>
      </c>
      <c r="B139" s="51" t="n">
        <f aca="false">1+IF($G$6=$E$6,$F$6,IF(P139&lt;($F$6-$E$6)/($G$6-$E$6),$E$6+SQRT(P139*($G$6-$E$6)*($F$6-$E$6)),$G$6-SQRT((1-P139)*($G$6-$E$6)*($G$6-$F$6))))</f>
        <v>0.972575646964948</v>
      </c>
      <c r="C139" s="51" t="n">
        <f aca="false">1+IF($G$7=$E$7,$F$7,IF(Q139&lt;($F$7-$E$7)/($G$7-$E$7),$E$7+SQRT(Q139*($G$7-$E$7)*($F$7-$E$7)),$G$7-SQRT((1-Q139)*($G$7-$E$7)*($G$7-$F$7))))</f>
        <v>0.873883354403408</v>
      </c>
      <c r="D139" s="51" t="n">
        <f aca="false">1+IF($G$8=$E$8,$F$8,IF(R139&lt;($F$8-$E$8)/($G$8-$E$8),$E$8+SQRT(R139*($G$8-$E$8)*($F$8-$E$8)),$G$8-SQRT((1-R139)*($G$8-$E$8)*($G$8-$F$8))))</f>
        <v>1.02059908633083</v>
      </c>
      <c r="E139" s="51" t="n">
        <f aca="false">1+IF($G$9=$E$9,$F$9,IF(S139&lt;($F$9-$E$9)/($G$9-$E$9),$E$9+SQRT(S139*($G$9-$E$9)*($F$9-$E$9)),$G$9-SQRT((1-S139)*($G$9-$E$9)*($G$9-$F$9))))</f>
        <v>1.02420181504398</v>
      </c>
      <c r="F139" s="51" t="n">
        <f aca="false">1+IF($G$10=$E$10,$F$10,IF(T139&lt;($F$10-$E$10)/($G$10-$E$10),$E$10+SQRT(T139*($G$10-$E$10)*($F$10-$E$10)),$G$10-SQRT((1-T139)*($G$10-$E$10)*($G$10-$F$10))))</f>
        <v>1.03188276860647</v>
      </c>
      <c r="G139" s="52" t="n">
        <f aca="false">IF($G$11=$E$11,$F$11,IF(U139&lt;($F$11-$E$11)/($G$11-$E$11),$E$11+SQRT(U139*($G$11-$E$11)*($F$11-$E$11)),$G$11-SQRT((1-U139)*($G$11-$E$11)*($G$11-$F$11))))</f>
        <v>0.0990274324718054</v>
      </c>
      <c r="H139" s="53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-2063765537.21294</v>
      </c>
      <c r="I139" s="53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-53319282.5103156</v>
      </c>
      <c r="J139" s="53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186250941.888866</v>
      </c>
      <c r="K139" s="53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477415304.718372</v>
      </c>
      <c r="L139" s="53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586645200.817831</v>
      </c>
      <c r="M139" s="53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748197551.299684</v>
      </c>
      <c r="N139" s="53" t="n">
        <f aca="false">IF(COUNT('Business Case'!B11:G11)=0,"",H139+NPV(G139,I139:M139))</f>
        <v>-729701472.638856</v>
      </c>
      <c r="P139" s="54" t="n">
        <f aca="true">RAND()</f>
        <v>0.287937359769046</v>
      </c>
      <c r="Q139" s="54" t="n">
        <f aca="true">RAND()</f>
        <v>0.0779821436842792</v>
      </c>
      <c r="R139" s="54" t="n">
        <f aca="true">RAND()</f>
        <v>0.660724178391121</v>
      </c>
      <c r="S139" s="54" t="n">
        <f aca="true">RAND()</f>
        <v>0.61697567715821</v>
      </c>
      <c r="T139" s="54" t="n">
        <f aca="true">RAND()</f>
        <v>0.434731930171496</v>
      </c>
      <c r="U139" s="54" t="n">
        <f aca="true">RAND()</f>
        <v>0.271648456776687</v>
      </c>
    </row>
    <row r="140" customFormat="false" ht="15" hidden="false" customHeight="false" outlineLevel="0" collapsed="false">
      <c r="A140" s="50" t="n">
        <v>60</v>
      </c>
      <c r="B140" s="51" t="n">
        <f aca="false">1+IF($G$6=$E$6,$F$6,IF(P140&lt;($F$6-$E$6)/($G$6-$E$6),$E$6+SQRT(P140*($G$6-$E$6)*($F$6-$E$6)),$G$6-SQRT((1-P140)*($G$6-$E$6)*($G$6-$F$6))))</f>
        <v>0.996045738568223</v>
      </c>
      <c r="C140" s="51" t="n">
        <f aca="false">1+IF($G$7=$E$7,$F$7,IF(Q140&lt;($F$7-$E$7)/($G$7-$E$7),$E$7+SQRT(Q140*($G$7-$E$7)*($F$7-$E$7)),$G$7-SQRT((1-Q140)*($G$7-$E$7)*($G$7-$F$7))))</f>
        <v>1.03842701231972</v>
      </c>
      <c r="D140" s="51" t="n">
        <f aca="false">1+IF($G$8=$E$8,$F$8,IF(R140&lt;($F$8-$E$8)/($G$8-$E$8),$E$8+SQRT(R140*($G$8-$E$8)*($F$8-$E$8)),$G$8-SQRT((1-R140)*($G$8-$E$8)*($G$8-$F$8))))</f>
        <v>1.00950145414044</v>
      </c>
      <c r="E140" s="51" t="n">
        <f aca="false">1+IF($G$9=$E$9,$F$9,IF(S140&lt;($F$9-$E$9)/($G$9-$E$9),$E$9+SQRT(S140*($G$9-$E$9)*($F$9-$E$9)),$G$9-SQRT((1-S140)*($G$9-$E$9)*($G$9-$F$9))))</f>
        <v>0.998483944158207</v>
      </c>
      <c r="F140" s="51" t="n">
        <f aca="false">1+IF($G$10=$E$10,$F$10,IF(T140&lt;($F$10-$E$10)/($G$10-$E$10),$E$10+SQRT(T140*($G$10-$E$10)*($F$10-$E$10)),$G$10-SQRT((1-T140)*($G$10-$E$10)*($G$10-$F$10))))</f>
        <v>1.10004209925307</v>
      </c>
      <c r="G140" s="52" t="n">
        <f aca="false">IF($G$11=$E$11,$F$11,IF(U140&lt;($F$11-$E$11)/($G$11-$E$11),$E$11+SQRT(U140*($G$11-$E$11)*($F$11-$E$11)),$G$11-SQRT((1-U140)*($G$11-$E$11)*($G$11-$F$11))))</f>
        <v>0.106516748805545</v>
      </c>
      <c r="H140" s="53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-2200084198.50615</v>
      </c>
      <c r="I140" s="53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4932940.63600197</v>
      </c>
      <c r="J140" s="53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315473698.351169</v>
      </c>
      <c r="K140" s="53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681016561.028989</v>
      </c>
      <c r="L140" s="53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820276273.797085</v>
      </c>
      <c r="M140" s="53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1016879971.54381</v>
      </c>
      <c r="N140" s="53" t="n">
        <f aca="false">IF(COUNT('Business Case'!B11:G11)=0,"",H140+NPV(G140,I140:M140))</f>
        <v>-275090548.802628</v>
      </c>
      <c r="P140" s="54" t="n">
        <f aca="true">RAND()</f>
        <v>0.602391078581925</v>
      </c>
      <c r="Q140" s="54" t="n">
        <f aca="true">RAND()</f>
        <v>0.762885112763748</v>
      </c>
      <c r="R140" s="54" t="n">
        <f aca="true">RAND()</f>
        <v>0.522111060739203</v>
      </c>
      <c r="S140" s="54" t="n">
        <f aca="true">RAND()</f>
        <v>0.313425712151483</v>
      </c>
      <c r="T140" s="54" t="n">
        <f aca="true">RAND()</f>
        <v>0.800168361565352</v>
      </c>
      <c r="U140" s="54" t="n">
        <f aca="true">RAND()</f>
        <v>0.697003228712037</v>
      </c>
    </row>
    <row r="141" customFormat="false" ht="15" hidden="false" customHeight="false" outlineLevel="0" collapsed="false">
      <c r="A141" s="50" t="n">
        <v>61</v>
      </c>
      <c r="B141" s="51" t="n">
        <f aca="false">1+IF($G$6=$E$6,$F$6,IF(P141&lt;($F$6-$E$6)/($G$6-$E$6),$E$6+SQRT(P141*($G$6-$E$6)*($F$6-$E$6)),$G$6-SQRT((1-P141)*($G$6-$E$6)*($G$6-$F$6))))</f>
        <v>0.983201681741968</v>
      </c>
      <c r="C141" s="51" t="n">
        <f aca="false">1+IF($G$7=$E$7,$F$7,IF(Q141&lt;($F$7-$E$7)/($G$7-$E$7),$E$7+SQRT(Q141*($G$7-$E$7)*($F$7-$E$7)),$G$7-SQRT((1-Q141)*($G$7-$E$7)*($G$7-$F$7))))</f>
        <v>1.13087414018621</v>
      </c>
      <c r="D141" s="51" t="n">
        <f aca="false">1+IF($G$8=$E$8,$F$8,IF(R141&lt;($F$8-$E$8)/($G$8-$E$8),$E$8+SQRT(R141*($G$8-$E$8)*($F$8-$E$8)),$G$8-SQRT((1-R141)*($G$8-$E$8)*($G$8-$F$8))))</f>
        <v>1.02929781367662</v>
      </c>
      <c r="E141" s="51" t="n">
        <f aca="false">1+IF($G$9=$E$9,$F$9,IF(S141&lt;($F$9-$E$9)/($G$9-$E$9),$E$9+SQRT(S141*($G$9-$E$9)*($F$9-$E$9)),$G$9-SQRT((1-S141)*($G$9-$E$9)*($G$9-$F$9))))</f>
        <v>1.07995924747153</v>
      </c>
      <c r="F141" s="51" t="n">
        <f aca="false">1+IF($G$10=$E$10,$F$10,IF(T141&lt;($F$10-$E$10)/($G$10-$E$10),$E$10+SQRT(T141*($G$10-$E$10)*($F$10-$E$10)),$G$10-SQRT((1-T141)*($G$10-$E$10)*($G$10-$F$10))))</f>
        <v>1.01032429151411</v>
      </c>
      <c r="G141" s="52" t="n">
        <f aca="false">IF($G$11=$E$11,$F$11,IF(U141&lt;($F$11-$E$11)/($G$11-$E$11),$E$11+SQRT(U141*($G$11-$E$11)*($F$11-$E$11)),$G$11-SQRT((1-U141)*($G$11-$E$11)*($G$11-$F$11))))</f>
        <v>0.106365753811161</v>
      </c>
      <c r="H141" s="53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-2020648583.02822</v>
      </c>
      <c r="I141" s="53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2587158.94042116</v>
      </c>
      <c r="J141" s="53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317416674.182088</v>
      </c>
      <c r="K141" s="53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682762403.99946</v>
      </c>
      <c r="L141" s="53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826132057.186271</v>
      </c>
      <c r="M141" s="53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1037477705.10401</v>
      </c>
      <c r="N141" s="53" t="n">
        <f aca="false">IF(COUNT('Business Case'!B11:G11)=0,"",H141+NPV(G141,I141:M141))</f>
        <v>-77570529.9587464</v>
      </c>
      <c r="P141" s="54" t="n">
        <f aca="true">RAND()</f>
        <v>0.416088809897193</v>
      </c>
      <c r="Q141" s="54" t="n">
        <f aca="true">RAND()</f>
        <v>0.993032409264442</v>
      </c>
      <c r="R141" s="54" t="n">
        <f aca="true">RAND()</f>
        <v>0.752816182887417</v>
      </c>
      <c r="S141" s="54" t="n">
        <f aca="true">RAND()</f>
        <v>0.973224549206172</v>
      </c>
      <c r="T141" s="54" t="n">
        <f aca="true">RAND()</f>
        <v>0.280462512207501</v>
      </c>
      <c r="U141" s="54" t="n">
        <f aca="true">RAND()</f>
        <v>0.690178884770209</v>
      </c>
    </row>
    <row r="142" customFormat="false" ht="15" hidden="false" customHeight="false" outlineLevel="0" collapsed="false">
      <c r="A142" s="50" t="n">
        <v>62</v>
      </c>
      <c r="B142" s="51" t="n">
        <f aca="false">1+IF($G$6=$E$6,$F$6,IF(P142&lt;($F$6-$E$6)/($G$6-$E$6),$E$6+SQRT(P142*($G$6-$E$6)*($F$6-$E$6)),$G$6-SQRT((1-P142)*($G$6-$E$6)*($G$6-$F$6))))</f>
        <v>1.02372930484426</v>
      </c>
      <c r="C142" s="51" t="n">
        <f aca="false">1+IF($G$7=$E$7,$F$7,IF(Q142&lt;($F$7-$E$7)/($G$7-$E$7),$E$7+SQRT(Q142*($G$7-$E$7)*($F$7-$E$7)),$G$7-SQRT((1-Q142)*($G$7-$E$7)*($G$7-$F$7))))</f>
        <v>0.979136644816133</v>
      </c>
      <c r="D142" s="51" t="n">
        <f aca="false">1+IF($G$8=$E$8,$F$8,IF(R142&lt;($F$8-$E$8)/($G$8-$E$8),$E$8+SQRT(R142*($G$8-$E$8)*($F$8-$E$8)),$G$8-SQRT((1-R142)*($G$8-$E$8)*($G$8-$F$8))))</f>
        <v>1.01089786358431</v>
      </c>
      <c r="E142" s="51" t="n">
        <f aca="false">1+IF($G$9=$E$9,$F$9,IF(S142&lt;($F$9-$E$9)/($G$9-$E$9),$E$9+SQRT(S142*($G$9-$E$9)*($F$9-$E$9)),$G$9-SQRT((1-S142)*($G$9-$E$9)*($G$9-$F$9))))</f>
        <v>1.05047487506601</v>
      </c>
      <c r="F142" s="51" t="n">
        <f aca="false">1+IF($G$10=$E$10,$F$10,IF(T142&lt;($F$10-$E$10)/($G$10-$E$10),$E$10+SQRT(T142*($G$10-$E$10)*($F$10-$E$10)),$G$10-SQRT((1-T142)*($G$10-$E$10)*($G$10-$F$10))))</f>
        <v>0.971866114740056</v>
      </c>
      <c r="G142" s="52" t="n">
        <f aca="false">IF($G$11=$E$11,$F$11,IF(U142&lt;($F$11-$E$11)/($G$11-$E$11),$E$11+SQRT(U142*($G$11-$E$11)*($F$11-$E$11)),$G$11-SQRT((1-U142)*($G$11-$E$11)*($G$11-$F$11))))</f>
        <v>0.105192930405692</v>
      </c>
      <c r="H142" s="53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-1943732229.48011</v>
      </c>
      <c r="I142" s="53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15784801.4602569</v>
      </c>
      <c r="J142" s="53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330096647.879376</v>
      </c>
      <c r="K142" s="53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693001800.035497</v>
      </c>
      <c r="L142" s="53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832414353.008849</v>
      </c>
      <c r="M142" s="53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1022945009.26057</v>
      </c>
      <c r="N142" s="53" t="n">
        <f aca="false">IF(COUNT('Business Case'!B11:G11)=0,"",H142+NPV(G142,I142:M142))</f>
        <v>32482662.7276819</v>
      </c>
      <c r="P142" s="54" t="n">
        <f aca="true">RAND()</f>
        <v>0.944846766489383</v>
      </c>
      <c r="Q142" s="54" t="n">
        <f aca="true">RAND()</f>
        <v>0.458427678799736</v>
      </c>
      <c r="R142" s="54" t="n">
        <f aca="true">RAND()</f>
        <v>0.540855263729492</v>
      </c>
      <c r="S142" s="54" t="n">
        <f aca="true">RAND()</f>
        <v>0.836484133351529</v>
      </c>
      <c r="T142" s="54" t="n">
        <f aca="true">RAND()</f>
        <v>0.0382501579060239</v>
      </c>
      <c r="U142" s="54" t="n">
        <f aca="true">RAND()</f>
        <v>0.634584483382198</v>
      </c>
    </row>
    <row r="143" customFormat="false" ht="15" hidden="false" customHeight="false" outlineLevel="0" collapsed="false">
      <c r="A143" s="50" t="n">
        <v>63</v>
      </c>
      <c r="B143" s="51" t="n">
        <f aca="false">1+IF($G$6=$E$6,$F$6,IF(P143&lt;($F$6-$E$6)/($G$6-$E$6),$E$6+SQRT(P143*($G$6-$E$6)*($F$6-$E$6)),$G$6-SQRT((1-P143)*($G$6-$E$6)*($G$6-$F$6))))</f>
        <v>1.01203646689052</v>
      </c>
      <c r="C143" s="51" t="n">
        <f aca="false">1+IF($G$7=$E$7,$F$7,IF(Q143&lt;($F$7-$E$7)/($G$7-$E$7),$E$7+SQRT(Q143*($G$7-$E$7)*($F$7-$E$7)),$G$7-SQRT((1-Q143)*($G$7-$E$7)*($G$7-$F$7))))</f>
        <v>0.963568119076005</v>
      </c>
      <c r="D143" s="51" t="n">
        <f aca="false">1+IF($G$8=$E$8,$F$8,IF(R143&lt;($F$8-$E$8)/($G$8-$E$8),$E$8+SQRT(R143*($G$8-$E$8)*($F$8-$E$8)),$G$8-SQRT((1-R143)*($G$8-$E$8)*($G$8-$F$8))))</f>
        <v>1.03646186500347</v>
      </c>
      <c r="E143" s="51" t="n">
        <f aca="false">1+IF($G$9=$E$9,$F$9,IF(S143&lt;($F$9-$E$9)/($G$9-$E$9),$E$9+SQRT(S143*($G$9-$E$9)*($F$9-$E$9)),$G$9-SQRT((1-S143)*($G$9-$E$9)*($G$9-$F$9))))</f>
        <v>1.04174086338983</v>
      </c>
      <c r="F143" s="51" t="n">
        <f aca="false">1+IF($G$10=$E$10,$F$10,IF(T143&lt;($F$10-$E$10)/($G$10-$E$10),$E$10+SQRT(T143*($G$10-$E$10)*($F$10-$E$10)),$G$10-SQRT((1-T143)*($G$10-$E$10)*($G$10-$F$10))))</f>
        <v>1.05114723929276</v>
      </c>
      <c r="G143" s="52" t="n">
        <f aca="false">IF($G$11=$E$11,$F$11,IF(U143&lt;($F$11-$E$11)/($G$11-$E$11),$E$11+SQRT(U143*($G$11-$E$11)*($F$11-$E$11)),$G$11-SQRT((1-U143)*($G$11-$E$11)*($G$11-$F$11))))</f>
        <v>0.0922164827542916</v>
      </c>
      <c r="H143" s="53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-2102294478.58552</v>
      </c>
      <c r="I143" s="53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-16326984.839172</v>
      </c>
      <c r="J143" s="53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271148914.344568</v>
      </c>
      <c r="K143" s="53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611182175.492947</v>
      </c>
      <c r="L143" s="53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740709214.767262</v>
      </c>
      <c r="M143" s="53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926068782.272473</v>
      </c>
      <c r="N143" s="53" t="n">
        <f aca="false">IF(COUNT('Business Case'!B11:G11)=0,"",H143+NPV(G143,I143:M143))</f>
        <v>-304580967.548576</v>
      </c>
      <c r="P143" s="54" t="n">
        <f aca="true">RAND()</f>
        <v>0.837091836673924</v>
      </c>
      <c r="Q143" s="54" t="n">
        <f aca="true">RAND()</f>
        <v>0.382207565400887</v>
      </c>
      <c r="R143" s="54" t="n">
        <f aca="true">RAND()</f>
        <v>0.817733730867715</v>
      </c>
      <c r="S143" s="54" t="n">
        <f aca="true">RAND()</f>
        <v>0.773724866762466</v>
      </c>
      <c r="T143" s="54" t="n">
        <f aca="true">RAND()</f>
        <v>0.556857112596674</v>
      </c>
      <c r="U143" s="54" t="n">
        <f aca="true">RAND()</f>
        <v>0.0163759860002395</v>
      </c>
    </row>
    <row r="144" customFormat="false" ht="15" hidden="false" customHeight="false" outlineLevel="0" collapsed="false">
      <c r="A144" s="50" t="n">
        <v>64</v>
      </c>
      <c r="B144" s="51" t="n">
        <f aca="false">1+IF($G$6=$E$6,$F$6,IF(P144&lt;($F$6-$E$6)/($G$6-$E$6),$E$6+SQRT(P144*($G$6-$E$6)*($F$6-$E$6)),$G$6-SQRT((1-P144)*($G$6-$E$6)*($G$6-$F$6))))</f>
        <v>0.945856993250866</v>
      </c>
      <c r="C144" s="51" t="n">
        <f aca="false">1+IF($G$7=$E$7,$F$7,IF(Q144&lt;($F$7-$E$7)/($G$7-$E$7),$E$7+SQRT(Q144*($G$7-$E$7)*($F$7-$E$7)),$G$7-SQRT((1-Q144)*($G$7-$E$7)*($G$7-$F$7))))</f>
        <v>0.93152993623571</v>
      </c>
      <c r="D144" s="51" t="n">
        <f aca="false">1+IF($G$8=$E$8,$F$8,IF(R144&lt;($F$8-$E$8)/($G$8-$E$8),$E$8+SQRT(R144*($G$8-$E$8)*($F$8-$E$8)),$G$8-SQRT((1-R144)*($G$8-$E$8)*($G$8-$F$8))))</f>
        <v>0.992310709486758</v>
      </c>
      <c r="E144" s="51" t="n">
        <f aca="false">1+IF($G$9=$E$9,$F$9,IF(S144&lt;($F$9-$E$9)/($G$9-$E$9),$E$9+SQRT(S144*($G$9-$E$9)*($F$9-$E$9)),$G$9-SQRT((1-S144)*($G$9-$E$9)*($G$9-$F$9))))</f>
        <v>0.993723395890751</v>
      </c>
      <c r="F144" s="51" t="n">
        <f aca="false">1+IF($G$10=$E$10,$F$10,IF(T144&lt;($F$10-$E$10)/($G$10-$E$10),$E$10+SQRT(T144*($G$10-$E$10)*($F$10-$E$10)),$G$10-SQRT((1-T144)*($G$10-$E$10)*($G$10-$F$10))))</f>
        <v>1.11604163166709</v>
      </c>
      <c r="G144" s="52" t="n">
        <f aca="false">IF($G$11=$E$11,$F$11,IF(U144&lt;($F$11-$E$11)/($G$11-$E$11),$E$11+SQRT(U144*($G$11-$E$11)*($F$11-$E$11)),$G$11-SQRT((1-U144)*($G$11-$E$11)*($G$11-$F$11))))</f>
        <v>0.098423623943115</v>
      </c>
      <c r="H144" s="53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-2232083263.33418</v>
      </c>
      <c r="I144" s="53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-50110060.1731678</v>
      </c>
      <c r="J144" s="53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198367428.099076</v>
      </c>
      <c r="K144" s="53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502646997.954675</v>
      </c>
      <c r="L144" s="53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615923439.634116</v>
      </c>
      <c r="M144" s="53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783401807.03859</v>
      </c>
      <c r="N144" s="53" t="n">
        <f aca="false">IF(COUNT('Business Case'!B11:G11)=0,"",H144+NPV(G144,I144:M144))</f>
        <v>-820982452.314507</v>
      </c>
      <c r="P144" s="54" t="n">
        <f aca="true">RAND()</f>
        <v>0.0696441770807619</v>
      </c>
      <c r="Q144" s="54" t="n">
        <f aca="true">RAND()</f>
        <v>0.247144630373857</v>
      </c>
      <c r="R144" s="54" t="n">
        <f aca="true">RAND()</f>
        <v>0.275414790349667</v>
      </c>
      <c r="S144" s="54" t="n">
        <f aca="true">RAND()</f>
        <v>0.254898046429249</v>
      </c>
      <c r="T144" s="54" t="n">
        <f aca="true">RAND()</f>
        <v>0.859019847737505</v>
      </c>
      <c r="U144" s="54" t="n">
        <f aca="true">RAND()</f>
        <v>0.236524801116735</v>
      </c>
    </row>
    <row r="145" customFormat="false" ht="15" hidden="false" customHeight="false" outlineLevel="0" collapsed="false">
      <c r="A145" s="50" t="n">
        <v>65</v>
      </c>
      <c r="B145" s="51" t="n">
        <f aca="false">1+IF($G$6=$E$6,$F$6,IF(P145&lt;($F$6-$E$6)/($G$6-$E$6),$E$6+SQRT(P145*($G$6-$E$6)*($F$6-$E$6)),$G$6-SQRT((1-P145)*($G$6-$E$6)*($G$6-$F$6))))</f>
        <v>1.00398309584402</v>
      </c>
      <c r="C145" s="51" t="n">
        <f aca="false">1+IF($G$7=$E$7,$F$7,IF(Q145&lt;($F$7-$E$7)/($G$7-$E$7),$E$7+SQRT(Q145*($G$7-$E$7)*($F$7-$E$7)),$G$7-SQRT((1-Q145)*($G$7-$E$7)*($G$7-$F$7))))</f>
        <v>0.966076217013487</v>
      </c>
      <c r="D145" s="51" t="n">
        <f aca="false">1+IF($G$8=$E$8,$F$8,IF(R145&lt;($F$8-$E$8)/($G$8-$E$8),$E$8+SQRT(R145*($G$8-$E$8)*($F$8-$E$8)),$G$8-SQRT((1-R145)*($G$8-$E$8)*($G$8-$F$8))))</f>
        <v>1.0077797026726</v>
      </c>
      <c r="E145" s="51" t="n">
        <f aca="false">1+IF($G$9=$E$9,$F$9,IF(S145&lt;($F$9-$E$9)/($G$9-$E$9),$E$9+SQRT(S145*($G$9-$E$9)*($F$9-$E$9)),$G$9-SQRT((1-S145)*($G$9-$E$9)*($G$9-$F$9))))</f>
        <v>0.956331838008488</v>
      </c>
      <c r="F145" s="51" t="n">
        <f aca="false">1+IF($G$10=$E$10,$F$10,IF(T145&lt;($F$10-$E$10)/($G$10-$E$10),$E$10+SQRT(T145*($G$10-$E$10)*($F$10-$E$10)),$G$10-SQRT((1-T145)*($G$10-$E$10)*($G$10-$F$10))))</f>
        <v>0.964891723901439</v>
      </c>
      <c r="G145" s="52" t="n">
        <f aca="false">IF($G$11=$E$11,$F$11,IF(U145&lt;($F$11-$E$11)/($G$11-$E$11),$E$11+SQRT(U145*($G$11-$E$11)*($F$11-$E$11)),$G$11-SQRT((1-U145)*($G$11-$E$11)*($G$11-$F$11))))</f>
        <v>0.103544796194327</v>
      </c>
      <c r="H145" s="53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-1929783447.80288</v>
      </c>
      <c r="I145" s="53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13276099.2481671</v>
      </c>
      <c r="J145" s="53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309312628.321978</v>
      </c>
      <c r="K145" s="53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653593743.59086</v>
      </c>
      <c r="L145" s="53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785793166.662592</v>
      </c>
      <c r="M145" s="53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970156356.921798</v>
      </c>
      <c r="N145" s="53" t="n">
        <f aca="false">IF(COUNT('Business Case'!B11:G11)=0,"",H145+NPV(G145,I145:M145))</f>
        <v>-54802445.8675122</v>
      </c>
      <c r="P145" s="54" t="n">
        <f aca="true">RAND()</f>
        <v>0.729746378128993</v>
      </c>
      <c r="Q145" s="54" t="n">
        <f aca="true">RAND()</f>
        <v>0.394018712250156</v>
      </c>
      <c r="R145" s="54" t="n">
        <f aca="true">RAND()</f>
        <v>0.498483524417469</v>
      </c>
      <c r="S145" s="54" t="n">
        <f aca="true">RAND()</f>
        <v>0.00534562300876467</v>
      </c>
      <c r="T145" s="54" t="n">
        <f aca="true">RAND()</f>
        <v>0.0177410752605356</v>
      </c>
      <c r="U145" s="54" t="n">
        <f aca="true">RAND()</f>
        <v>0.548710446189627</v>
      </c>
    </row>
    <row r="146" customFormat="false" ht="15" hidden="false" customHeight="false" outlineLevel="0" collapsed="false">
      <c r="A146" s="50" t="n">
        <v>66</v>
      </c>
      <c r="B146" s="51" t="n">
        <f aca="false">1+IF($G$6=$E$6,$F$6,IF(P146&lt;($F$6-$E$6)/($G$6-$E$6),$E$6+SQRT(P146*($G$6-$E$6)*($F$6-$E$6)),$G$6-SQRT((1-P146)*($G$6-$E$6)*($G$6-$F$6))))</f>
        <v>0.980386373864164</v>
      </c>
      <c r="C146" s="51" t="n">
        <f aca="false">1+IF($G$7=$E$7,$F$7,IF(Q146&lt;($F$7-$E$7)/($G$7-$E$7),$E$7+SQRT(Q146*($G$7-$E$7)*($F$7-$E$7)),$G$7-SQRT((1-Q146)*($G$7-$E$7)*($G$7-$F$7))))</f>
        <v>0.98154546238352</v>
      </c>
      <c r="D146" s="51" t="n">
        <f aca="false">1+IF($G$8=$E$8,$F$8,IF(R146&lt;($F$8-$E$8)/($G$8-$E$8),$E$8+SQRT(R146*($G$8-$E$8)*($F$8-$E$8)),$G$8-SQRT((1-R146)*($G$8-$E$8)*($G$8-$F$8))))</f>
        <v>1.06084081261087</v>
      </c>
      <c r="E146" s="51" t="n">
        <f aca="false">1+IF($G$9=$E$9,$F$9,IF(S146&lt;($F$9-$E$9)/($G$9-$E$9),$E$9+SQRT(S146*($G$9-$E$9)*($F$9-$E$9)),$G$9-SQRT((1-S146)*($G$9-$E$9)*($G$9-$F$9))))</f>
        <v>1.06061716772034</v>
      </c>
      <c r="F146" s="51" t="n">
        <f aca="false">1+IF($G$10=$E$10,$F$10,IF(T146&lt;($F$10-$E$10)/($G$10-$E$10),$E$10+SQRT(T146*($G$10-$E$10)*($F$10-$E$10)),$G$10-SQRT((1-T146)*($G$10-$E$10)*($G$10-$F$10))))</f>
        <v>1.07377961330089</v>
      </c>
      <c r="G146" s="52" t="n">
        <f aca="false">IF($G$11=$E$11,$F$11,IF(U146&lt;($F$11-$E$11)/($G$11-$E$11),$E$11+SQRT(U146*($G$11-$E$11)*($F$11-$E$11)),$G$11-SQRT((1-U146)*($G$11-$E$11)*($G$11-$F$11))))</f>
        <v>0.108426146030985</v>
      </c>
      <c r="H146" s="53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-2147559226.60178</v>
      </c>
      <c r="I146" s="53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-52938732.1063143</v>
      </c>
      <c r="J146" s="53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202205568.785577</v>
      </c>
      <c r="K146" s="53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511038850.342514</v>
      </c>
      <c r="L146" s="53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629343824.252001</v>
      </c>
      <c r="M146" s="53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812256629.119043</v>
      </c>
      <c r="N146" s="53" t="n">
        <f aca="false">IF(COUNT('Business Case'!B11:G11)=0,"",H146+NPV(G146,I146:M146))</f>
        <v>-753082779.487976</v>
      </c>
      <c r="P146" s="54" t="n">
        <f aca="true">RAND()</f>
        <v>0.379845223798183</v>
      </c>
      <c r="Q146" s="54" t="n">
        <f aca="true">RAND()</f>
        <v>0.470839355886373</v>
      </c>
      <c r="R146" s="54" t="n">
        <f aca="true">RAND()</f>
        <v>0.964704378710396</v>
      </c>
      <c r="S146" s="54" t="n">
        <f aca="true">RAND()</f>
        <v>0.89659950144215</v>
      </c>
      <c r="T146" s="54" t="n">
        <f aca="true">RAND()</f>
        <v>0.681368279630552</v>
      </c>
      <c r="U146" s="54" t="n">
        <f aca="true">RAND()</f>
        <v>0.776743173839854</v>
      </c>
    </row>
    <row r="147" customFormat="false" ht="15" hidden="false" customHeight="false" outlineLevel="0" collapsed="false">
      <c r="A147" s="50" t="n">
        <v>67</v>
      </c>
      <c r="B147" s="51" t="n">
        <f aca="false">1+IF($G$6=$E$6,$F$6,IF(P147&lt;($F$6-$E$6)/($G$6-$E$6),$E$6+SQRT(P147*($G$6-$E$6)*($F$6-$E$6)),$G$6-SQRT((1-P147)*($G$6-$E$6)*($G$6-$F$6))))</f>
        <v>0.98586476261177</v>
      </c>
      <c r="C147" s="51" t="n">
        <f aca="false">1+IF($G$7=$E$7,$F$7,IF(Q147&lt;($F$7-$E$7)/($G$7-$E$7),$E$7+SQRT(Q147*($G$7-$E$7)*($F$7-$E$7)),$G$7-SQRT((1-Q147)*($G$7-$E$7)*($G$7-$F$7))))</f>
        <v>0.958080698553508</v>
      </c>
      <c r="D147" s="51" t="n">
        <f aca="false">1+IF($G$8=$E$8,$F$8,IF(R147&lt;($F$8-$E$8)/($G$8-$E$8),$E$8+SQRT(R147*($G$8-$E$8)*($F$8-$E$8)),$G$8-SQRT((1-R147)*($G$8-$E$8)*($G$8-$F$8))))</f>
        <v>1.03152303421949</v>
      </c>
      <c r="E147" s="51" t="n">
        <f aca="false">1+IF($G$9=$E$9,$F$9,IF(S147&lt;($F$9-$E$9)/($G$9-$E$9),$E$9+SQRT(S147*($G$9-$E$9)*($F$9-$E$9)),$G$9-SQRT((1-S147)*($G$9-$E$9)*($G$9-$F$9))))</f>
        <v>0.99357742601318</v>
      </c>
      <c r="F147" s="51" t="n">
        <f aca="false">1+IF($G$10=$E$10,$F$10,IF(T147&lt;($F$10-$E$10)/($G$10-$E$10),$E$10+SQRT(T147*($G$10-$E$10)*($F$10-$E$10)),$G$10-SQRT((1-T147)*($G$10-$E$10)*($G$10-$F$10))))</f>
        <v>1.09423434466686</v>
      </c>
      <c r="G147" s="52" t="n">
        <f aca="false">IF($G$11=$E$11,$F$11,IF(U147&lt;($F$11-$E$11)/($G$11-$E$11),$E$11+SQRT(U147*($G$11-$E$11)*($F$11-$E$11)),$G$11-SQRT((1-U147)*($G$11-$E$11)*($G$11-$F$11))))</f>
        <v>0.098723401807544</v>
      </c>
      <c r="H147" s="53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-2188468689.33372</v>
      </c>
      <c r="I147" s="53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-31951845.0155306</v>
      </c>
      <c r="J147" s="53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235771304.357632</v>
      </c>
      <c r="K147" s="53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558206170.964137</v>
      </c>
      <c r="L147" s="53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680090454.05048</v>
      </c>
      <c r="M147" s="53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859628237.174566</v>
      </c>
      <c r="N147" s="53" t="n">
        <f aca="false">IF(COUNT('Business Case'!B11:G11)=0,"",H147+NPV(G147,I147:M147))</f>
        <v>-597848958.786304</v>
      </c>
      <c r="P147" s="54" t="n">
        <f aca="true">RAND()</f>
        <v>0.451892391031748</v>
      </c>
      <c r="Q147" s="54" t="n">
        <f aca="true">RAND()</f>
        <v>0.35699296078807</v>
      </c>
      <c r="R147" s="54" t="n">
        <f aca="true">RAND()</f>
        <v>0.774036902761051</v>
      </c>
      <c r="S147" s="54" t="n">
        <f aca="true">RAND()</f>
        <v>0.253198941057892</v>
      </c>
      <c r="T147" s="54" t="n">
        <f aca="true">RAND()</f>
        <v>0.776272523039034</v>
      </c>
      <c r="U147" s="54" t="n">
        <f aca="true">RAND()</f>
        <v>0.253659130319537</v>
      </c>
    </row>
    <row r="148" customFormat="false" ht="15" hidden="false" customHeight="false" outlineLevel="0" collapsed="false">
      <c r="A148" s="50" t="n">
        <v>68</v>
      </c>
      <c r="B148" s="51" t="n">
        <f aca="false">1+IF($G$6=$E$6,$F$6,IF(P148&lt;($F$6-$E$6)/($G$6-$E$6),$E$6+SQRT(P148*($G$6-$E$6)*($F$6-$E$6)),$G$6-SQRT((1-P148)*($G$6-$E$6)*($G$6-$F$6))))</f>
        <v>0.955142501413479</v>
      </c>
      <c r="C148" s="51" t="n">
        <f aca="false">1+IF($G$7=$E$7,$F$7,IF(Q148&lt;($F$7-$E$7)/($G$7-$E$7),$E$7+SQRT(Q148*($G$7-$E$7)*($F$7-$E$7)),$G$7-SQRT((1-Q148)*($G$7-$E$7)*($G$7-$F$7))))</f>
        <v>1.13211005271168</v>
      </c>
      <c r="D148" s="51" t="n">
        <f aca="false">1+IF($G$8=$E$8,$F$8,IF(R148&lt;($F$8-$E$8)/($G$8-$E$8),$E$8+SQRT(R148*($G$8-$E$8)*($F$8-$E$8)),$G$8-SQRT((1-R148)*($G$8-$E$8)*($G$8-$F$8))))</f>
        <v>0.991689543912412</v>
      </c>
      <c r="E148" s="51" t="n">
        <f aca="false">1+IF($G$9=$E$9,$F$9,IF(S148&lt;($F$9-$E$9)/($G$9-$E$9),$E$9+SQRT(S148*($G$9-$E$9)*($F$9-$E$9)),$G$9-SQRT((1-S148)*($G$9-$E$9)*($G$9-$F$9))))</f>
        <v>0.993255476334278</v>
      </c>
      <c r="F148" s="51" t="n">
        <f aca="false">1+IF($G$10=$E$10,$F$10,IF(T148&lt;($F$10-$E$10)/($G$10-$E$10),$E$10+SQRT(T148*($G$10-$E$10)*($F$10-$E$10)),$G$10-SQRT((1-T148)*($G$10-$E$10)*($G$10-$F$10))))</f>
        <v>1.00274400139042</v>
      </c>
      <c r="G148" s="52" t="n">
        <f aca="false">IF($G$11=$E$11,$F$11,IF(U148&lt;($F$11-$E$11)/($G$11-$E$11),$E$11+SQRT(U148*($G$11-$E$11)*($F$11-$E$11)),$G$11-SQRT((1-U148)*($G$11-$E$11)*($G$11-$F$11))))</f>
        <v>0.0961834256939333</v>
      </c>
      <c r="H148" s="53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-2005488002.78085</v>
      </c>
      <c r="I148" s="53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13379453.641805</v>
      </c>
      <c r="J148" s="53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324330198.165331</v>
      </c>
      <c r="K148" s="53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685418142.758378</v>
      </c>
      <c r="L148" s="53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826439032.271516</v>
      </c>
      <c r="M148" s="53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1031977559.63398</v>
      </c>
      <c r="N148" s="53" t="n">
        <f aca="false">IF(COUNT('Business Case'!B11:G11)=0,"",H148+NPV(G148,I148:M148))</f>
        <v>21372211.8999274</v>
      </c>
      <c r="P148" s="54" t="n">
        <f aca="true">RAND()</f>
        <v>0.12864535474962</v>
      </c>
      <c r="Q148" s="54" t="n">
        <f aca="true">RAND()</f>
        <v>0.993903805448024</v>
      </c>
      <c r="R148" s="54" t="n">
        <f aca="true">RAND()</f>
        <v>0.267387395634608</v>
      </c>
      <c r="S148" s="54" t="n">
        <f aca="true">RAND()</f>
        <v>0.249471497720698</v>
      </c>
      <c r="T148" s="54" t="n">
        <f aca="true">RAND()</f>
        <v>0.221801420250773</v>
      </c>
      <c r="U148" s="54" t="n">
        <f aca="true">RAND()</f>
        <v>0.12744917770798</v>
      </c>
    </row>
    <row r="149" customFormat="false" ht="15" hidden="false" customHeight="false" outlineLevel="0" collapsed="false">
      <c r="A149" s="50" t="n">
        <v>69</v>
      </c>
      <c r="B149" s="51" t="n">
        <f aca="false">1+IF($G$6=$E$6,$F$6,IF(P149&lt;($F$6-$E$6)/($G$6-$E$6),$E$6+SQRT(P149*($G$6-$E$6)*($F$6-$E$6)),$G$6-SQRT((1-P149)*($G$6-$E$6)*($G$6-$F$6))))</f>
        <v>0.968150491054302</v>
      </c>
      <c r="C149" s="51" t="n">
        <f aca="false">1+IF($G$7=$E$7,$F$7,IF(Q149&lt;($F$7-$E$7)/($G$7-$E$7),$E$7+SQRT(Q149*($G$7-$E$7)*($F$7-$E$7)),$G$7-SQRT((1-Q149)*($G$7-$E$7)*($G$7-$F$7))))</f>
        <v>1.00268046234823</v>
      </c>
      <c r="D149" s="51" t="n">
        <f aca="false">1+IF($G$8=$E$8,$F$8,IF(R149&lt;($F$8-$E$8)/($G$8-$E$8),$E$8+SQRT(R149*($G$8-$E$8)*($F$8-$E$8)),$G$8-SQRT((1-R149)*($G$8-$E$8)*($G$8-$F$8))))</f>
        <v>0.971447447944456</v>
      </c>
      <c r="E149" s="51" t="n">
        <f aca="false">1+IF($G$9=$E$9,$F$9,IF(S149&lt;($F$9-$E$9)/($G$9-$E$9),$E$9+SQRT(S149*($G$9-$E$9)*($F$9-$E$9)),$G$9-SQRT((1-S149)*($G$9-$E$9)*($G$9-$F$9))))</f>
        <v>1.07278801887185</v>
      </c>
      <c r="F149" s="51" t="n">
        <f aca="false">1+IF($G$10=$E$10,$F$10,IF(T149&lt;($F$10-$E$10)/($G$10-$E$10),$E$10+SQRT(T149*($G$10-$E$10)*($F$10-$E$10)),$G$10-SQRT((1-T149)*($G$10-$E$10)*($G$10-$F$10))))</f>
        <v>1.0023553490556</v>
      </c>
      <c r="G149" s="52" t="n">
        <f aca="false">IF($G$11=$E$11,$F$11,IF(U149&lt;($F$11-$E$11)/($G$11-$E$11),$E$11+SQRT(U149*($G$11-$E$11)*($F$11-$E$11)),$G$11-SQRT((1-U149)*($G$11-$E$11)*($G$11-$F$11))))</f>
        <v>0.0936758729109504</v>
      </c>
      <c r="H149" s="53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-2004710698.11121</v>
      </c>
      <c r="I149" s="53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-6635297.35639104</v>
      </c>
      <c r="J149" s="53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289838847.446872</v>
      </c>
      <c r="K149" s="53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636430759.702916</v>
      </c>
      <c r="L149" s="53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768804441.951014</v>
      </c>
      <c r="M149" s="53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953323762.176242</v>
      </c>
      <c r="N149" s="53" t="n">
        <f aca="false">IF(COUNT('Business Case'!B11:G11)=0,"",H149+NPV(G149,I149:M149))</f>
        <v>-135352996.708398</v>
      </c>
      <c r="P149" s="54" t="n">
        <f aca="true">RAND()</f>
        <v>0.241507269663582</v>
      </c>
      <c r="Q149" s="54" t="n">
        <f aca="true">RAND()</f>
        <v>0.586608644306058</v>
      </c>
      <c r="R149" s="54" t="n">
        <f aca="true">RAND()</f>
        <v>0.0707681574354084</v>
      </c>
      <c r="S149" s="54" t="n">
        <f aca="true">RAND()</f>
        <v>0.950633872205417</v>
      </c>
      <c r="T149" s="54" t="n">
        <f aca="true">RAND()</f>
        <v>0.218731839061357</v>
      </c>
      <c r="U149" s="54" t="n">
        <f aca="true">RAND()</f>
        <v>0.0450401388581975</v>
      </c>
    </row>
    <row r="150" customFormat="false" ht="15" hidden="false" customHeight="false" outlineLevel="0" collapsed="false">
      <c r="A150" s="50" t="n">
        <v>70</v>
      </c>
      <c r="B150" s="51" t="n">
        <f aca="false">1+IF($G$6=$E$6,$F$6,IF(P150&lt;($F$6-$E$6)/($G$6-$E$6),$E$6+SQRT(P150*($G$6-$E$6)*($F$6-$E$6)),$G$6-SQRT((1-P150)*($G$6-$E$6)*($G$6-$F$6))))</f>
        <v>1.00399640630527</v>
      </c>
      <c r="C150" s="51" t="n">
        <f aca="false">1+IF($G$7=$E$7,$F$7,IF(Q150&lt;($F$7-$E$7)/($G$7-$E$7),$E$7+SQRT(Q150*($G$7-$E$7)*($F$7-$E$7)),$G$7-SQRT((1-Q150)*($G$7-$E$7)*($G$7-$F$7))))</f>
        <v>0.865766601068639</v>
      </c>
      <c r="D150" s="51" t="n">
        <f aca="false">1+IF($G$8=$E$8,$F$8,IF(R150&lt;($F$8-$E$8)/($G$8-$E$8),$E$8+SQRT(R150*($G$8-$E$8)*($F$8-$E$8)),$G$8-SQRT((1-R150)*($G$8-$E$8)*($G$8-$F$8))))</f>
        <v>1.01924745620796</v>
      </c>
      <c r="E150" s="51" t="n">
        <f aca="false">1+IF($G$9=$E$9,$F$9,IF(S150&lt;($F$9-$E$9)/($G$9-$E$9),$E$9+SQRT(S150*($G$9-$E$9)*($F$9-$E$9)),$G$9-SQRT((1-S150)*($G$9-$E$9)*($G$9-$F$9))))</f>
        <v>1.01942239315415</v>
      </c>
      <c r="F150" s="51" t="n">
        <f aca="false">1+IF($G$10=$E$10,$F$10,IF(T150&lt;($F$10-$E$10)/($G$10-$E$10),$E$10+SQRT(T150*($G$10-$E$10)*($F$10-$E$10)),$G$10-SQRT((1-T150)*($G$10-$E$10)*($G$10-$F$10))))</f>
        <v>1.0799539431837</v>
      </c>
      <c r="G150" s="52" t="n">
        <f aca="false">IF($G$11=$E$11,$F$11,IF(U150&lt;($F$11-$E$11)/($G$11-$E$11),$E$11+SQRT(U150*($G$11-$E$11)*($F$11-$E$11)),$G$11-SQRT((1-U150)*($G$11-$E$11)*($G$11-$F$11))))</f>
        <v>0.105844602842564</v>
      </c>
      <c r="H150" s="53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-2159907886.36741</v>
      </c>
      <c r="I150" s="53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-37792602.82166</v>
      </c>
      <c r="J150" s="53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222432757.653529</v>
      </c>
      <c r="K150" s="53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536655815.287904</v>
      </c>
      <c r="L150" s="53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653438071.894272</v>
      </c>
      <c r="M150" s="53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818660655.691454</v>
      </c>
      <c r="N150" s="53" t="n">
        <f aca="false">IF(COUNT('Business Case'!B11:G11)=0,"",H150+NPV(G150,I150:M150))</f>
        <v>-683375832.239221</v>
      </c>
      <c r="P150" s="54" t="n">
        <f aca="true">RAND()</f>
        <v>0.729946091888447</v>
      </c>
      <c r="Q150" s="54" t="n">
        <f aca="true">RAND()</f>
        <v>0.0617892259445937</v>
      </c>
      <c r="R150" s="54" t="n">
        <f aca="true">RAND()</f>
        <v>0.645108502191963</v>
      </c>
      <c r="S150" s="54" t="n">
        <f aca="true">RAND()</f>
        <v>0.567149951666381</v>
      </c>
      <c r="T150" s="54" t="n">
        <f aca="true">RAND()</f>
        <v>0.711778884857176</v>
      </c>
      <c r="U150" s="54" t="n">
        <f aca="true">RAND()</f>
        <v>0.666041218858775</v>
      </c>
    </row>
    <row r="151" customFormat="false" ht="15" hidden="false" customHeight="false" outlineLevel="0" collapsed="false">
      <c r="A151" s="50" t="n">
        <v>71</v>
      </c>
      <c r="B151" s="51" t="n">
        <f aca="false">1+IF($G$6=$E$6,$F$6,IF(P151&lt;($F$6-$E$6)/($G$6-$E$6),$E$6+SQRT(P151*($G$6-$E$6)*($F$6-$E$6)),$G$6-SQRT((1-P151)*($G$6-$E$6)*($G$6-$F$6))))</f>
        <v>0.998952895481797</v>
      </c>
      <c r="C151" s="51" t="n">
        <f aca="false">1+IF($G$7=$E$7,$F$7,IF(Q151&lt;($F$7-$E$7)/($G$7-$E$7),$E$7+SQRT(Q151*($G$7-$E$7)*($F$7-$E$7)),$G$7-SQRT((1-Q151)*($G$7-$E$7)*($G$7-$F$7))))</f>
        <v>0.971762643712171</v>
      </c>
      <c r="D151" s="51" t="n">
        <f aca="false">1+IF($G$8=$E$8,$F$8,IF(R151&lt;($F$8-$E$8)/($G$8-$E$8),$E$8+SQRT(R151*($G$8-$E$8)*($F$8-$E$8)),$G$8-SQRT((1-R151)*($G$8-$E$8)*($G$8-$F$8))))</f>
        <v>1.01147126896093</v>
      </c>
      <c r="E151" s="51" t="n">
        <f aca="false">1+IF($G$9=$E$9,$F$9,IF(S151&lt;($F$9-$E$9)/($G$9-$E$9),$E$9+SQRT(S151*($G$9-$E$9)*($F$9-$E$9)),$G$9-SQRT((1-S151)*($G$9-$E$9)*($G$9-$F$9))))</f>
        <v>0.988210239655117</v>
      </c>
      <c r="F151" s="51" t="n">
        <f aca="false">1+IF($G$10=$E$10,$F$10,IF(T151&lt;($F$10-$E$10)/($G$10-$E$10),$E$10+SQRT(T151*($G$10-$E$10)*($F$10-$E$10)),$G$10-SQRT((1-T151)*($G$10-$E$10)*($G$10-$F$10))))</f>
        <v>1.08109175988201</v>
      </c>
      <c r="G151" s="52" t="n">
        <f aca="false">IF($G$11=$E$11,$F$11,IF(U151&lt;($F$11-$E$11)/($G$11-$E$11),$E$11+SQRT(U151*($G$11-$E$11)*($F$11-$E$11)),$G$11-SQRT((1-U151)*($G$11-$E$11)*($G$11-$F$11))))</f>
        <v>0.0997032786960188</v>
      </c>
      <c r="H151" s="53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-2162183519.76401</v>
      </c>
      <c r="I151" s="53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-7017246.71126472</v>
      </c>
      <c r="J151" s="53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284921604.973744</v>
      </c>
      <c r="K151" s="53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630915044.652854</v>
      </c>
      <c r="L151" s="53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761776946.100601</v>
      </c>
      <c r="M151" s="53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946296175.974024</v>
      </c>
      <c r="N151" s="53" t="n">
        <f aca="false">IF(COUNT('Business Case'!B11:G11)=0,"",H151+NPV(G151,I151:M151))</f>
        <v>-349331175.761652</v>
      </c>
      <c r="P151" s="54" t="n">
        <f aca="true">RAND()</f>
        <v>0.649329135933283</v>
      </c>
      <c r="Q151" s="54" t="n">
        <f aca="true">RAND()</f>
        <v>0.421462939642773</v>
      </c>
      <c r="R151" s="54" t="n">
        <f aca="true">RAND()</f>
        <v>0.548443559824557</v>
      </c>
      <c r="S151" s="54" t="n">
        <f aca="true">RAND()</f>
        <v>0.194669655266867</v>
      </c>
      <c r="T151" s="54" t="n">
        <f aca="true">RAND()</f>
        <v>0.717216608640835</v>
      </c>
      <c r="U151" s="54" t="n">
        <f aca="true">RAND()</f>
        <v>0.31384539150871</v>
      </c>
    </row>
    <row r="152" customFormat="false" ht="15" hidden="false" customHeight="false" outlineLevel="0" collapsed="false">
      <c r="A152" s="50" t="n">
        <v>72</v>
      </c>
      <c r="B152" s="51" t="n">
        <f aca="false">1+IF($G$6=$E$6,$F$6,IF(P152&lt;($F$6-$E$6)/($G$6-$E$6),$E$6+SQRT(P152*($G$6-$E$6)*($F$6-$E$6)),$G$6-SQRT((1-P152)*($G$6-$E$6)*($G$6-$F$6))))</f>
        <v>1.00361622875179</v>
      </c>
      <c r="C152" s="51" t="n">
        <f aca="false">1+IF($G$7=$E$7,$F$7,IF(Q152&lt;($F$7-$E$7)/($G$7-$E$7),$E$7+SQRT(Q152*($G$7-$E$7)*($F$7-$E$7)),$G$7-SQRT((1-Q152)*($G$7-$E$7)*($G$7-$F$7))))</f>
        <v>1.0967637972529</v>
      </c>
      <c r="D152" s="51" t="n">
        <f aca="false">1+IF($G$8=$E$8,$F$8,IF(R152&lt;($F$8-$E$8)/($G$8-$E$8),$E$8+SQRT(R152*($G$8-$E$8)*($F$8-$E$8)),$G$8-SQRT((1-R152)*($G$8-$E$8)*($G$8-$F$8))))</f>
        <v>1.00793567835208</v>
      </c>
      <c r="E152" s="51" t="n">
        <f aca="false">1+IF($G$9=$E$9,$F$9,IF(S152&lt;($F$9-$E$9)/($G$9-$E$9),$E$9+SQRT(S152*($G$9-$E$9)*($F$9-$E$9)),$G$9-SQRT((1-S152)*($G$9-$E$9)*($G$9-$F$9))))</f>
        <v>1.01026947705336</v>
      </c>
      <c r="F152" s="51" t="n">
        <f aca="false">1+IF($G$10=$E$10,$F$10,IF(T152&lt;($F$10-$E$10)/($G$10-$E$10),$E$10+SQRT(T152*($G$10-$E$10)*($F$10-$E$10)),$G$10-SQRT((1-T152)*($G$10-$E$10)*($G$10-$F$10))))</f>
        <v>1.09172559672556</v>
      </c>
      <c r="G152" s="52" t="n">
        <f aca="false">IF($G$11=$E$11,$F$11,IF(U152&lt;($F$11-$E$11)/($G$11-$E$11),$E$11+SQRT(U152*($G$11-$E$11)*($F$11-$E$11)),$G$11-SQRT((1-U152)*($G$11-$E$11)*($G$11-$F$11))))</f>
        <v>0.0994889771395891</v>
      </c>
      <c r="H152" s="53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-2183451193.45111</v>
      </c>
      <c r="I152" s="53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25771506.7004872</v>
      </c>
      <c r="J152" s="53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361437733.112736</v>
      </c>
      <c r="K152" s="53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751690239.361262</v>
      </c>
      <c r="L152" s="53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901620208.433492</v>
      </c>
      <c r="M152" s="53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1110846956.57496</v>
      </c>
      <c r="N152" s="53" t="n">
        <f aca="false">IF(COUNT('Business Case'!B11:G11)=0,"",H152+NPV(G152,I152:M152))</f>
        <v>12836161.8080606</v>
      </c>
      <c r="P152" s="54" t="n">
        <f aca="true">RAND()</f>
        <v>0.724212747866294</v>
      </c>
      <c r="Q152" s="54" t="n">
        <f aca="true">RAND()</f>
        <v>0.946017270801329</v>
      </c>
      <c r="R152" s="54" t="n">
        <f aca="true">RAND()</f>
        <v>0.500647456290844</v>
      </c>
      <c r="S152" s="54" t="n">
        <f aca="true">RAND()</f>
        <v>0.463228883448121</v>
      </c>
      <c r="T152" s="54" t="n">
        <f aca="true">RAND()</f>
        <v>0.765533071911266</v>
      </c>
      <c r="U152" s="54" t="n">
        <f aca="true">RAND()</f>
        <v>0.300135623852151</v>
      </c>
    </row>
    <row r="153" customFormat="false" ht="15" hidden="false" customHeight="false" outlineLevel="0" collapsed="false">
      <c r="A153" s="50" t="n">
        <v>73</v>
      </c>
      <c r="B153" s="51" t="n">
        <f aca="false">1+IF($G$6=$E$6,$F$6,IF(P153&lt;($F$6-$E$6)/($G$6-$E$6),$E$6+SQRT(P153*($G$6-$E$6)*($F$6-$E$6)),$G$6-SQRT((1-P153)*($G$6-$E$6)*($G$6-$F$6))))</f>
        <v>0.974423972267787</v>
      </c>
      <c r="C153" s="51" t="n">
        <f aca="false">1+IF($G$7=$E$7,$F$7,IF(Q153&lt;($F$7-$E$7)/($G$7-$E$7),$E$7+SQRT(Q153*($G$7-$E$7)*($F$7-$E$7)),$G$7-SQRT((1-Q153)*($G$7-$E$7)*($G$7-$F$7))))</f>
        <v>1.00663569681683</v>
      </c>
      <c r="D153" s="51" t="n">
        <f aca="false">1+IF($G$8=$E$8,$F$8,IF(R153&lt;($F$8-$E$8)/($G$8-$E$8),$E$8+SQRT(R153*($G$8-$E$8)*($F$8-$E$8)),$G$8-SQRT((1-R153)*($G$8-$E$8)*($G$8-$F$8))))</f>
        <v>0.980977967987475</v>
      </c>
      <c r="E153" s="51" t="n">
        <f aca="false">1+IF($G$9=$E$9,$F$9,IF(S153&lt;($F$9-$E$9)/($G$9-$E$9),$E$9+SQRT(S153*($G$9-$E$9)*($F$9-$E$9)),$G$9-SQRT((1-S153)*($G$9-$E$9)*($G$9-$F$9))))</f>
        <v>1.00331179911666</v>
      </c>
      <c r="F153" s="51" t="n">
        <f aca="false">1+IF($G$10=$E$10,$F$10,IF(T153&lt;($F$10-$E$10)/($G$10-$E$10),$E$10+SQRT(T153*($G$10-$E$10)*($F$10-$E$10)),$G$10-SQRT((1-T153)*($G$10-$E$10)*($G$10-$F$10))))</f>
        <v>1.00216156727202</v>
      </c>
      <c r="G153" s="52" t="n">
        <f aca="false">IF($G$11=$E$11,$F$11,IF(U153&lt;($F$11-$E$11)/($G$11-$E$11),$E$11+SQRT(U153*($G$11-$E$11)*($F$11-$E$11)),$G$11-SQRT((1-U153)*($G$11-$E$11)*($G$11-$F$11))))</f>
        <v>0.116389466455404</v>
      </c>
      <c r="H153" s="53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-2004323134.54405</v>
      </c>
      <c r="I153" s="53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4168496.39764626</v>
      </c>
      <c r="J153" s="53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302073422.588771</v>
      </c>
      <c r="K153" s="53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650086427.143497</v>
      </c>
      <c r="L153" s="53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783287626.028463</v>
      </c>
      <c r="M153" s="53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969735188.545383</v>
      </c>
      <c r="N153" s="53" t="n">
        <f aca="false">IF(COUNT('Business Case'!B11:G11)=0,"",H153+NPV(G153,I153:M153))</f>
        <v>-227521434.551953</v>
      </c>
      <c r="P153" s="54" t="n">
        <f aca="true">RAND()</f>
        <v>0.308538412229671</v>
      </c>
      <c r="Q153" s="54" t="n">
        <f aca="true">RAND()</f>
        <v>0.608508125196279</v>
      </c>
      <c r="R153" s="54" t="n">
        <f aca="true">RAND()</f>
        <v>0.147636077020463</v>
      </c>
      <c r="S153" s="54" t="n">
        <f aca="true">RAND()</f>
        <v>0.376759453996183</v>
      </c>
      <c r="T153" s="54" t="n">
        <f aca="true">RAND()</f>
        <v>0.217199090714767</v>
      </c>
      <c r="U153" s="54" t="n">
        <f aca="true">RAND()</f>
        <v>0.978273412538907</v>
      </c>
    </row>
    <row r="154" customFormat="false" ht="15" hidden="false" customHeight="false" outlineLevel="0" collapsed="false">
      <c r="A154" s="50" t="n">
        <v>74</v>
      </c>
      <c r="B154" s="51" t="n">
        <f aca="false">1+IF($G$6=$E$6,$F$6,IF(P154&lt;($F$6-$E$6)/($G$6-$E$6),$E$6+SQRT(P154*($G$6-$E$6)*($F$6-$E$6)),$G$6-SQRT((1-P154)*($G$6-$E$6)*($G$6-$F$6))))</f>
        <v>0.983589985460294</v>
      </c>
      <c r="C154" s="51" t="n">
        <f aca="false">1+IF($G$7=$E$7,$F$7,IF(Q154&lt;($F$7-$E$7)/($G$7-$E$7),$E$7+SQRT(Q154*($G$7-$E$7)*($F$7-$E$7)),$G$7-SQRT((1-Q154)*($G$7-$E$7)*($G$7-$F$7))))</f>
        <v>0.964389045204507</v>
      </c>
      <c r="D154" s="51" t="n">
        <f aca="false">1+IF($G$8=$E$8,$F$8,IF(R154&lt;($F$8-$E$8)/($G$8-$E$8),$E$8+SQRT(R154*($G$8-$E$8)*($F$8-$E$8)),$G$8-SQRT((1-R154)*($G$8-$E$8)*($G$8-$F$8))))</f>
        <v>0.99563185871412</v>
      </c>
      <c r="E154" s="51" t="n">
        <f aca="false">1+IF($G$9=$E$9,$F$9,IF(S154&lt;($F$9-$E$9)/($G$9-$E$9),$E$9+SQRT(S154*($G$9-$E$9)*($F$9-$E$9)),$G$9-SQRT((1-S154)*($G$9-$E$9)*($G$9-$F$9))))</f>
        <v>1.01587485849254</v>
      </c>
      <c r="F154" s="51" t="n">
        <f aca="false">1+IF($G$10=$E$10,$F$10,IF(T154&lt;($F$10-$E$10)/($G$10-$E$10),$E$10+SQRT(T154*($G$10-$E$10)*($F$10-$E$10)),$G$10-SQRT((1-T154)*($G$10-$E$10)*($G$10-$F$10))))</f>
        <v>1.08096220615162</v>
      </c>
      <c r="G154" s="52" t="n">
        <f aca="false">IF($G$11=$E$11,$F$11,IF(U154&lt;($F$11-$E$11)/($G$11-$E$11),$E$11+SQRT(U154*($G$11-$E$11)*($F$11-$E$11)),$G$11-SQRT((1-U154)*($G$11-$E$11)*($G$11-$F$11))))</f>
        <v>0.0922481893638629</v>
      </c>
      <c r="H154" s="53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-2161924412.30323</v>
      </c>
      <c r="I154" s="53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-16318957.8259959</v>
      </c>
      <c r="J154" s="53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269089236.857137</v>
      </c>
      <c r="K154" s="53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608545541.84785</v>
      </c>
      <c r="L154" s="53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736463958.086446</v>
      </c>
      <c r="M154" s="53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916766890.479648</v>
      </c>
      <c r="N154" s="53" t="n">
        <f aca="false">IF(COUNT('Business Case'!B11:G11)=0,"",H154+NPV(G154,I154:M154))</f>
        <v>-377120338.426231</v>
      </c>
      <c r="P154" s="54" t="n">
        <f aca="true">RAND()</f>
        <v>0.421217317795879</v>
      </c>
      <c r="Q154" s="54" t="n">
        <f aca="true">RAND()</f>
        <v>0.386053688332137</v>
      </c>
      <c r="R154" s="54" t="n">
        <f aca="true">RAND()</f>
        <v>0.320348696877753</v>
      </c>
      <c r="S154" s="54" t="n">
        <f aca="true">RAND()</f>
        <v>0.528197371089962</v>
      </c>
      <c r="T154" s="54" t="n">
        <f aca="true">RAND()</f>
        <v>0.716600072714193</v>
      </c>
      <c r="U154" s="54" t="n">
        <f aca="true">RAND()</f>
        <v>0.0168478513859546</v>
      </c>
    </row>
    <row r="155" customFormat="false" ht="15" hidden="false" customHeight="false" outlineLevel="0" collapsed="false">
      <c r="A155" s="50" t="n">
        <v>75</v>
      </c>
      <c r="B155" s="51" t="n">
        <f aca="false">1+IF($G$6=$E$6,$F$6,IF(P155&lt;($F$6-$E$6)/($G$6-$E$6),$E$6+SQRT(P155*($G$6-$E$6)*($F$6-$E$6)),$G$6-SQRT((1-P155)*($G$6-$E$6)*($G$6-$F$6))))</f>
        <v>0.950024552105423</v>
      </c>
      <c r="C155" s="51" t="n">
        <f aca="false">1+IF($G$7=$E$7,$F$7,IF(Q155&lt;($F$7-$E$7)/($G$7-$E$7),$E$7+SQRT(Q155*($G$7-$E$7)*($F$7-$E$7)),$G$7-SQRT((1-Q155)*($G$7-$E$7)*($G$7-$F$7))))</f>
        <v>0.911239317863025</v>
      </c>
      <c r="D155" s="51" t="n">
        <f aca="false">1+IF($G$8=$E$8,$F$8,IF(R155&lt;($F$8-$E$8)/($G$8-$E$8),$E$8+SQRT(R155*($G$8-$E$8)*($F$8-$E$8)),$G$8-SQRT((1-R155)*($G$8-$E$8)*($G$8-$F$8))))</f>
        <v>1.04722108398996</v>
      </c>
      <c r="E155" s="51" t="n">
        <f aca="false">1+IF($G$9=$E$9,$F$9,IF(S155&lt;($F$9-$E$9)/($G$9-$E$9),$E$9+SQRT(S155*($G$9-$E$9)*($F$9-$E$9)),$G$9-SQRT((1-S155)*($G$9-$E$9)*($G$9-$F$9))))</f>
        <v>1.01598217329176</v>
      </c>
      <c r="F155" s="51" t="n">
        <f aca="false">1+IF($G$10=$E$10,$F$10,IF(T155&lt;($F$10-$E$10)/($G$10-$E$10),$E$10+SQRT(T155*($G$10-$E$10)*($F$10-$E$10)),$G$10-SQRT((1-T155)*($G$10-$E$10)*($G$10-$F$10))))</f>
        <v>1.02502524231923</v>
      </c>
      <c r="G155" s="52" t="n">
        <f aca="false">IF($G$11=$E$11,$F$11,IF(U155&lt;($F$11-$E$11)/($G$11-$E$11),$E$11+SQRT(U155*($G$11-$E$11)*($F$11-$E$11)),$G$11-SQRT((1-U155)*($G$11-$E$11)*($G$11-$F$11))))</f>
        <v>0.10061879799802</v>
      </c>
      <c r="H155" s="53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-2050050484.63847</v>
      </c>
      <c r="I155" s="53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-71292057.9117865</v>
      </c>
      <c r="J155" s="53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149268947.18478</v>
      </c>
      <c r="K155" s="53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421081214.397308</v>
      </c>
      <c r="L155" s="53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524520131.919057</v>
      </c>
      <c r="M155" s="53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689072335.61164</v>
      </c>
      <c r="N155" s="53" t="n">
        <f aca="false">IF(COUNT('Business Case'!B11:G11)=0,"",H155+NPV(G155,I155:M155))</f>
        <v>-891662084.87939</v>
      </c>
      <c r="P155" s="54" t="n">
        <f aca="true">RAND()</f>
        <v>0.0939035134511731</v>
      </c>
      <c r="Q155" s="54" t="n">
        <f aca="true">RAND()</f>
        <v>0.176774083409014</v>
      </c>
      <c r="R155" s="54" t="n">
        <f aca="true">RAND()</f>
        <v>0.896686794731409</v>
      </c>
      <c r="S155" s="54" t="n">
        <f aca="true">RAND()</f>
        <v>0.529400319681644</v>
      </c>
      <c r="T155" s="54" t="n">
        <f aca="true">RAND()</f>
        <v>0.387676683491142</v>
      </c>
      <c r="U155" s="54" t="n">
        <f aca="true">RAND()</f>
        <v>0.373948348264079</v>
      </c>
    </row>
    <row r="156" customFormat="false" ht="15" hidden="false" customHeight="false" outlineLevel="0" collapsed="false">
      <c r="A156" s="50" t="n">
        <v>76</v>
      </c>
      <c r="B156" s="51" t="n">
        <f aca="false">1+IF($G$6=$E$6,$F$6,IF(P156&lt;($F$6-$E$6)/($G$6-$E$6),$E$6+SQRT(P156*($G$6-$E$6)*($F$6-$E$6)),$G$6-SQRT((1-P156)*($G$6-$E$6)*($G$6-$F$6))))</f>
        <v>1.00003263912266</v>
      </c>
      <c r="C156" s="51" t="n">
        <f aca="false">1+IF($G$7=$E$7,$F$7,IF(Q156&lt;($F$7-$E$7)/($G$7-$E$7),$E$7+SQRT(Q156*($G$7-$E$7)*($F$7-$E$7)),$G$7-SQRT((1-Q156)*($G$7-$E$7)*($G$7-$F$7))))</f>
        <v>0.963685036988218</v>
      </c>
      <c r="D156" s="51" t="n">
        <f aca="false">1+IF($G$8=$E$8,$F$8,IF(R156&lt;($F$8-$E$8)/($G$8-$E$8),$E$8+SQRT(R156*($G$8-$E$8)*($F$8-$E$8)),$G$8-SQRT((1-R156)*($G$8-$E$8)*($G$8-$F$8))))</f>
        <v>1.00187151829202</v>
      </c>
      <c r="E156" s="51" t="n">
        <f aca="false">1+IF($G$9=$E$9,$F$9,IF(S156&lt;($F$9-$E$9)/($G$9-$E$9),$E$9+SQRT(S156*($G$9-$E$9)*($F$9-$E$9)),$G$9-SQRT((1-S156)*($G$9-$E$9)*($G$9-$F$9))))</f>
        <v>0.960847882271986</v>
      </c>
      <c r="F156" s="51" t="n">
        <f aca="false">1+IF($G$10=$E$10,$F$10,IF(T156&lt;($F$10-$E$10)/($G$10-$E$10),$E$10+SQRT(T156*($G$10-$E$10)*($F$10-$E$10)),$G$10-SQRT((1-T156)*($G$10-$E$10)*($G$10-$F$10))))</f>
        <v>1.13571629422566</v>
      </c>
      <c r="G156" s="52" t="n">
        <f aca="false">IF($G$11=$E$11,$F$11,IF(U156&lt;($F$11-$E$11)/($G$11-$E$11),$E$11+SQRT(U156*($G$11-$E$11)*($F$11-$E$11)),$G$11-SQRT((1-U156)*($G$11-$E$11)*($G$11-$F$11))))</f>
        <v>0.109089159754908</v>
      </c>
      <c r="H156" s="53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-2271432588.45132</v>
      </c>
      <c r="I156" s="53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-5062987.18303393</v>
      </c>
      <c r="J156" s="53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290037286.799805</v>
      </c>
      <c r="K156" s="53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641923375.493927</v>
      </c>
      <c r="L156" s="53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773596175.411028</v>
      </c>
      <c r="M156" s="53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956779405.986539</v>
      </c>
      <c r="N156" s="53" t="n">
        <f aca="false">IF(COUNT('Business Case'!B11:G11)=0,"",H156+NPV(G156,I156:M156))</f>
        <v>-488278596.050144</v>
      </c>
      <c r="P156" s="54" t="n">
        <f aca="true">RAND()</f>
        <v>0.667210430104252</v>
      </c>
      <c r="Q156" s="54" t="n">
        <f aca="true">RAND()</f>
        <v>0.38275416191192</v>
      </c>
      <c r="R156" s="54" t="n">
        <f aca="true">RAND()</f>
        <v>0.413071187115883</v>
      </c>
      <c r="S156" s="54" t="n">
        <f aca="true">RAND()</f>
        <v>0.0156902066382488</v>
      </c>
      <c r="T156" s="54" t="n">
        <f aca="true">RAND()</f>
        <v>0.917352103438366</v>
      </c>
      <c r="U156" s="54" t="n">
        <f aca="true">RAND()</f>
        <v>0.801589275243461</v>
      </c>
    </row>
    <row r="157" customFormat="false" ht="15" hidden="false" customHeight="false" outlineLevel="0" collapsed="false">
      <c r="A157" s="50" t="n">
        <v>77</v>
      </c>
      <c r="B157" s="51" t="n">
        <f aca="false">1+IF($G$6=$E$6,$F$6,IF(P157&lt;($F$6-$E$6)/($G$6-$E$6),$E$6+SQRT(P157*($G$6-$E$6)*($F$6-$E$6)),$G$6-SQRT((1-P157)*($G$6-$E$6)*($G$6-$F$6))))</f>
        <v>1.01668994951307</v>
      </c>
      <c r="C157" s="51" t="n">
        <f aca="false">1+IF($G$7=$E$7,$F$7,IF(Q157&lt;($F$7-$E$7)/($G$7-$E$7),$E$7+SQRT(Q157*($G$7-$E$7)*($F$7-$E$7)),$G$7-SQRT((1-Q157)*($G$7-$E$7)*($G$7-$F$7))))</f>
        <v>1.01150266964045</v>
      </c>
      <c r="D157" s="51" t="n">
        <f aca="false">1+IF($G$8=$E$8,$F$8,IF(R157&lt;($F$8-$E$8)/($G$8-$E$8),$E$8+SQRT(R157*($G$8-$E$8)*($F$8-$E$8)),$G$8-SQRT((1-R157)*($G$8-$E$8)*($G$8-$F$8))))</f>
        <v>1.02550529955767</v>
      </c>
      <c r="E157" s="51" t="n">
        <f aca="false">1+IF($G$9=$E$9,$F$9,IF(S157&lt;($F$9-$E$9)/($G$9-$E$9),$E$9+SQRT(S157*($G$9-$E$9)*($F$9-$E$9)),$G$9-SQRT((1-S157)*($G$9-$E$9)*($G$9-$F$9))))</f>
        <v>1.06210687968678</v>
      </c>
      <c r="F157" s="51" t="n">
        <f aca="false">1+IF($G$10=$E$10,$F$10,IF(T157&lt;($F$10-$E$10)/($G$10-$E$10),$E$10+SQRT(T157*($G$10-$E$10)*($F$10-$E$10)),$G$10-SQRT((1-T157)*($G$10-$E$10)*($G$10-$F$10))))</f>
        <v>1.15119672254373</v>
      </c>
      <c r="G157" s="52" t="n">
        <f aca="false">IF($G$11=$E$11,$F$11,IF(U157&lt;($F$11-$E$11)/($G$11-$E$11),$E$11+SQRT(U157*($G$11-$E$11)*($F$11-$E$11)),$G$11-SQRT((1-U157)*($G$11-$E$11)*($G$11-$F$11))))</f>
        <v>0.0959943039709786</v>
      </c>
      <c r="H157" s="53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-2302393445.08746</v>
      </c>
      <c r="I157" s="53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-8157004.74150404</v>
      </c>
      <c r="J157" s="53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303148718.629836</v>
      </c>
      <c r="K157" s="53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672014278.128363</v>
      </c>
      <c r="L157" s="53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811323824.296817</v>
      </c>
      <c r="M157" s="53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1006799168.70919</v>
      </c>
      <c r="N157" s="53" t="n">
        <f aca="false">IF(COUNT('Business Case'!B11:G11)=0,"",H157+NPV(G157,I157:M157))</f>
        <v>-348072922.760373</v>
      </c>
      <c r="P157" s="54" t="n">
        <f aca="true">RAND()</f>
        <v>0.886800322145187</v>
      </c>
      <c r="Q157" s="54" t="n">
        <f aca="true">RAND()</f>
        <v>0.634637894919549</v>
      </c>
      <c r="R157" s="54" t="n">
        <f aca="true">RAND()</f>
        <v>0.714454579202036</v>
      </c>
      <c r="S157" s="54" t="n">
        <f aca="true">RAND()</f>
        <v>0.90427409552851</v>
      </c>
      <c r="T157" s="54" t="n">
        <f aca="true">RAND()</f>
        <v>0.952364802190525</v>
      </c>
      <c r="U157" s="54" t="n">
        <f aca="true">RAND()</f>
        <v>0.119772266988301</v>
      </c>
    </row>
    <row r="158" customFormat="false" ht="15" hidden="false" customHeight="false" outlineLevel="0" collapsed="false">
      <c r="A158" s="50" t="n">
        <v>78</v>
      </c>
      <c r="B158" s="51" t="n">
        <f aca="false">1+IF($G$6=$E$6,$F$6,IF(P158&lt;($F$6-$E$6)/($G$6-$E$6),$E$6+SQRT(P158*($G$6-$E$6)*($F$6-$E$6)),$G$6-SQRT((1-P158)*($G$6-$E$6)*($G$6-$F$6))))</f>
        <v>0.976748603906653</v>
      </c>
      <c r="C158" s="51" t="n">
        <f aca="false">1+IF($G$7=$E$7,$F$7,IF(Q158&lt;($F$7-$E$7)/($G$7-$E$7),$E$7+SQRT(Q158*($G$7-$E$7)*($F$7-$E$7)),$G$7-SQRT((1-Q158)*($G$7-$E$7)*($G$7-$F$7))))</f>
        <v>0.920669292298444</v>
      </c>
      <c r="D158" s="51" t="n">
        <f aca="false">1+IF($G$8=$E$8,$F$8,IF(R158&lt;($F$8-$E$8)/($G$8-$E$8),$E$8+SQRT(R158*($G$8-$E$8)*($F$8-$E$8)),$G$8-SQRT((1-R158)*($G$8-$E$8)*($G$8-$F$8))))</f>
        <v>0.994670088101381</v>
      </c>
      <c r="E158" s="51" t="n">
        <f aca="false">1+IF($G$9=$E$9,$F$9,IF(S158&lt;($F$9-$E$9)/($G$9-$E$9),$E$9+SQRT(S158*($G$9-$E$9)*($F$9-$E$9)),$G$9-SQRT((1-S158)*($G$9-$E$9)*($G$9-$F$9))))</f>
        <v>1.05363659995755</v>
      </c>
      <c r="F158" s="51" t="n">
        <f aca="false">1+IF($G$10=$E$10,$F$10,IF(T158&lt;($F$10-$E$10)/($G$10-$E$10),$E$10+SQRT(T158*($G$10-$E$10)*($F$10-$E$10)),$G$10-SQRT((1-T158)*($G$10-$E$10)*($G$10-$F$10))))</f>
        <v>1.11025066332105</v>
      </c>
      <c r="G158" s="52" t="n">
        <f aca="false">IF($G$11=$E$11,$F$11,IF(U158&lt;($F$11-$E$11)/($G$11-$E$11),$E$11+SQRT(U158*($G$11-$E$11)*($F$11-$E$11)),$G$11-SQRT((1-U158)*($G$11-$E$11)*($G$11-$F$11))))</f>
        <v>0.108400794832989</v>
      </c>
      <c r="H158" s="53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-2220501326.64211</v>
      </c>
      <c r="I158" s="53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-39706254.4818069</v>
      </c>
      <c r="J158" s="53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228057447.078545</v>
      </c>
      <c r="K158" s="53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551333681.80495</v>
      </c>
      <c r="L158" s="53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671666759.122461</v>
      </c>
      <c r="M158" s="53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842598564.841457</v>
      </c>
      <c r="N158" s="53" t="n">
        <f aca="false">IF(COUNT('Business Case'!B11:G11)=0,"",H158+NPV(G158,I158:M158))</f>
        <v>-717149766.177487</v>
      </c>
      <c r="P158" s="54" t="n">
        <f aca="true">RAND()</f>
        <v>0.335458754724391</v>
      </c>
      <c r="Q158" s="54" t="n">
        <f aca="true">RAND()</f>
        <v>0.208015401482962</v>
      </c>
      <c r="R158" s="54" t="n">
        <f aca="true">RAND()</f>
        <v>0.306987195536177</v>
      </c>
      <c r="S158" s="54" t="n">
        <f aca="true">RAND()</f>
        <v>0.856695675766911</v>
      </c>
      <c r="T158" s="54" t="n">
        <f aca="true">RAND()</f>
        <v>0.838901131313782</v>
      </c>
      <c r="U158" s="54" t="n">
        <f aca="true">RAND()</f>
        <v>0.775764065822638</v>
      </c>
    </row>
    <row r="159" customFormat="false" ht="15" hidden="false" customHeight="false" outlineLevel="0" collapsed="false">
      <c r="A159" s="50" t="n">
        <v>79</v>
      </c>
      <c r="B159" s="51" t="n">
        <f aca="false">1+IF($G$6=$E$6,$F$6,IF(P159&lt;($F$6-$E$6)/($G$6-$E$6),$E$6+SQRT(P159*($G$6-$E$6)*($F$6-$E$6)),$G$6-SQRT((1-P159)*($G$6-$E$6)*($G$6-$F$6))))</f>
        <v>0.990998950857844</v>
      </c>
      <c r="C159" s="51" t="n">
        <f aca="false">1+IF($G$7=$E$7,$F$7,IF(Q159&lt;($F$7-$E$7)/($G$7-$E$7),$E$7+SQRT(Q159*($G$7-$E$7)*($F$7-$E$7)),$G$7-SQRT((1-Q159)*($G$7-$E$7)*($G$7-$F$7))))</f>
        <v>1.00031267516367</v>
      </c>
      <c r="D159" s="51" t="n">
        <f aca="false">1+IF($G$8=$E$8,$F$8,IF(R159&lt;($F$8-$E$8)/($G$8-$E$8),$E$8+SQRT(R159*($G$8-$E$8)*($F$8-$E$8)),$G$8-SQRT((1-R159)*($G$8-$E$8)*($G$8-$F$8))))</f>
        <v>1.04796859183766</v>
      </c>
      <c r="E159" s="51" t="n">
        <f aca="false">1+IF($G$9=$E$9,$F$9,IF(S159&lt;($F$9-$E$9)/($G$9-$E$9),$E$9+SQRT(S159*($G$9-$E$9)*($F$9-$E$9)),$G$9-SQRT((1-S159)*($G$9-$E$9)*($G$9-$F$9))))</f>
        <v>1.0341088564144</v>
      </c>
      <c r="F159" s="51" t="n">
        <f aca="false">1+IF($G$10=$E$10,$F$10,IF(T159&lt;($F$10-$E$10)/($G$10-$E$10),$E$10+SQRT(T159*($G$10-$E$10)*($F$10-$E$10)),$G$10-SQRT((1-T159)*($G$10-$E$10)*($G$10-$F$10))))</f>
        <v>1.02905917999932</v>
      </c>
      <c r="G159" s="52" t="n">
        <f aca="false">IF($G$11=$E$11,$F$11,IF(U159&lt;($F$11-$E$11)/($G$11-$E$11),$E$11+SQRT(U159*($G$11-$E$11)*($F$11-$E$11)),$G$11-SQRT((1-U159)*($G$11-$E$11)*($G$11-$F$11))))</f>
        <v>0.0968729768296646</v>
      </c>
      <c r="H159" s="53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-2058118359.99864</v>
      </c>
      <c r="I159" s="53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-26036179.5076602</v>
      </c>
      <c r="J159" s="53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249273287.160964</v>
      </c>
      <c r="K159" s="53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576035712.829555</v>
      </c>
      <c r="L159" s="53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702065167.581913</v>
      </c>
      <c r="M159" s="53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890493146.494072</v>
      </c>
      <c r="N159" s="53" t="n">
        <f aca="false">IF(COUNT('Business Case'!B11:G11)=0,"",H159+NPV(G159,I159:M159))</f>
        <v>-392307340.501584</v>
      </c>
      <c r="P159" s="54" t="n">
        <f aca="true">RAND()</f>
        <v>0.52508864822027</v>
      </c>
      <c r="Q159" s="54" t="n">
        <f aca="true">RAND()</f>
        <v>0.573213424444604</v>
      </c>
      <c r="R159" s="54" t="n">
        <f aca="true">RAND()</f>
        <v>0.901345085686315</v>
      </c>
      <c r="S159" s="54" t="n">
        <f aca="true">RAND()</f>
        <v>0.71055714646546</v>
      </c>
      <c r="T159" s="54" t="n">
        <f aca="true">RAND()</f>
        <v>0.415584721149888</v>
      </c>
      <c r="U159" s="54" t="n">
        <f aca="true">RAND()</f>
        <v>0.15745936833702</v>
      </c>
    </row>
    <row r="160" customFormat="false" ht="15" hidden="false" customHeight="false" outlineLevel="0" collapsed="false">
      <c r="A160" s="50" t="n">
        <v>80</v>
      </c>
      <c r="B160" s="51" t="n">
        <f aca="false">1+IF($G$6=$E$6,$F$6,IF(P160&lt;($F$6-$E$6)/($G$6-$E$6),$E$6+SQRT(P160*($G$6-$E$6)*($F$6-$E$6)),$G$6-SQRT((1-P160)*($G$6-$E$6)*($G$6-$F$6))))</f>
        <v>1.03058334875416</v>
      </c>
      <c r="C160" s="51" t="n">
        <f aca="false">1+IF($G$7=$E$7,$F$7,IF(Q160&lt;($F$7-$E$7)/($G$7-$E$7),$E$7+SQRT(Q160*($G$7-$E$7)*($F$7-$E$7)),$G$7-SQRT((1-Q160)*($G$7-$E$7)*($G$7-$F$7))))</f>
        <v>1.08446398746959</v>
      </c>
      <c r="D160" s="51" t="n">
        <f aca="false">1+IF($G$8=$E$8,$F$8,IF(R160&lt;($F$8-$E$8)/($G$8-$E$8),$E$8+SQRT(R160*($G$8-$E$8)*($F$8-$E$8)),$G$8-SQRT((1-R160)*($G$8-$E$8)*($G$8-$F$8))))</f>
        <v>0.990469796723342</v>
      </c>
      <c r="E160" s="51" t="n">
        <f aca="false">1+IF($G$9=$E$9,$F$9,IF(S160&lt;($F$9-$E$9)/($G$9-$E$9),$E$9+SQRT(S160*($G$9-$E$9)*($F$9-$E$9)),$G$9-SQRT((1-S160)*($G$9-$E$9)*($G$9-$F$9))))</f>
        <v>0.985808818624021</v>
      </c>
      <c r="F160" s="51" t="n">
        <f aca="false">1+IF($G$10=$E$10,$F$10,IF(T160&lt;($F$10-$E$10)/($G$10-$E$10),$E$10+SQRT(T160*($G$10-$E$10)*($F$10-$E$10)),$G$10-SQRT((1-T160)*($G$10-$E$10)*($G$10-$F$10))))</f>
        <v>0.963219412587148</v>
      </c>
      <c r="G160" s="52" t="n">
        <f aca="false">IF($G$11=$E$11,$F$11,IF(U160&lt;($F$11-$E$11)/($G$11-$E$11),$E$11+SQRT(U160*($G$11-$E$11)*($F$11-$E$11)),$G$11-SQRT((1-U160)*($G$11-$E$11)*($G$11-$F$11))))</f>
        <v>0.0972467753882319</v>
      </c>
      <c r="H160" s="53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-1926438825.1743</v>
      </c>
      <c r="I160" s="53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71109921.6373915</v>
      </c>
      <c r="J160" s="53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436661765.103489</v>
      </c>
      <c r="K160" s="53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850374579.198943</v>
      </c>
      <c r="L160" s="53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1010850504.72875</v>
      </c>
      <c r="M160" s="53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1223289715.45481</v>
      </c>
      <c r="N160" s="53" t="n">
        <f aca="false">IF(COUNT('Business Case'!B11:G11)=0,"",H160+NPV(G160,I160:M160))</f>
        <v>611304539.381041</v>
      </c>
      <c r="P160" s="54" t="n">
        <f aca="true">RAND()</f>
        <v>0.981526391523798</v>
      </c>
      <c r="Q160" s="54" t="n">
        <f aca="true">RAND()</f>
        <v>0.918191067840273</v>
      </c>
      <c r="R160" s="54" t="n">
        <f aca="true">RAND()</f>
        <v>0.251969914896711</v>
      </c>
      <c r="S160" s="54" t="n">
        <f aca="true">RAND()</f>
        <v>0.170969532166406</v>
      </c>
      <c r="T160" s="54" t="n">
        <f aca="true">RAND()</f>
        <v>0.0139802295319395</v>
      </c>
      <c r="U160" s="54" t="n">
        <f aca="true">RAND()</f>
        <v>0.175052511758276</v>
      </c>
    </row>
    <row r="161" customFormat="false" ht="15" hidden="false" customHeight="false" outlineLevel="0" collapsed="false">
      <c r="A161" s="50" t="n">
        <v>81</v>
      </c>
      <c r="B161" s="51" t="n">
        <f aca="false">1+IF($G$6=$E$6,$F$6,IF(P161&lt;($F$6-$E$6)/($G$6-$E$6),$E$6+SQRT(P161*($G$6-$E$6)*($F$6-$E$6)),$G$6-SQRT((1-P161)*($G$6-$E$6)*($G$6-$F$6))))</f>
        <v>0.963831474027181</v>
      </c>
      <c r="C161" s="51" t="n">
        <f aca="false">1+IF($G$7=$E$7,$F$7,IF(Q161&lt;($F$7-$E$7)/($G$7-$E$7),$E$7+SQRT(Q161*($G$7-$E$7)*($F$7-$E$7)),$G$7-SQRT((1-Q161)*($G$7-$E$7)*($G$7-$F$7))))</f>
        <v>1.06093066699154</v>
      </c>
      <c r="D161" s="51" t="n">
        <f aca="false">1+IF($G$8=$E$8,$F$8,IF(R161&lt;($F$8-$E$8)/($G$8-$E$8),$E$8+SQRT(R161*($G$8-$E$8)*($F$8-$E$8)),$G$8-SQRT((1-R161)*($G$8-$E$8)*($G$8-$F$8))))</f>
        <v>0.998514706630183</v>
      </c>
      <c r="E161" s="51" t="n">
        <f aca="false">1+IF($G$9=$E$9,$F$9,IF(S161&lt;($F$9-$E$9)/($G$9-$E$9),$E$9+SQRT(S161*($G$9-$E$9)*($F$9-$E$9)),$G$9-SQRT((1-S161)*($G$9-$E$9)*($G$9-$F$9))))</f>
        <v>1.05824717410184</v>
      </c>
      <c r="F161" s="51" t="n">
        <f aca="false">1+IF($G$10=$E$10,$F$10,IF(T161&lt;($F$10-$E$10)/($G$10-$E$10),$E$10+SQRT(T161*($G$10-$E$10)*($F$10-$E$10)),$G$10-SQRT((1-T161)*($G$10-$E$10)*($G$10-$F$10))))</f>
        <v>1.09563018530201</v>
      </c>
      <c r="G161" s="52" t="n">
        <f aca="false">IF($G$11=$E$11,$F$11,IF(U161&lt;($F$11-$E$11)/($G$11-$E$11),$E$11+SQRT(U161*($G$11-$E$11)*($F$11-$E$11)),$G$11-SQRT((1-U161)*($G$11-$E$11)*($G$11-$F$11))))</f>
        <v>0.102499959854664</v>
      </c>
      <c r="H161" s="53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-2191260370.60401</v>
      </c>
      <c r="I161" s="53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-17811211.3719095</v>
      </c>
      <c r="J161" s="53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277432769.772256</v>
      </c>
      <c r="K161" s="53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627458260.181521</v>
      </c>
      <c r="L161" s="53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761212537.781971</v>
      </c>
      <c r="M161" s="53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955580432.486808</v>
      </c>
      <c r="N161" s="53" t="n">
        <f aca="false">IF(COUNT('Business Case'!B11:G11)=0,"",H161+NPV(G161,I161:M161))</f>
        <v>-409089673.791074</v>
      </c>
      <c r="P161" s="54" t="n">
        <f aca="true">RAND()</f>
        <v>0.200124803687025</v>
      </c>
      <c r="Q161" s="54" t="n">
        <f aca="true">RAND()</f>
        <v>0.848888646046252</v>
      </c>
      <c r="R161" s="54" t="n">
        <f aca="true">RAND()</f>
        <v>0.362104116832723</v>
      </c>
      <c r="S161" s="54" t="n">
        <f aca="true">RAND()</f>
        <v>0.883780101967887</v>
      </c>
      <c r="T161" s="54" t="n">
        <f aca="true">RAND()</f>
        <v>0.782138835598124</v>
      </c>
      <c r="U161" s="54" t="n">
        <f aca="true">RAND()</f>
        <v>0.489580991519355</v>
      </c>
    </row>
    <row r="162" customFormat="false" ht="15" hidden="false" customHeight="false" outlineLevel="0" collapsed="false">
      <c r="A162" s="50" t="n">
        <v>82</v>
      </c>
      <c r="B162" s="51" t="n">
        <f aca="false">1+IF($G$6=$E$6,$F$6,IF(P162&lt;($F$6-$E$6)/($G$6-$E$6),$E$6+SQRT(P162*($G$6-$E$6)*($F$6-$E$6)),$G$6-SQRT((1-P162)*($G$6-$E$6)*($G$6-$F$6))))</f>
        <v>0.966199835243179</v>
      </c>
      <c r="C162" s="51" t="n">
        <f aca="false">1+IF($G$7=$E$7,$F$7,IF(Q162&lt;($F$7-$E$7)/($G$7-$E$7),$E$7+SQRT(Q162*($G$7-$E$7)*($F$7-$E$7)),$G$7-SQRT((1-Q162)*($G$7-$E$7)*($G$7-$F$7))))</f>
        <v>0.942885620207247</v>
      </c>
      <c r="D162" s="51" t="n">
        <f aca="false">1+IF($G$8=$E$8,$F$8,IF(R162&lt;($F$8-$E$8)/($G$8-$E$8),$E$8+SQRT(R162*($G$8-$E$8)*($F$8-$E$8)),$G$8-SQRT((1-R162)*($G$8-$E$8)*($G$8-$F$8))))</f>
        <v>1.05886319656336</v>
      </c>
      <c r="E162" s="51" t="n">
        <f aca="false">1+IF($G$9=$E$9,$F$9,IF(S162&lt;($F$9-$E$9)/($G$9-$E$9),$E$9+SQRT(S162*($G$9-$E$9)*($F$9-$E$9)),$G$9-SQRT((1-S162)*($G$9-$E$9)*($G$9-$F$9))))</f>
        <v>1.02054382382743</v>
      </c>
      <c r="F162" s="51" t="n">
        <f aca="false">1+IF($G$10=$E$10,$F$10,IF(T162&lt;($F$10-$E$10)/($G$10-$E$10),$E$10+SQRT(T162*($G$10-$E$10)*($F$10-$E$10)),$G$10-SQRT((1-T162)*($G$10-$E$10)*($G$10-$F$10))))</f>
        <v>1.11318664464415</v>
      </c>
      <c r="G162" s="52" t="n">
        <f aca="false">IF($G$11=$E$11,$F$11,IF(U162&lt;($F$11-$E$11)/($G$11-$E$11),$E$11+SQRT(U162*($G$11-$E$11)*($F$11-$E$11)),$G$11-SQRT((1-U162)*($G$11-$E$11)*($G$11-$F$11))))</f>
        <v>0.106991349237278</v>
      </c>
      <c r="H162" s="53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-2226373289.28831</v>
      </c>
      <c r="I162" s="53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-68573634.0526636</v>
      </c>
      <c r="J162" s="53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166519793.965071</v>
      </c>
      <c r="K162" s="53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457272554.215013</v>
      </c>
      <c r="L162" s="53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567121740.792738</v>
      </c>
      <c r="M162" s="53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740287648.937717</v>
      </c>
      <c r="N162" s="53" t="n">
        <f aca="false">IF(COUNT('Business Case'!B11:G11)=0,"",H162+NPV(G162,I162:M162))</f>
        <v>-992359090.685517</v>
      </c>
      <c r="P162" s="54" t="n">
        <f aca="true">RAND()</f>
        <v>0.222335914218428</v>
      </c>
      <c r="Q162" s="54" t="n">
        <f aca="true">RAND()</f>
        <v>0.291661435171568</v>
      </c>
      <c r="R162" s="54" t="n">
        <f aca="true">RAND()</f>
        <v>0.957041878892376</v>
      </c>
      <c r="S162" s="54" t="n">
        <f aca="true">RAND()</f>
        <v>0.579114404535615</v>
      </c>
      <c r="T162" s="54" t="n">
        <f aca="true">RAND()</f>
        <v>0.849268826637187</v>
      </c>
      <c r="U162" s="54" t="n">
        <f aca="true">RAND()</f>
        <v>0.717958342222533</v>
      </c>
    </row>
    <row r="163" customFormat="false" ht="15" hidden="false" customHeight="false" outlineLevel="0" collapsed="false">
      <c r="A163" s="50" t="n">
        <v>83</v>
      </c>
      <c r="B163" s="51" t="n">
        <f aca="false">1+IF($G$6=$E$6,$F$6,IF(P163&lt;($F$6-$E$6)/($G$6-$E$6),$E$6+SQRT(P163*($G$6-$E$6)*($F$6-$E$6)),$G$6-SQRT((1-P163)*($G$6-$E$6)*($G$6-$F$6))))</f>
        <v>0.97114716302108</v>
      </c>
      <c r="C163" s="51" t="n">
        <f aca="false">1+IF($G$7=$E$7,$F$7,IF(Q163&lt;($F$7-$E$7)/($G$7-$E$7),$E$7+SQRT(Q163*($G$7-$E$7)*($F$7-$E$7)),$G$7-SQRT((1-Q163)*($G$7-$E$7)*($G$7-$F$7))))</f>
        <v>0.870301912273953</v>
      </c>
      <c r="D163" s="51" t="n">
        <f aca="false">1+IF($G$8=$E$8,$F$8,IF(R163&lt;($F$8-$E$8)/($G$8-$E$8),$E$8+SQRT(R163*($G$8-$E$8)*($F$8-$E$8)),$G$8-SQRT((1-R163)*($G$8-$E$8)*($G$8-$F$8))))</f>
        <v>1.05778414526802</v>
      </c>
      <c r="E163" s="51" t="n">
        <f aca="false">1+IF($G$9=$E$9,$F$9,IF(S163&lt;($F$9-$E$9)/($G$9-$E$9),$E$9+SQRT(S163*($G$9-$E$9)*($F$9-$E$9)),$G$9-SQRT((1-S163)*($G$9-$E$9)*($G$9-$F$9))))</f>
        <v>1.04008331551614</v>
      </c>
      <c r="F163" s="51" t="n">
        <f aca="false">1+IF($G$10=$E$10,$F$10,IF(T163&lt;($F$10-$E$10)/($G$10-$E$10),$E$10+SQRT(T163*($G$10-$E$10)*($F$10-$E$10)),$G$10-SQRT((1-T163)*($G$10-$E$10)*($G$10-$F$10))))</f>
        <v>1.01966541868714</v>
      </c>
      <c r="G163" s="52" t="n">
        <f aca="false">IF($G$11=$E$11,$F$11,IF(U163&lt;($F$11-$E$11)/($G$11-$E$11),$E$11+SQRT(U163*($G$11-$E$11)*($F$11-$E$11)),$G$11-SQRT((1-U163)*($G$11-$E$11)*($G$11-$F$11))))</f>
        <v>0.106599761215365</v>
      </c>
      <c r="H163" s="53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-2039330837.37428</v>
      </c>
      <c r="I163" s="53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-72677862.8467903</v>
      </c>
      <c r="J163" s="53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148325377.164224</v>
      </c>
      <c r="K163" s="53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420311888.109595</v>
      </c>
      <c r="L163" s="53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523189443.795062</v>
      </c>
      <c r="M163" s="53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683843393.378276</v>
      </c>
      <c r="N163" s="53" t="n">
        <f aca="false">IF(COUNT('Business Case'!B11:G11)=0,"",H163+NPV(G163,I163:M163))</f>
        <v>-912714631.993453</v>
      </c>
      <c r="P163" s="54" t="n">
        <f aca="true">RAND()</f>
        <v>0.27250336303176</v>
      </c>
      <c r="Q163" s="54" t="n">
        <f aca="true">RAND()</f>
        <v>0.0706051267053504</v>
      </c>
      <c r="R163" s="54" t="n">
        <f aca="true">RAND()</f>
        <v>0.952543826781505</v>
      </c>
      <c r="S163" s="54" t="n">
        <f aca="true">RAND()</f>
        <v>0.760666061364138</v>
      </c>
      <c r="T163" s="54" t="n">
        <f aca="true">RAND()</f>
        <v>0.349588775654314</v>
      </c>
      <c r="U163" s="54" t="n">
        <f aca="true">RAND()</f>
        <v>0.70072266752462</v>
      </c>
    </row>
    <row r="164" customFormat="false" ht="15" hidden="false" customHeight="false" outlineLevel="0" collapsed="false">
      <c r="A164" s="50" t="n">
        <v>84</v>
      </c>
      <c r="B164" s="51" t="n">
        <f aca="false">1+IF($G$6=$E$6,$F$6,IF(P164&lt;($F$6-$E$6)/($G$6-$E$6),$E$6+SQRT(P164*($G$6-$E$6)*($F$6-$E$6)),$G$6-SQRT((1-P164)*($G$6-$E$6)*($G$6-$F$6))))</f>
        <v>0.994347448261773</v>
      </c>
      <c r="C164" s="51" t="n">
        <f aca="false">1+IF($G$7=$E$7,$F$7,IF(Q164&lt;($F$7-$E$7)/($G$7-$E$7),$E$7+SQRT(Q164*($G$7-$E$7)*($F$7-$E$7)),$G$7-SQRT((1-Q164)*($G$7-$E$7)*($G$7-$F$7))))</f>
        <v>1.02716501628034</v>
      </c>
      <c r="D164" s="51" t="n">
        <f aca="false">1+IF($G$8=$E$8,$F$8,IF(R164&lt;($F$8-$E$8)/($G$8-$E$8),$E$8+SQRT(R164*($G$8-$E$8)*($F$8-$E$8)),$G$8-SQRT((1-R164)*($G$8-$E$8)*($G$8-$F$8))))</f>
        <v>1.03200529119078</v>
      </c>
      <c r="E164" s="51" t="n">
        <f aca="false">1+IF($G$9=$E$9,$F$9,IF(S164&lt;($F$9-$E$9)/($G$9-$E$9),$E$9+SQRT(S164*($G$9-$E$9)*($F$9-$E$9)),$G$9-SQRT((1-S164)*($G$9-$E$9)*($G$9-$F$9))))</f>
        <v>1.08183271755612</v>
      </c>
      <c r="F164" s="51" t="n">
        <f aca="false">1+IF($G$10=$E$10,$F$10,IF(T164&lt;($F$10-$E$10)/($G$10-$E$10),$E$10+SQRT(T164*($G$10-$E$10)*($F$10-$E$10)),$G$10-SQRT((1-T164)*($G$10-$E$10)*($G$10-$F$10))))</f>
        <v>1.00180739671585</v>
      </c>
      <c r="G164" s="52" t="n">
        <f aca="false">IF($G$11=$E$11,$F$11,IF(U164&lt;($F$11-$E$11)/($G$11-$E$11),$E$11+SQRT(U164*($G$11-$E$11)*($F$11-$E$11)),$G$11-SQRT((1-U164)*($G$11-$E$11)*($G$11-$F$11))))</f>
        <v>0.102602034944977</v>
      </c>
      <c r="H164" s="53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-2003614793.4317</v>
      </c>
      <c r="I164" s="53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-13053650.1255718</v>
      </c>
      <c r="J164" s="53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280857297.900731</v>
      </c>
      <c r="K164" s="53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624858615.762826</v>
      </c>
      <c r="L164" s="53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758127095.800798</v>
      </c>
      <c r="M164" s="53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952266997.961431</v>
      </c>
      <c r="N164" s="53" t="n">
        <f aca="false">IF(COUNT('Business Case'!B11:G11)=0,"",H164+NPV(G164,I164:M164))</f>
        <v>-221005601.514632</v>
      </c>
      <c r="P164" s="54" t="n">
        <f aca="true">RAND()</f>
        <v>0.575785735733015</v>
      </c>
      <c r="Q164" s="54" t="n">
        <f aca="true">RAND()</f>
        <v>0.712601271896955</v>
      </c>
      <c r="R164" s="54" t="n">
        <f aca="true">RAND()</f>
        <v>0.778510377530624</v>
      </c>
      <c r="S164" s="54" t="n">
        <f aca="true">RAND()</f>
        <v>0.977996656573614</v>
      </c>
      <c r="T164" s="54" t="n">
        <f aca="true">RAND()</f>
        <v>0.214393840069045</v>
      </c>
      <c r="U164" s="54" t="n">
        <f aca="true">RAND()</f>
        <v>0.495518019906971</v>
      </c>
    </row>
    <row r="165" customFormat="false" ht="15" hidden="false" customHeight="false" outlineLevel="0" collapsed="false">
      <c r="A165" s="50" t="n">
        <v>85</v>
      </c>
      <c r="B165" s="51" t="n">
        <f aca="false">1+IF($G$6=$E$6,$F$6,IF(P165&lt;($F$6-$E$6)/($G$6-$E$6),$E$6+SQRT(P165*($G$6-$E$6)*($F$6-$E$6)),$G$6-SQRT((1-P165)*($G$6-$E$6)*($G$6-$F$6))))</f>
        <v>0.990823619371299</v>
      </c>
      <c r="C165" s="51" t="n">
        <f aca="false">1+IF($G$7=$E$7,$F$7,IF(Q165&lt;($F$7-$E$7)/($G$7-$E$7),$E$7+SQRT(Q165*($G$7-$E$7)*($F$7-$E$7)),$G$7-SQRT((1-Q165)*($G$7-$E$7)*($G$7-$F$7))))</f>
        <v>1.0391783796783</v>
      </c>
      <c r="D165" s="51" t="n">
        <f aca="false">1+IF($G$8=$E$8,$F$8,IF(R165&lt;($F$8-$E$8)/($G$8-$E$8),$E$8+SQRT(R165*($G$8-$E$8)*($F$8-$E$8)),$G$8-SQRT((1-R165)*($G$8-$E$8)*($G$8-$F$8))))</f>
        <v>1.0061272459371</v>
      </c>
      <c r="E165" s="51" t="n">
        <f aca="false">1+IF($G$9=$E$9,$F$9,IF(S165&lt;($F$9-$E$9)/($G$9-$E$9),$E$9+SQRT(S165*($G$9-$E$9)*($F$9-$E$9)),$G$9-SQRT((1-S165)*($G$9-$E$9)*($G$9-$F$9))))</f>
        <v>0.992050904092143</v>
      </c>
      <c r="F165" s="51" t="n">
        <f aca="false">1+IF($G$10=$E$10,$F$10,IF(T165&lt;($F$10-$E$10)/($G$10-$E$10),$E$10+SQRT(T165*($G$10-$E$10)*($F$10-$E$10)),$G$10-SQRT((1-T165)*($G$10-$E$10)*($G$10-$F$10))))</f>
        <v>1.11568080224311</v>
      </c>
      <c r="G165" s="52" t="n">
        <f aca="false">IF($G$11=$E$11,$F$11,IF(U165&lt;($F$11-$E$11)/($G$11-$E$11),$E$11+SQRT(U165*($G$11-$E$11)*($F$11-$E$11)),$G$11-SQRT((1-U165)*($G$11-$E$11)*($G$11-$F$11))))</f>
        <v>0.119251438849957</v>
      </c>
      <c r="H165" s="53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-2231361604.48622</v>
      </c>
      <c r="I165" s="53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2101197.86913188</v>
      </c>
      <c r="J165" s="53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310216780.860059</v>
      </c>
      <c r="K165" s="53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674116403.963141</v>
      </c>
      <c r="L165" s="53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812406042.517171</v>
      </c>
      <c r="M165" s="53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1008120485.74763</v>
      </c>
      <c r="N165" s="53" t="n">
        <f aca="false">IF(COUNT('Business Case'!B11:G11)=0,"",H165+NPV(G165,I165:M165))</f>
        <v>-409432924.60636</v>
      </c>
      <c r="P165" s="54" t="n">
        <f aca="true">RAND()</f>
        <v>0.5224984438386</v>
      </c>
      <c r="Q165" s="54" t="n">
        <f aca="true">RAND()</f>
        <v>0.766067970843289</v>
      </c>
      <c r="R165" s="54" t="n">
        <f aca="true">RAND()</f>
        <v>0.475270789150221</v>
      </c>
      <c r="S165" s="54" t="n">
        <f aca="true">RAND()</f>
        <v>0.235770471328876</v>
      </c>
      <c r="T165" s="54" t="n">
        <f aca="true">RAND()</f>
        <v>0.857805457792697</v>
      </c>
      <c r="U165" s="54" t="n">
        <f aca="true">RAND()</f>
        <v>0.999066093674411</v>
      </c>
    </row>
    <row r="166" customFormat="false" ht="15" hidden="false" customHeight="false" outlineLevel="0" collapsed="false">
      <c r="A166" s="50" t="n">
        <v>86</v>
      </c>
      <c r="B166" s="51" t="n">
        <f aca="false">1+IF($G$6=$E$6,$F$6,IF(P166&lt;($F$6-$E$6)/($G$6-$E$6),$E$6+SQRT(P166*($G$6-$E$6)*($F$6-$E$6)),$G$6-SQRT((1-P166)*($G$6-$E$6)*($G$6-$F$6))))</f>
        <v>0.968071457420294</v>
      </c>
      <c r="C166" s="51" t="n">
        <f aca="false">1+IF($G$7=$E$7,$F$7,IF(Q166&lt;($F$7-$E$7)/($G$7-$E$7),$E$7+SQRT(Q166*($G$7-$E$7)*($F$7-$E$7)),$G$7-SQRT((1-Q166)*($G$7-$E$7)*($G$7-$F$7))))</f>
        <v>0.958068253854424</v>
      </c>
      <c r="D166" s="51" t="n">
        <f aca="false">1+IF($G$8=$E$8,$F$8,IF(R166&lt;($F$8-$E$8)/($G$8-$E$8),$E$8+SQRT(R166*($G$8-$E$8)*($F$8-$E$8)),$G$8-SQRT((1-R166)*($G$8-$E$8)*($G$8-$F$8))))</f>
        <v>1.01520794836505</v>
      </c>
      <c r="E166" s="51" t="n">
        <f aca="false">1+IF($G$9=$E$9,$F$9,IF(S166&lt;($F$9-$E$9)/($G$9-$E$9),$E$9+SQRT(S166*($G$9-$E$9)*($F$9-$E$9)),$G$9-SQRT((1-S166)*($G$9-$E$9)*($G$9-$F$9))))</f>
        <v>1.0655326314737</v>
      </c>
      <c r="F166" s="51" t="n">
        <f aca="false">1+IF($G$10=$E$10,$F$10,IF(T166&lt;($F$10-$E$10)/($G$10-$E$10),$E$10+SQRT(T166*($G$10-$E$10)*($F$10-$E$10)),$G$10-SQRT((1-T166)*($G$10-$E$10)*($G$10-$F$10))))</f>
        <v>1.04658214361112</v>
      </c>
      <c r="G166" s="52" t="n">
        <f aca="false">IF($G$11=$E$11,$F$11,IF(U166&lt;($F$11-$E$11)/($G$11-$E$11),$E$11+SQRT(U166*($G$11-$E$11)*($F$11-$E$11)),$G$11-SQRT((1-U166)*($G$11-$E$11)*($G$11-$F$11))))</f>
        <v>0.10138610815681</v>
      </c>
      <c r="H166" s="53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-2093164287.22223</v>
      </c>
      <c r="I166" s="53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-42498850.5916866</v>
      </c>
      <c r="J166" s="53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219259740.410851</v>
      </c>
      <c r="K166" s="53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533347438.593944</v>
      </c>
      <c r="L166" s="53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652653960.286491</v>
      </c>
      <c r="M166" s="53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828949079.42418</v>
      </c>
      <c r="N166" s="53" t="n">
        <f aca="false">IF(COUNT('Business Case'!B11:G11)=0,"",H166+NPV(G166,I166:M166))</f>
        <v>-596786498.14255</v>
      </c>
      <c r="P166" s="54" t="n">
        <f aca="true">RAND()</f>
        <v>0.240715106094915</v>
      </c>
      <c r="Q166" s="54" t="n">
        <f aca="true">RAND()</f>
        <v>0.356936755379809</v>
      </c>
      <c r="R166" s="54" t="n">
        <f aca="true">RAND()</f>
        <v>0.596345196628308</v>
      </c>
      <c r="S166" s="54" t="n">
        <f aca="true">RAND()</f>
        <v>0.920800033791492</v>
      </c>
      <c r="T166" s="54" t="n">
        <f aca="true">RAND()</f>
        <v>0.529259226820799</v>
      </c>
      <c r="U166" s="54" t="n">
        <f aca="true">RAND()</f>
        <v>0.422538384083352</v>
      </c>
    </row>
    <row r="167" customFormat="false" ht="15" hidden="false" customHeight="false" outlineLevel="0" collapsed="false">
      <c r="A167" s="50" t="n">
        <v>87</v>
      </c>
      <c r="B167" s="51" t="n">
        <f aca="false">1+IF($G$6=$E$6,$F$6,IF(P167&lt;($F$6-$E$6)/($G$6-$E$6),$E$6+SQRT(P167*($G$6-$E$6)*($F$6-$E$6)),$G$6-SQRT((1-P167)*($G$6-$E$6)*($G$6-$F$6))))</f>
        <v>1.01214108742746</v>
      </c>
      <c r="C167" s="51" t="n">
        <f aca="false">1+IF($G$7=$E$7,$F$7,IF(Q167&lt;($F$7-$E$7)/($G$7-$E$7),$E$7+SQRT(Q167*($G$7-$E$7)*($F$7-$E$7)),$G$7-SQRT((1-Q167)*($G$7-$E$7)*($G$7-$F$7))))</f>
        <v>1.09380896201992</v>
      </c>
      <c r="D167" s="51" t="n">
        <f aca="false">1+IF($G$8=$E$8,$F$8,IF(R167&lt;($F$8-$E$8)/($G$8-$E$8),$E$8+SQRT(R167*($G$8-$E$8)*($F$8-$E$8)),$G$8-SQRT((1-R167)*($G$8-$E$8)*($G$8-$F$8))))</f>
        <v>1.03872292960754</v>
      </c>
      <c r="E167" s="51" t="n">
        <f aca="false">1+IF($G$9=$E$9,$F$9,IF(S167&lt;($F$9-$E$9)/($G$9-$E$9),$E$9+SQRT(S167*($G$9-$E$9)*($F$9-$E$9)),$G$9-SQRT((1-S167)*($G$9-$E$9)*($G$9-$F$9))))</f>
        <v>1.06582484546754</v>
      </c>
      <c r="F167" s="51" t="n">
        <f aca="false">1+IF($G$10=$E$10,$F$10,IF(T167&lt;($F$10-$E$10)/($G$10-$E$10),$E$10+SQRT(T167*($G$10-$E$10)*($F$10-$E$10)),$G$10-SQRT((1-T167)*($G$10-$E$10)*($G$10-$F$10))))</f>
        <v>1.04983132041641</v>
      </c>
      <c r="G167" s="52" t="n">
        <f aca="false">IF($G$11=$E$11,$F$11,IF(U167&lt;($F$11-$E$11)/($G$11-$E$11),$E$11+SQRT(U167*($G$11-$E$11)*($F$11-$E$11)),$G$11-SQRT((1-U167)*($G$11-$E$11)*($G$11-$F$11))))</f>
        <v>0.0955572748360436</v>
      </c>
      <c r="H167" s="53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-2099662640.83282</v>
      </c>
      <c r="I167" s="53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11225371.6722775</v>
      </c>
      <c r="J167" s="53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336385661.77027</v>
      </c>
      <c r="K167" s="53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714037517.889083</v>
      </c>
      <c r="L167" s="53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860685276.827473</v>
      </c>
      <c r="M167" s="53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1071120752.47564</v>
      </c>
      <c r="N167" s="53" t="n">
        <f aca="false">IF(COUNT('Business Case'!B11:G11)=0,"",H167+NPV(G167,I167:M167))</f>
        <v>9997724.26179433</v>
      </c>
      <c r="P167" s="54" t="n">
        <f aca="true">RAND()</f>
        <v>0.838308539640754</v>
      </c>
      <c r="Q167" s="54" t="n">
        <f aca="true">RAND()</f>
        <v>0.939858423823269</v>
      </c>
      <c r="R167" s="54" t="n">
        <f aca="true">RAND()</f>
        <v>0.836173409597697</v>
      </c>
      <c r="S167" s="54" t="n">
        <f aca="true">RAND()</f>
        <v>0.922137254178825</v>
      </c>
      <c r="T167" s="54" t="n">
        <f aca="true">RAND()</f>
        <v>0.548987353442409</v>
      </c>
      <c r="U167" s="54" t="n">
        <f aca="true">RAND()</f>
        <v>0.102944345344412</v>
      </c>
    </row>
    <row r="168" customFormat="false" ht="15" hidden="false" customHeight="false" outlineLevel="0" collapsed="false">
      <c r="A168" s="50" t="n">
        <v>88</v>
      </c>
      <c r="B168" s="51" t="n">
        <f aca="false">1+IF($G$6=$E$6,$F$6,IF(P168&lt;($F$6-$E$6)/($G$6-$E$6),$E$6+SQRT(P168*($G$6-$E$6)*($F$6-$E$6)),$G$6-SQRT((1-P168)*($G$6-$E$6)*($G$6-$F$6))))</f>
        <v>0.966939888180204</v>
      </c>
      <c r="C168" s="51" t="n">
        <f aca="false">1+IF($G$7=$E$7,$F$7,IF(Q168&lt;($F$7-$E$7)/($G$7-$E$7),$E$7+SQRT(Q168*($G$7-$E$7)*($F$7-$E$7)),$G$7-SQRT((1-Q168)*($G$7-$E$7)*($G$7-$F$7))))</f>
        <v>0.986979006745348</v>
      </c>
      <c r="D168" s="51" t="n">
        <f aca="false">1+IF($G$8=$E$8,$F$8,IF(R168&lt;($F$8-$E$8)/($G$8-$E$8),$E$8+SQRT(R168*($G$8-$E$8)*($F$8-$E$8)),$G$8-SQRT((1-R168)*($G$8-$E$8)*($G$8-$F$8))))</f>
        <v>1.05697910921716</v>
      </c>
      <c r="E168" s="51" t="n">
        <f aca="false">1+IF($G$9=$E$9,$F$9,IF(S168&lt;($F$9-$E$9)/($G$9-$E$9),$E$9+SQRT(S168*($G$9-$E$9)*($F$9-$E$9)),$G$9-SQRT((1-S168)*($G$9-$E$9)*($G$9-$F$9))))</f>
        <v>1.00187510514236</v>
      </c>
      <c r="F168" s="51" t="n">
        <f aca="false">1+IF($G$10=$E$10,$F$10,IF(T168&lt;($F$10-$E$10)/($G$10-$E$10),$E$10+SQRT(T168*($G$10-$E$10)*($F$10-$E$10)),$G$10-SQRT((1-T168)*($G$10-$E$10)*($G$10-$F$10))))</f>
        <v>1.04752578773931</v>
      </c>
      <c r="G168" s="52" t="n">
        <f aca="false">IF($G$11=$E$11,$F$11,IF(U168&lt;($F$11-$E$11)/($G$11-$E$11),$E$11+SQRT(U168*($G$11-$E$11)*($F$11-$E$11)),$G$11-SQRT((1-U168)*($G$11-$E$11)*($G$11-$F$11))))</f>
        <v>0.110920195532854</v>
      </c>
      <c r="H168" s="53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-2095051575.47862</v>
      </c>
      <c r="I168" s="53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-49055075.2441528</v>
      </c>
      <c r="J168" s="53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198582539.599366</v>
      </c>
      <c r="K168" s="53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498596443.829851</v>
      </c>
      <c r="L168" s="53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614124629.686023</v>
      </c>
      <c r="M168" s="53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795527358.015182</v>
      </c>
      <c r="N168" s="53" t="n">
        <f aca="false">IF(COUNT('Business Case'!B11:G11)=0,"",H168+NPV(G168,I168:M168))</f>
        <v>-741278399.578055</v>
      </c>
      <c r="P168" s="54" t="n">
        <f aca="true">RAND()</f>
        <v>0.229515948163543</v>
      </c>
      <c r="Q168" s="54" t="n">
        <f aca="true">RAND()</f>
        <v>0.499444985192525</v>
      </c>
      <c r="R168" s="54" t="n">
        <f aca="true">RAND()</f>
        <v>0.94904217188121</v>
      </c>
      <c r="S168" s="54" t="n">
        <f aca="true">RAND()</f>
        <v>0.358100333945097</v>
      </c>
      <c r="T168" s="54" t="n">
        <f aca="true">RAND()</f>
        <v>0.535032291909634</v>
      </c>
      <c r="U168" s="54" t="n">
        <f aca="true">RAND()</f>
        <v>0.862595251397318</v>
      </c>
    </row>
    <row r="169" customFormat="false" ht="15" hidden="false" customHeight="false" outlineLevel="0" collapsed="false">
      <c r="A169" s="50" t="n">
        <v>89</v>
      </c>
      <c r="B169" s="51" t="n">
        <f aca="false">1+IF($G$6=$E$6,$F$6,IF(P169&lt;($F$6-$E$6)/($G$6-$E$6),$E$6+SQRT(P169*($G$6-$E$6)*($F$6-$E$6)),$G$6-SQRT((1-P169)*($G$6-$E$6)*($G$6-$F$6))))</f>
        <v>0.996812346684317</v>
      </c>
      <c r="C169" s="51" t="n">
        <f aca="false">1+IF($G$7=$E$7,$F$7,IF(Q169&lt;($F$7-$E$7)/($G$7-$E$7),$E$7+SQRT(Q169*($G$7-$E$7)*($F$7-$E$7)),$G$7-SQRT((1-Q169)*($G$7-$E$7)*($G$7-$F$7))))</f>
        <v>0.961154756847413</v>
      </c>
      <c r="D169" s="51" t="n">
        <f aca="false">1+IF($G$8=$E$8,$F$8,IF(R169&lt;($F$8-$E$8)/($G$8-$E$8),$E$8+SQRT(R169*($G$8-$E$8)*($F$8-$E$8)),$G$8-SQRT((1-R169)*($G$8-$E$8)*($G$8-$F$8))))</f>
        <v>0.983049065558966</v>
      </c>
      <c r="E169" s="51" t="n">
        <f aca="false">1+IF($G$9=$E$9,$F$9,IF(S169&lt;($F$9-$E$9)/($G$9-$E$9),$E$9+SQRT(S169*($G$9-$E$9)*($F$9-$E$9)),$G$9-SQRT((1-S169)*($G$9-$E$9)*($G$9-$F$9))))</f>
        <v>0.987231520673767</v>
      </c>
      <c r="F169" s="51" t="n">
        <f aca="false">1+IF($G$10=$E$10,$F$10,IF(T169&lt;($F$10-$E$10)/($G$10-$E$10),$E$10+SQRT(T169*($G$10-$E$10)*($F$10-$E$10)),$G$10-SQRT((1-T169)*($G$10-$E$10)*($G$10-$F$10))))</f>
        <v>1.02479260596074</v>
      </c>
      <c r="G169" s="52" t="n">
        <f aca="false">IF($G$11=$E$11,$F$11,IF(U169&lt;($F$11-$E$11)/($G$11-$E$11),$E$11+SQRT(U169*($G$11-$E$11)*($F$11-$E$11)),$G$11-SQRT((1-U169)*($G$11-$E$11)*($G$11-$F$11))))</f>
        <v>0.106284659332098</v>
      </c>
      <c r="H169" s="53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-2049585211.92149</v>
      </c>
      <c r="I169" s="53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8520535.34009635</v>
      </c>
      <c r="J169" s="53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309572087.259878</v>
      </c>
      <c r="K169" s="53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661863269.477696</v>
      </c>
      <c r="L169" s="53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795325409.280158</v>
      </c>
      <c r="M169" s="53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977439333.007428</v>
      </c>
      <c r="N169" s="53" t="n">
        <f aca="false">IF(COUNT('Business Case'!B11:G11)=0,"",H169+NPV(G169,I169:M169))</f>
        <v>-179248521.187932</v>
      </c>
      <c r="P169" s="54" t="n">
        <f aca="true">RAND()</f>
        <v>0.614597562828297</v>
      </c>
      <c r="Q169" s="54" t="n">
        <f aca="true">RAND()</f>
        <v>0.371012223636412</v>
      </c>
      <c r="R169" s="54" t="n">
        <f aca="true">RAND()</f>
        <v>0.168037036049363</v>
      </c>
      <c r="S169" s="54" t="n">
        <f aca="true">RAND()</f>
        <v>0.184824817557482</v>
      </c>
      <c r="T169" s="54" t="n">
        <f aca="true">RAND()</f>
        <v>0.386047381479462</v>
      </c>
      <c r="U169" s="54" t="n">
        <f aca="true">RAND()</f>
        <v>0.686482383938967</v>
      </c>
    </row>
    <row r="170" customFormat="false" ht="15" hidden="false" customHeight="false" outlineLevel="0" collapsed="false">
      <c r="A170" s="50" t="n">
        <v>90</v>
      </c>
      <c r="B170" s="51" t="n">
        <f aca="false">1+IF($G$6=$E$6,$F$6,IF(P170&lt;($F$6-$E$6)/($G$6-$E$6),$E$6+SQRT(P170*($G$6-$E$6)*($F$6-$E$6)),$G$6-SQRT((1-P170)*($G$6-$E$6)*($G$6-$F$6))))</f>
        <v>0.960776155624084</v>
      </c>
      <c r="C170" s="51" t="n">
        <f aca="false">1+IF($G$7=$E$7,$F$7,IF(Q170&lt;($F$7-$E$7)/($G$7-$E$7),$E$7+SQRT(Q170*($G$7-$E$7)*($F$7-$E$7)),$G$7-SQRT((1-Q170)*($G$7-$E$7)*($G$7-$F$7))))</f>
        <v>1.06467018408209</v>
      </c>
      <c r="D170" s="51" t="n">
        <f aca="false">1+IF($G$8=$E$8,$F$8,IF(R170&lt;($F$8-$E$8)/($G$8-$E$8),$E$8+SQRT(R170*($G$8-$E$8)*($F$8-$E$8)),$G$8-SQRT((1-R170)*($G$8-$E$8)*($G$8-$F$8))))</f>
        <v>0.978659986776211</v>
      </c>
      <c r="E170" s="51" t="n">
        <f aca="false">1+IF($G$9=$E$9,$F$9,IF(S170&lt;($F$9-$E$9)/($G$9-$E$9),$E$9+SQRT(S170*($G$9-$E$9)*($F$9-$E$9)),$G$9-SQRT((1-S170)*($G$9-$E$9)*($G$9-$F$9))))</f>
        <v>1.04406220101104</v>
      </c>
      <c r="F170" s="51" t="n">
        <f aca="false">1+IF($G$10=$E$10,$F$10,IF(T170&lt;($F$10-$E$10)/($G$10-$E$10),$E$10+SQRT(T170*($G$10-$E$10)*($F$10-$E$10)),$G$10-SQRT((1-T170)*($G$10-$E$10)*($G$10-$F$10))))</f>
        <v>1.02913228949707</v>
      </c>
      <c r="G170" s="52" t="n">
        <f aca="false">IF($G$11=$E$11,$F$11,IF(U170&lt;($F$11-$E$11)/($G$11-$E$11),$E$11+SQRT(U170*($G$11-$E$11)*($F$11-$E$11)),$G$11-SQRT((1-U170)*($G$11-$E$11)*($G$11-$F$11))))</f>
        <v>0.107180137252271</v>
      </c>
      <c r="H170" s="53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-2058264578.99415</v>
      </c>
      <c r="I170" s="53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35101.8974968642</v>
      </c>
      <c r="J170" s="53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304476717.948675</v>
      </c>
      <c r="K170" s="53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660374948.474707</v>
      </c>
      <c r="L170" s="53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797207247.305235</v>
      </c>
      <c r="M170" s="53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991641928.112648</v>
      </c>
      <c r="N170" s="53" t="n">
        <f aca="false">IF(COUNT('Business Case'!B11:G11)=0,"",H170+NPV(G170,I170:M170))</f>
        <v>-196754000.859997</v>
      </c>
      <c r="P170" s="54" t="n">
        <f aca="true">RAND()</f>
        <v>0.173197382029113</v>
      </c>
      <c r="Q170" s="54" t="n">
        <f aca="true">RAND()</f>
        <v>0.861310905055537</v>
      </c>
      <c r="R170" s="54" t="n">
        <f aca="true">RAND()</f>
        <v>0.126368437232708</v>
      </c>
      <c r="S170" s="54" t="n">
        <f aca="true">RAND()</f>
        <v>0.791397509618065</v>
      </c>
      <c r="T170" s="54" t="n">
        <f aca="true">RAND()</f>
        <v>0.416084510149771</v>
      </c>
      <c r="U170" s="54" t="n">
        <f aca="true">RAND()</f>
        <v>0.726085198548985</v>
      </c>
    </row>
    <row r="171" customFormat="false" ht="15" hidden="false" customHeight="false" outlineLevel="0" collapsed="false">
      <c r="A171" s="50" t="n">
        <v>91</v>
      </c>
      <c r="B171" s="51" t="n">
        <f aca="false">1+IF($G$6=$E$6,$F$6,IF(P171&lt;($F$6-$E$6)/($G$6-$E$6),$E$6+SQRT(P171*($G$6-$E$6)*($F$6-$E$6)),$G$6-SQRT((1-P171)*($G$6-$E$6)*($G$6-$F$6))))</f>
        <v>0.995793571632152</v>
      </c>
      <c r="C171" s="51" t="n">
        <f aca="false">1+IF($G$7=$E$7,$F$7,IF(Q171&lt;($F$7-$E$7)/($G$7-$E$7),$E$7+SQRT(Q171*($G$7-$E$7)*($F$7-$E$7)),$G$7-SQRT((1-Q171)*($G$7-$E$7)*($G$7-$F$7))))</f>
        <v>0.88913840487025</v>
      </c>
      <c r="D171" s="51" t="n">
        <f aca="false">1+IF($G$8=$E$8,$F$8,IF(R171&lt;($F$8-$E$8)/($G$8-$E$8),$E$8+SQRT(R171*($G$8-$E$8)*($F$8-$E$8)),$G$8-SQRT((1-R171)*($G$8-$E$8)*($G$8-$F$8))))</f>
        <v>1.03230634987467</v>
      </c>
      <c r="E171" s="51" t="n">
        <f aca="false">1+IF($G$9=$E$9,$F$9,IF(S171&lt;($F$9-$E$9)/($G$9-$E$9),$E$9+SQRT(S171*($G$9-$E$9)*($F$9-$E$9)),$G$9-SQRT((1-S171)*($G$9-$E$9)*($G$9-$F$9))))</f>
        <v>0.964374429147118</v>
      </c>
      <c r="F171" s="51" t="n">
        <f aca="false">1+IF($G$10=$E$10,$F$10,IF(T171&lt;($F$10-$E$10)/($G$10-$E$10),$E$10+SQRT(T171*($G$10-$E$10)*($F$10-$E$10)),$G$10-SQRT((1-T171)*($G$10-$E$10)*($G$10-$F$10))))</f>
        <v>1.02294660170067</v>
      </c>
      <c r="G171" s="52" t="n">
        <f aca="false">IF($G$11=$E$11,$F$11,IF(U171&lt;($F$11-$E$11)/($G$11-$E$11),$E$11+SQRT(U171*($G$11-$E$11)*($F$11-$E$11)),$G$11-SQRT((1-U171)*($G$11-$E$11)*($G$11-$F$11))))</f>
        <v>0.1173856729674</v>
      </c>
      <c r="H171" s="53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-2045893203.40134</v>
      </c>
      <c r="I171" s="53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-29995329.6879051</v>
      </c>
      <c r="J171" s="53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225337092.898495</v>
      </c>
      <c r="K171" s="53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531816845.569928</v>
      </c>
      <c r="L171" s="53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647527018.618406</v>
      </c>
      <c r="M171" s="53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815823528.976637</v>
      </c>
      <c r="N171" s="53" t="n">
        <f aca="false">IF(COUNT('Business Case'!B11:G11)=0,"",H171+NPV(G171,I171:M171))</f>
        <v>-627317639.781254</v>
      </c>
      <c r="P171" s="54" t="n">
        <f aca="true">RAND()</f>
        <v>0.59840265632898</v>
      </c>
      <c r="Q171" s="54" t="n">
        <f aca="true">RAND()</f>
        <v>0.113509360325894</v>
      </c>
      <c r="R171" s="54" t="n">
        <f aca="true">RAND()</f>
        <v>0.781280359396389</v>
      </c>
      <c r="S171" s="54" t="n">
        <f aca="true">RAND()</f>
        <v>0.0275498951074014</v>
      </c>
      <c r="T171" s="54" t="n">
        <f aca="true">RAND()</f>
        <v>0.373041883013193</v>
      </c>
      <c r="U171" s="54" t="n">
        <f aca="true">RAND()</f>
        <v>0.988608823611027</v>
      </c>
    </row>
    <row r="172" customFormat="false" ht="15" hidden="false" customHeight="false" outlineLevel="0" collapsed="false">
      <c r="A172" s="50" t="n">
        <v>92</v>
      </c>
      <c r="B172" s="51" t="n">
        <f aca="false">1+IF($G$6=$E$6,$F$6,IF(P172&lt;($F$6-$E$6)/($G$6-$E$6),$E$6+SQRT(P172*($G$6-$E$6)*($F$6-$E$6)),$G$6-SQRT((1-P172)*($G$6-$E$6)*($G$6-$F$6))))</f>
        <v>0.975011799907847</v>
      </c>
      <c r="C172" s="51" t="n">
        <f aca="false">1+IF($G$7=$E$7,$F$7,IF(Q172&lt;($F$7-$E$7)/($G$7-$E$7),$E$7+SQRT(Q172*($G$7-$E$7)*($F$7-$E$7)),$G$7-SQRT((1-Q172)*($G$7-$E$7)*($G$7-$F$7))))</f>
        <v>1.03652700472949</v>
      </c>
      <c r="D172" s="51" t="n">
        <f aca="false">1+IF($G$8=$E$8,$F$8,IF(R172&lt;($F$8-$E$8)/($G$8-$E$8),$E$8+SQRT(R172*($G$8-$E$8)*($F$8-$E$8)),$G$8-SQRT((1-R172)*($G$8-$E$8)*($G$8-$F$8))))</f>
        <v>1.01140020893272</v>
      </c>
      <c r="E172" s="51" t="n">
        <f aca="false">1+IF($G$9=$E$9,$F$9,IF(S172&lt;($F$9-$E$9)/($G$9-$E$9),$E$9+SQRT(S172*($G$9-$E$9)*($F$9-$E$9)),$G$9-SQRT((1-S172)*($G$9-$E$9)*($G$9-$F$9))))</f>
        <v>0.996289537896294</v>
      </c>
      <c r="F172" s="51" t="n">
        <f aca="false">1+IF($G$10=$E$10,$F$10,IF(T172&lt;($F$10-$E$10)/($G$10-$E$10),$E$10+SQRT(T172*($G$10-$E$10)*($F$10-$E$10)),$G$10-SQRT((1-T172)*($G$10-$E$10)*($G$10-$F$10))))</f>
        <v>1.08229970805026</v>
      </c>
      <c r="G172" s="52" t="n">
        <f aca="false">IF($G$11=$E$11,$F$11,IF(U172&lt;($F$11-$E$11)/($G$11-$E$11),$E$11+SQRT(U172*($G$11-$E$11)*($F$11-$E$11)),$G$11-SQRT((1-U172)*($G$11-$E$11)*($G$11-$F$11))))</f>
        <v>0.114640877172608</v>
      </c>
      <c r="H172" s="53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-2164599416.10052</v>
      </c>
      <c r="I172" s="53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-11185760.0513053</v>
      </c>
      <c r="J172" s="53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279921677.969371</v>
      </c>
      <c r="K172" s="53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625144101.39256</v>
      </c>
      <c r="L172" s="53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757107150.718188</v>
      </c>
      <c r="M172" s="53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949206952.304564</v>
      </c>
      <c r="N172" s="53" t="n">
        <f aca="false">IF(COUNT('Business Case'!B11:G11)=0,"",H172+NPV(G172,I172:M172))</f>
        <v>-455763473.739078</v>
      </c>
      <c r="P172" s="54" t="n">
        <f aca="true">RAND()</f>
        <v>0.315239388448024</v>
      </c>
      <c r="Q172" s="54" t="n">
        <f aca="true">RAND()</f>
        <v>0.754740558939769</v>
      </c>
      <c r="R172" s="54" t="n">
        <f aca="true">RAND()</f>
        <v>0.547506602454328</v>
      </c>
      <c r="S172" s="54" t="n">
        <f aca="true">RAND()</f>
        <v>0.285696175820319</v>
      </c>
      <c r="T172" s="54" t="n">
        <f aca="true">RAND()</f>
        <v>0.722932825498917</v>
      </c>
      <c r="U172" s="54" t="n">
        <f aca="true">RAND()</f>
        <v>0.952133004201541</v>
      </c>
    </row>
    <row r="173" customFormat="false" ht="15" hidden="false" customHeight="false" outlineLevel="0" collapsed="false">
      <c r="A173" s="50" t="n">
        <v>93</v>
      </c>
      <c r="B173" s="51" t="n">
        <f aca="false">1+IF($G$6=$E$6,$F$6,IF(P173&lt;($F$6-$E$6)/($G$6-$E$6),$E$6+SQRT(P173*($G$6-$E$6)*($F$6-$E$6)),$G$6-SQRT((1-P173)*($G$6-$E$6)*($G$6-$F$6))))</f>
        <v>0.96407519704819</v>
      </c>
      <c r="C173" s="51" t="n">
        <f aca="false">1+IF($G$7=$E$7,$F$7,IF(Q173&lt;($F$7-$E$7)/($G$7-$E$7),$E$7+SQRT(Q173*($G$7-$E$7)*($F$7-$E$7)),$G$7-SQRT((1-Q173)*($G$7-$E$7)*($G$7-$F$7))))</f>
        <v>1.05429917222636</v>
      </c>
      <c r="D173" s="51" t="n">
        <f aca="false">1+IF($G$8=$E$8,$F$8,IF(R173&lt;($F$8-$E$8)/($G$8-$E$8),$E$8+SQRT(R173*($G$8-$E$8)*($F$8-$E$8)),$G$8-SQRT((1-R173)*($G$8-$E$8)*($G$8-$F$8))))</f>
        <v>0.981352636622617</v>
      </c>
      <c r="E173" s="51" t="n">
        <f aca="false">1+IF($G$9=$E$9,$F$9,IF(S173&lt;($F$9-$E$9)/($G$9-$E$9),$E$9+SQRT(S173*($G$9-$E$9)*($F$9-$E$9)),$G$9-SQRT((1-S173)*($G$9-$E$9)*($G$9-$F$9))))</f>
        <v>0.965297520298316</v>
      </c>
      <c r="F173" s="51" t="n">
        <f aca="false">1+IF($G$10=$E$10,$F$10,IF(T173&lt;($F$10-$E$10)/($G$10-$E$10),$E$10+SQRT(T173*($G$10-$E$10)*($F$10-$E$10)),$G$10-SQRT((1-T173)*($G$10-$E$10)*($G$10-$F$10))))</f>
        <v>1.14495622933795</v>
      </c>
      <c r="G173" s="52" t="n">
        <f aca="false">IF($G$11=$E$11,$F$11,IF(U173&lt;($F$11-$E$11)/($G$11-$E$11),$E$11+SQRT(U173*($G$11-$E$11)*($F$11-$E$11)),$G$11-SQRT((1-U173)*($G$11-$E$11)*($G$11-$F$11))))</f>
        <v>0.0966268608540602</v>
      </c>
      <c r="H173" s="53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-2289912458.6759</v>
      </c>
      <c r="I173" s="53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-1580692.1237717</v>
      </c>
      <c r="J173" s="53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301290949.758536</v>
      </c>
      <c r="K173" s="53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661410403.107741</v>
      </c>
      <c r="L173" s="53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797495219.525753</v>
      </c>
      <c r="M173" s="53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990697033.040585</v>
      </c>
      <c r="N173" s="53" t="n">
        <f aca="false">IF(COUNT('Business Case'!B11:G11)=0,"",H173+NPV(G173,I173:M173))</f>
        <v>-363195089.086055</v>
      </c>
      <c r="P173" s="54" t="n">
        <f aca="true">RAND()</f>
        <v>0.202356561962167</v>
      </c>
      <c r="Q173" s="54" t="n">
        <f aca="true">RAND()</f>
        <v>0.82554955358933</v>
      </c>
      <c r="R173" s="54" t="n">
        <f aca="true">RAND()</f>
        <v>0.151228895875359</v>
      </c>
      <c r="S173" s="54" t="n">
        <f aca="true">RAND()</f>
        <v>0.0312018836369841</v>
      </c>
      <c r="T173" s="54" t="n">
        <f aca="true">RAND()</f>
        <v>0.939403666226078</v>
      </c>
      <c r="U173" s="54" t="n">
        <f aca="true">RAND()</f>
        <v>0.146384282596918</v>
      </c>
    </row>
    <row r="174" customFormat="false" ht="15" hidden="false" customHeight="false" outlineLevel="0" collapsed="false">
      <c r="A174" s="50" t="n">
        <v>94</v>
      </c>
      <c r="B174" s="51" t="n">
        <f aca="false">1+IF($G$6=$E$6,$F$6,IF(P174&lt;($F$6-$E$6)/($G$6-$E$6),$E$6+SQRT(P174*($G$6-$E$6)*($F$6-$E$6)),$G$6-SQRT((1-P174)*($G$6-$E$6)*($G$6-$F$6))))</f>
        <v>0.965033284167568</v>
      </c>
      <c r="C174" s="51" t="n">
        <f aca="false">1+IF($G$7=$E$7,$F$7,IF(Q174&lt;($F$7-$E$7)/($G$7-$E$7),$E$7+SQRT(Q174*($G$7-$E$7)*($F$7-$E$7)),$G$7-SQRT((1-Q174)*($G$7-$E$7)*($G$7-$F$7))))</f>
        <v>0.908227919884882</v>
      </c>
      <c r="D174" s="51" t="n">
        <f aca="false">1+IF($G$8=$E$8,$F$8,IF(R174&lt;($F$8-$E$8)/($G$8-$E$8),$E$8+SQRT(R174*($G$8-$E$8)*($F$8-$E$8)),$G$8-SQRT((1-R174)*($G$8-$E$8)*($G$8-$F$8))))</f>
        <v>1.01231919243996</v>
      </c>
      <c r="E174" s="51" t="n">
        <f aca="false">1+IF($G$9=$E$9,$F$9,IF(S174&lt;($F$9-$E$9)/($G$9-$E$9),$E$9+SQRT(S174*($G$9-$E$9)*($F$9-$E$9)),$G$9-SQRT((1-S174)*($G$9-$E$9)*($G$9-$F$9))))</f>
        <v>0.969966900793143</v>
      </c>
      <c r="F174" s="51" t="n">
        <f aca="false">1+IF($G$10=$E$10,$F$10,IF(T174&lt;($F$10-$E$10)/($G$10-$E$10),$E$10+SQRT(T174*($G$10-$E$10)*($F$10-$E$10)),$G$10-SQRT((1-T174)*($G$10-$E$10)*($G$10-$F$10))))</f>
        <v>1.04595178964261</v>
      </c>
      <c r="G174" s="52" t="n">
        <f aca="false">IF($G$11=$E$11,$F$11,IF(U174&lt;($F$11-$E$11)/($G$11-$E$11),$E$11+SQRT(U174*($G$11-$E$11)*($F$11-$E$11)),$G$11-SQRT((1-U174)*($G$11-$E$11)*($G$11-$F$11))))</f>
        <v>0.104008381830989</v>
      </c>
      <c r="H174" s="53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-2091903579.28522</v>
      </c>
      <c r="I174" s="53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-40736231.5567997</v>
      </c>
      <c r="J174" s="53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206488222.875437</v>
      </c>
      <c r="K174" s="53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506010266.789803</v>
      </c>
      <c r="L174" s="53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618709227.421875</v>
      </c>
      <c r="M174" s="53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785308677.772504</v>
      </c>
      <c r="N174" s="53" t="n">
        <f aca="false">IF(COUNT('Business Case'!B11:G11)=0,"",H174+NPV(G174,I174:M174))</f>
        <v>-688030754.765386</v>
      </c>
      <c r="P174" s="54" t="n">
        <f aca="true">RAND()</f>
        <v>0.211249654470511</v>
      </c>
      <c r="Q174" s="54" t="n">
        <f aca="true">RAND()</f>
        <v>0.16733260918012</v>
      </c>
      <c r="R174" s="54" t="n">
        <f aca="true">RAND()</f>
        <v>0.559548873848157</v>
      </c>
      <c r="S174" s="54" t="n">
        <f aca="true">RAND()</f>
        <v>0.0531569503044276</v>
      </c>
      <c r="T174" s="54" t="n">
        <f aca="true">RAND()</f>
        <v>0.525382977713718</v>
      </c>
      <c r="U174" s="54" t="n">
        <f aca="true">RAND()</f>
        <v>0.573780247227577</v>
      </c>
    </row>
    <row r="175" customFormat="false" ht="15" hidden="false" customHeight="false" outlineLevel="0" collapsed="false">
      <c r="A175" s="50" t="n">
        <v>95</v>
      </c>
      <c r="B175" s="51" t="n">
        <f aca="false">1+IF($G$6=$E$6,$F$6,IF(P175&lt;($F$6-$E$6)/($G$6-$E$6),$E$6+SQRT(P175*($G$6-$E$6)*($F$6-$E$6)),$G$6-SQRT((1-P175)*($G$6-$E$6)*($G$6-$F$6))))</f>
        <v>0.980392031459631</v>
      </c>
      <c r="C175" s="51" t="n">
        <f aca="false">1+IF($G$7=$E$7,$F$7,IF(Q175&lt;($F$7-$E$7)/($G$7-$E$7),$E$7+SQRT(Q175*($G$7-$E$7)*($F$7-$E$7)),$G$7-SQRT((1-Q175)*($G$7-$E$7)*($G$7-$F$7))))</f>
        <v>0.931238058699254</v>
      </c>
      <c r="D175" s="51" t="n">
        <f aca="false">1+IF($G$8=$E$8,$F$8,IF(R175&lt;($F$8-$E$8)/($G$8-$E$8),$E$8+SQRT(R175*($G$8-$E$8)*($F$8-$E$8)),$G$8-SQRT((1-R175)*($G$8-$E$8)*($G$8-$F$8))))</f>
        <v>0.997808546752334</v>
      </c>
      <c r="E175" s="51" t="n">
        <f aca="false">1+IF($G$9=$E$9,$F$9,IF(S175&lt;($F$9-$E$9)/($G$9-$E$9),$E$9+SQRT(S175*($G$9-$E$9)*($F$9-$E$9)),$G$9-SQRT((1-S175)*($G$9-$E$9)*($G$9-$F$9))))</f>
        <v>0.996226230015438</v>
      </c>
      <c r="F175" s="51" t="n">
        <f aca="false">1+IF($G$10=$E$10,$F$10,IF(T175&lt;($F$10-$E$10)/($G$10-$E$10),$E$10+SQRT(T175*($G$10-$E$10)*($F$10-$E$10)),$G$10-SQRT((1-T175)*($G$10-$E$10)*($G$10-$F$10))))</f>
        <v>1.02122211438892</v>
      </c>
      <c r="G175" s="52" t="n">
        <f aca="false">IF($G$11=$E$11,$F$11,IF(U175&lt;($F$11-$E$11)/($G$11-$E$11),$E$11+SQRT(U175*($G$11-$E$11)*($F$11-$E$11)),$G$11-SQRT((1-U175)*($G$11-$E$11)*($G$11-$F$11))))</f>
        <v>0.100609519378322</v>
      </c>
      <c r="H175" s="53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-2042444228.77785</v>
      </c>
      <c r="I175" s="53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-18994037.6932815</v>
      </c>
      <c r="J175" s="53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253126304.772298</v>
      </c>
      <c r="K175" s="53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576307752.957324</v>
      </c>
      <c r="L175" s="53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698567066.320365</v>
      </c>
      <c r="M175" s="53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872105995.296866</v>
      </c>
      <c r="N175" s="53" t="n">
        <f aca="false">IF(COUNT('Business Case'!B11:G11)=0,"",H175+NPV(G175,I175:M175))</f>
        <v>-402382682.316713</v>
      </c>
      <c r="P175" s="54" t="n">
        <f aca="true">RAND()</f>
        <v>0.379916402481354</v>
      </c>
      <c r="Q175" s="54" t="n">
        <f aca="true">RAND()</f>
        <v>0.246048972159269</v>
      </c>
      <c r="R175" s="54" t="n">
        <f aca="true">RAND()</f>
        <v>0.351639560395404</v>
      </c>
      <c r="S175" s="54" t="n">
        <f aca="true">RAND()</f>
        <v>0.284915245525353</v>
      </c>
      <c r="T175" s="54" t="n">
        <f aca="true">RAND()</f>
        <v>0.360769352328663</v>
      </c>
      <c r="U175" s="54" t="n">
        <f aca="true">RAND()</f>
        <v>0.37334876876723</v>
      </c>
    </row>
    <row r="176" customFormat="false" ht="15" hidden="false" customHeight="false" outlineLevel="0" collapsed="false">
      <c r="A176" s="50" t="n">
        <v>96</v>
      </c>
      <c r="B176" s="51" t="n">
        <f aca="false">1+IF($G$6=$E$6,$F$6,IF(P176&lt;($F$6-$E$6)/($G$6-$E$6),$E$6+SQRT(P176*($G$6-$E$6)*($F$6-$E$6)),$G$6-SQRT((1-P176)*($G$6-$E$6)*($G$6-$F$6))))</f>
        <v>0.998503423061334</v>
      </c>
      <c r="C176" s="51" t="n">
        <f aca="false">1+IF($G$7=$E$7,$F$7,IF(Q176&lt;($F$7-$E$7)/($G$7-$E$7),$E$7+SQRT(Q176*($G$7-$E$7)*($F$7-$E$7)),$G$7-SQRT((1-Q176)*($G$7-$E$7)*($G$7-$F$7))))</f>
        <v>0.991871940971351</v>
      </c>
      <c r="D176" s="51" t="n">
        <f aca="false">1+IF($G$8=$E$8,$F$8,IF(R176&lt;($F$8-$E$8)/($G$8-$E$8),$E$8+SQRT(R176*($G$8-$E$8)*($F$8-$E$8)),$G$8-SQRT((1-R176)*($G$8-$E$8)*($G$8-$F$8))))</f>
        <v>0.983358373897284</v>
      </c>
      <c r="E176" s="51" t="n">
        <f aca="false">1+IF($G$9=$E$9,$F$9,IF(S176&lt;($F$9-$E$9)/($G$9-$E$9),$E$9+SQRT(S176*($G$9-$E$9)*($F$9-$E$9)),$G$9-SQRT((1-S176)*($G$9-$E$9)*($G$9-$F$9))))</f>
        <v>1.02994122530002</v>
      </c>
      <c r="F176" s="51" t="n">
        <f aca="false">1+IF($G$10=$E$10,$F$10,IF(T176&lt;($F$10-$E$10)/($G$10-$E$10),$E$10+SQRT(T176*($G$10-$E$10)*($F$10-$E$10)),$G$10-SQRT((1-T176)*($G$10-$E$10)*($G$10-$F$10))))</f>
        <v>1.12113566797434</v>
      </c>
      <c r="G176" s="52" t="n">
        <f aca="false">IF($G$11=$E$11,$F$11,IF(U176&lt;($F$11-$E$11)/($G$11-$E$11),$E$11+SQRT(U176*($G$11-$E$11)*($F$11-$E$11)),$G$11-SQRT((1-U176)*($G$11-$E$11)*($G$11-$F$11))))</f>
        <v>0.0979093779095139</v>
      </c>
      <c r="H176" s="53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-2242271335.94868</v>
      </c>
      <c r="I176" s="53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1976647.88082643</v>
      </c>
      <c r="J176" s="53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313866194.263738</v>
      </c>
      <c r="K176" s="53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681812524.045367</v>
      </c>
      <c r="L176" s="53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820003499.150997</v>
      </c>
      <c r="M176" s="53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1008256360.52995</v>
      </c>
      <c r="N176" s="53" t="n">
        <f aca="false">IF(COUNT('Business Case'!B11:G11)=0,"",H176+NPV(G176,I176:M176))</f>
        <v>-268518173.917045</v>
      </c>
      <c r="P176" s="54" t="n">
        <f aca="true">RAND()</f>
        <v>0.641957024202787</v>
      </c>
      <c r="Q176" s="54" t="n">
        <f aca="true">RAND()</f>
        <v>0.525926310458767</v>
      </c>
      <c r="R176" s="54" t="n">
        <f aca="true">RAND()</f>
        <v>0.17119709370323</v>
      </c>
      <c r="S176" s="54" t="n">
        <f aca="true">RAND()</f>
        <v>0.672784539169192</v>
      </c>
      <c r="T176" s="54" t="n">
        <f aca="true">RAND()</f>
        <v>0.87560834268293</v>
      </c>
      <c r="U176" s="54" t="n">
        <f aca="true">RAND()</f>
        <v>0.208527529718352</v>
      </c>
    </row>
    <row r="177" customFormat="false" ht="15" hidden="false" customHeight="false" outlineLevel="0" collapsed="false">
      <c r="A177" s="50" t="n">
        <v>97</v>
      </c>
      <c r="B177" s="51" t="n">
        <f aca="false">1+IF($G$6=$E$6,$F$6,IF(P177&lt;($F$6-$E$6)/($G$6-$E$6),$E$6+SQRT(P177*($G$6-$E$6)*($F$6-$E$6)),$G$6-SQRT((1-P177)*($G$6-$E$6)*($G$6-$F$6))))</f>
        <v>1.00984752047456</v>
      </c>
      <c r="C177" s="51" t="n">
        <f aca="false">1+IF($G$7=$E$7,$F$7,IF(Q177&lt;($F$7-$E$7)/($G$7-$E$7),$E$7+SQRT(Q177*($G$7-$E$7)*($F$7-$E$7)),$G$7-SQRT((1-Q177)*($G$7-$E$7)*($G$7-$F$7))))</f>
        <v>1.01298712316566</v>
      </c>
      <c r="D177" s="51" t="n">
        <f aca="false">1+IF($G$8=$E$8,$F$8,IF(R177&lt;($F$8-$E$8)/($G$8-$E$8),$E$8+SQRT(R177*($G$8-$E$8)*($F$8-$E$8)),$G$8-SQRT((1-R177)*($G$8-$E$8)*($G$8-$F$8))))</f>
        <v>1.02293448283494</v>
      </c>
      <c r="E177" s="51" t="n">
        <f aca="false">1+IF($G$9=$E$9,$F$9,IF(S177&lt;($F$9-$E$9)/($G$9-$E$9),$E$9+SQRT(S177*($G$9-$E$9)*($F$9-$E$9)),$G$9-SQRT((1-S177)*($G$9-$E$9)*($G$9-$F$9))))</f>
        <v>1.02538010784156</v>
      </c>
      <c r="F177" s="51" t="n">
        <f aca="false">1+IF($G$10=$E$10,$F$10,IF(T177&lt;($F$10-$E$10)/($G$10-$E$10),$E$10+SQRT(T177*($G$10-$E$10)*($F$10-$E$10)),$G$10-SQRT((1-T177)*($G$10-$E$10)*($G$10-$F$10))))</f>
        <v>1.10600886148463</v>
      </c>
      <c r="G177" s="52" t="n">
        <f aca="false">IF($G$11=$E$11,$F$11,IF(U177&lt;($F$11-$E$11)/($G$11-$E$11),$E$11+SQRT(U177*($G$11-$E$11)*($F$11-$E$11)),$G$11-SQRT((1-U177)*($G$11-$E$11)*($G$11-$F$11))))</f>
        <v>0.109804267945028</v>
      </c>
      <c r="H177" s="53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-2212017722.96926</v>
      </c>
      <c r="I177" s="53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-2021811.56384322</v>
      </c>
      <c r="J177" s="53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305396692.149588</v>
      </c>
      <c r="K177" s="53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668115638.93725</v>
      </c>
      <c r="L177" s="53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805942058.704221</v>
      </c>
      <c r="M177" s="53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1000386777.28127</v>
      </c>
      <c r="N177" s="53" t="n">
        <f aca="false">IF(COUNT('Business Case'!B11:G11)=0,"",H177+NPV(G177,I177:M177))</f>
        <v>-351628133.257871</v>
      </c>
      <c r="P177" s="54" t="n">
        <f aca="true">RAND()</f>
        <v>0.810589162180807</v>
      </c>
      <c r="Q177" s="54" t="n">
        <f aca="true">RAND()</f>
        <v>0.642428030125309</v>
      </c>
      <c r="R177" s="54" t="n">
        <f aca="true">RAND()</f>
        <v>0.686877572181159</v>
      </c>
      <c r="S177" s="54" t="n">
        <f aca="true">RAND()</f>
        <v>0.628791446284142</v>
      </c>
      <c r="T177" s="54" t="n">
        <f aca="true">RAND()</f>
        <v>0.823313317611691</v>
      </c>
      <c r="U177" s="54" t="n">
        <f aca="true">RAND()</f>
        <v>0.826745079772016</v>
      </c>
    </row>
    <row r="178" customFormat="false" ht="15" hidden="false" customHeight="false" outlineLevel="0" collapsed="false">
      <c r="A178" s="50" t="n">
        <v>98</v>
      </c>
      <c r="B178" s="51" t="n">
        <f aca="false">1+IF($G$6=$E$6,$F$6,IF(P178&lt;($F$6-$E$6)/($G$6-$E$6),$E$6+SQRT(P178*($G$6-$E$6)*($F$6-$E$6)),$G$6-SQRT((1-P178)*($G$6-$E$6)*($G$6-$F$6))))</f>
        <v>0.94017286619835</v>
      </c>
      <c r="C178" s="51" t="n">
        <f aca="false">1+IF($G$7=$E$7,$F$7,IF(Q178&lt;($F$7-$E$7)/($G$7-$E$7),$E$7+SQRT(Q178*($G$7-$E$7)*($F$7-$E$7)),$G$7-SQRT((1-Q178)*($G$7-$E$7)*($G$7-$F$7))))</f>
        <v>0.997572053677771</v>
      </c>
      <c r="D178" s="51" t="n">
        <f aca="false">1+IF($G$8=$E$8,$F$8,IF(R178&lt;($F$8-$E$8)/($G$8-$E$8),$E$8+SQRT(R178*($G$8-$E$8)*($F$8-$E$8)),$G$8-SQRT((1-R178)*($G$8-$E$8)*($G$8-$F$8))))</f>
        <v>0.991258109165844</v>
      </c>
      <c r="E178" s="51" t="n">
        <f aca="false">1+IF($G$9=$E$9,$F$9,IF(S178&lt;($F$9-$E$9)/($G$9-$E$9),$E$9+SQRT(S178*($G$9-$E$9)*($F$9-$E$9)),$G$9-SQRT((1-S178)*($G$9-$E$9)*($G$9-$F$9))))</f>
        <v>1.01201853181306</v>
      </c>
      <c r="F178" s="51" t="n">
        <f aca="false">1+IF($G$10=$E$10,$F$10,IF(T178&lt;($F$10-$E$10)/($G$10-$E$10),$E$10+SQRT(T178*($G$10-$E$10)*($F$10-$E$10)),$G$10-SQRT((1-T178)*($G$10-$E$10)*($G$10-$F$10))))</f>
        <v>0.983387053793077</v>
      </c>
      <c r="G178" s="52" t="n">
        <f aca="false">IF($G$11=$E$11,$F$11,IF(U178&lt;($F$11-$E$11)/($G$11-$E$11),$E$11+SQRT(U178*($G$11-$E$11)*($F$11-$E$11)),$G$11-SQRT((1-U178)*($G$11-$E$11)*($G$11-$F$11))))</f>
        <v>0.0942876564138882</v>
      </c>
      <c r="H178" s="53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-1966774107.58615</v>
      </c>
      <c r="I178" s="53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-28881186.7486605</v>
      </c>
      <c r="J178" s="53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233105593.878663</v>
      </c>
      <c r="K178" s="53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544261727.195641</v>
      </c>
      <c r="L178" s="53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664004138.586656</v>
      </c>
      <c r="M178" s="53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842278303.420476</v>
      </c>
      <c r="N178" s="53" t="n">
        <f aca="false">IF(COUNT('Business Case'!B11:G11)=0,"",H178+NPV(G178,I178:M178))</f>
        <v>-383301632.148561</v>
      </c>
      <c r="P178" s="54" t="n">
        <f aca="true">RAND()</f>
        <v>0.0423900552767239</v>
      </c>
      <c r="Q178" s="54" t="n">
        <f aca="true">RAND()</f>
        <v>0.55763880563503</v>
      </c>
      <c r="R178" s="54" t="n">
        <f aca="true">RAND()</f>
        <v>0.261881780298569</v>
      </c>
      <c r="S178" s="54" t="n">
        <f aca="true">RAND()</f>
        <v>0.483950750377974</v>
      </c>
      <c r="T178" s="54" t="n">
        <f aca="true">RAND()</f>
        <v>0.0891756288785433</v>
      </c>
      <c r="U178" s="54" t="n">
        <f aca="true">RAND()</f>
        <v>0.0612799917451881</v>
      </c>
    </row>
    <row r="179" customFormat="false" ht="15" hidden="false" customHeight="false" outlineLevel="0" collapsed="false">
      <c r="A179" s="50" t="n">
        <v>99</v>
      </c>
      <c r="B179" s="51" t="n">
        <f aca="false">1+IF($G$6=$E$6,$F$6,IF(P179&lt;($F$6-$E$6)/($G$6-$E$6),$E$6+SQRT(P179*($G$6-$E$6)*($F$6-$E$6)),$G$6-SQRT((1-P179)*($G$6-$E$6)*($G$6-$F$6))))</f>
        <v>1.00517636299398</v>
      </c>
      <c r="C179" s="51" t="n">
        <f aca="false">1+IF($G$7=$E$7,$F$7,IF(Q179&lt;($F$7-$E$7)/($G$7-$E$7),$E$7+SQRT(Q179*($G$7-$E$7)*($F$7-$E$7)),$G$7-SQRT((1-Q179)*($G$7-$E$7)*($G$7-$F$7))))</f>
        <v>1.00391562184388</v>
      </c>
      <c r="D179" s="51" t="n">
        <f aca="false">1+IF($G$8=$E$8,$F$8,IF(R179&lt;($F$8-$E$8)/($G$8-$E$8),$E$8+SQRT(R179*($G$8-$E$8)*($F$8-$E$8)),$G$8-SQRT((1-R179)*($G$8-$E$8)*($G$8-$F$8))))</f>
        <v>1.02207980736397</v>
      </c>
      <c r="E179" s="51" t="n">
        <f aca="false">1+IF($G$9=$E$9,$F$9,IF(S179&lt;($F$9-$E$9)/($G$9-$E$9),$E$9+SQRT(S179*($G$9-$E$9)*($F$9-$E$9)),$G$9-SQRT((1-S179)*($G$9-$E$9)*($G$9-$F$9))))</f>
        <v>1.0390935752346</v>
      </c>
      <c r="F179" s="51" t="n">
        <f aca="false">1+IF($G$10=$E$10,$F$10,IF(T179&lt;($F$10-$E$10)/($G$10-$E$10),$E$10+SQRT(T179*($G$10-$E$10)*($F$10-$E$10)),$G$10-SQRT((1-T179)*($G$10-$E$10)*($G$10-$F$10))))</f>
        <v>1.09502145888953</v>
      </c>
      <c r="G179" s="52" t="n">
        <f aca="false">IF($G$11=$E$11,$F$11,IF(U179&lt;($F$11-$E$11)/($G$11-$E$11),$E$11+SQRT(U179*($G$11-$E$11)*($F$11-$E$11)),$G$11-SQRT((1-U179)*($G$11-$E$11)*($G$11-$F$11))))</f>
        <v>0.0924883855413171</v>
      </c>
      <c r="H179" s="53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-2190042917.77905</v>
      </c>
      <c r="I179" s="53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-8309878.56200458</v>
      </c>
      <c r="J179" s="53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292953874.38567</v>
      </c>
      <c r="K179" s="53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648968700.27782</v>
      </c>
      <c r="L179" s="53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784264870.741956</v>
      </c>
      <c r="M179" s="53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976076927.890632</v>
      </c>
      <c r="N179" s="53" t="n">
        <f aca="false">IF(COUNT('Business Case'!B11:G11)=0,"",H179+NPV(G179,I179:M179))</f>
        <v>-276751953.521753</v>
      </c>
      <c r="P179" s="54" t="n">
        <f aca="true">RAND()</f>
        <v>0.747357147015199</v>
      </c>
      <c r="Q179" s="54" t="n">
        <f aca="true">RAND()</f>
        <v>0.593511513499784</v>
      </c>
      <c r="R179" s="54" t="n">
        <f aca="true">RAND()</f>
        <v>0.67742800817362</v>
      </c>
      <c r="S179" s="54" t="n">
        <f aca="true">RAND()</f>
        <v>0.752693828153113</v>
      </c>
      <c r="T179" s="54" t="n">
        <f aca="true">RAND()</f>
        <v>0.779590118126327</v>
      </c>
      <c r="U179" s="54" t="n">
        <f aca="true">RAND()</f>
        <v>0.0206402086741204</v>
      </c>
    </row>
    <row r="180" customFormat="false" ht="15" hidden="false" customHeight="false" outlineLevel="0" collapsed="false">
      <c r="A180" s="50" t="n">
        <v>100</v>
      </c>
      <c r="B180" s="51" t="n">
        <f aca="false">1+IF($G$6=$E$6,$F$6,IF(P180&lt;($F$6-$E$6)/($G$6-$E$6),$E$6+SQRT(P180*($G$6-$E$6)*($F$6-$E$6)),$G$6-SQRT((1-P180)*($G$6-$E$6)*($G$6-$F$6))))</f>
        <v>1.01048527458501</v>
      </c>
      <c r="C180" s="51" t="n">
        <f aca="false">1+IF($G$7=$E$7,$F$7,IF(Q180&lt;($F$7-$E$7)/($G$7-$E$7),$E$7+SQRT(Q180*($G$7-$E$7)*($F$7-$E$7)),$G$7-SQRT((1-Q180)*($G$7-$E$7)*($G$7-$F$7))))</f>
        <v>1.05149913830997</v>
      </c>
      <c r="D180" s="51" t="n">
        <f aca="false">1+IF($G$8=$E$8,$F$8,IF(R180&lt;($F$8-$E$8)/($G$8-$E$8),$E$8+SQRT(R180*($G$8-$E$8)*($F$8-$E$8)),$G$8-SQRT((1-R180)*($G$8-$E$8)*($G$8-$F$8))))</f>
        <v>1.03544619105375</v>
      </c>
      <c r="E180" s="51" t="n">
        <f aca="false">1+IF($G$9=$E$9,$F$9,IF(S180&lt;($F$9-$E$9)/($G$9-$E$9),$E$9+SQRT(S180*($G$9-$E$9)*($F$9-$E$9)),$G$9-SQRT((1-S180)*($G$9-$E$9)*($G$9-$F$9))))</f>
        <v>1.0274690771924</v>
      </c>
      <c r="F180" s="51" t="n">
        <f aca="false">1+IF($G$10=$E$10,$F$10,IF(T180&lt;($F$10-$E$10)/($G$10-$E$10),$E$10+SQRT(T180*($G$10-$E$10)*($F$10-$E$10)),$G$10-SQRT((1-T180)*($G$10-$E$10)*($G$10-$F$10))))</f>
        <v>0.993420438942004</v>
      </c>
      <c r="G180" s="52" t="n">
        <f aca="false">IF($G$11=$E$11,$F$11,IF(U180&lt;($F$11-$E$11)/($G$11-$E$11),$E$11+SQRT(U180*($G$11-$E$11)*($F$11-$E$11)),$G$11-SQRT((1-U180)*($G$11-$E$11)*($G$11-$F$11))))</f>
        <v>0.112507260263019</v>
      </c>
      <c r="H180" s="53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-1986840877.88401</v>
      </c>
      <c r="I180" s="53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12391033.8387225</v>
      </c>
      <c r="J180" s="53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325311479.011179</v>
      </c>
      <c r="K180" s="53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687902946.130737</v>
      </c>
      <c r="L180" s="53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828930604.296739</v>
      </c>
      <c r="M180" s="53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1030895241.39358</v>
      </c>
      <c r="N180" s="53" t="n">
        <f aca="false">IF(COUNT('Business Case'!B11:G11)=0,"",H180+NPV(G180,I180:M180))</f>
        <v>-67206347.0821707</v>
      </c>
      <c r="P180" s="54" t="n">
        <f aca="true">RAND()</f>
        <v>0.818516871599495</v>
      </c>
      <c r="Q180" s="54" t="n">
        <f aca="true">RAND()</f>
        <v>0.815192004691854</v>
      </c>
      <c r="R180" s="54" t="n">
        <f aca="true">RAND()</f>
        <v>0.809130587344331</v>
      </c>
      <c r="S180" s="54" t="n">
        <f aca="true">RAND()</f>
        <v>0.649284349111889</v>
      </c>
      <c r="T180" s="54" t="n">
        <f aca="true">RAND()</f>
        <v>0.150826761433306</v>
      </c>
      <c r="U180" s="54" t="n">
        <f aca="true">RAND()</f>
        <v>0.906431418723103</v>
      </c>
    </row>
    <row r="181" customFormat="false" ht="15" hidden="false" customHeight="false" outlineLevel="0" collapsed="false">
      <c r="A181" s="50" t="n">
        <v>101</v>
      </c>
      <c r="B181" s="51" t="n">
        <f aca="false">1+IF($G$6=$E$6,$F$6,IF(P181&lt;($F$6-$E$6)/($G$6-$E$6),$E$6+SQRT(P181*($G$6-$E$6)*($F$6-$E$6)),$G$6-SQRT((1-P181)*($G$6-$E$6)*($G$6-$F$6))))</f>
        <v>1.00166871026396</v>
      </c>
      <c r="C181" s="51" t="n">
        <f aca="false">1+IF($G$7=$E$7,$F$7,IF(Q181&lt;($F$7-$E$7)/($G$7-$E$7),$E$7+SQRT(Q181*($G$7-$E$7)*($F$7-$E$7)),$G$7-SQRT((1-Q181)*($G$7-$E$7)*($G$7-$F$7))))</f>
        <v>1.09593003792673</v>
      </c>
      <c r="D181" s="51" t="n">
        <f aca="false">1+IF($G$8=$E$8,$F$8,IF(R181&lt;($F$8-$E$8)/($G$8-$E$8),$E$8+SQRT(R181*($G$8-$E$8)*($F$8-$E$8)),$G$8-SQRT((1-R181)*($G$8-$E$8)*($G$8-$F$8))))</f>
        <v>0.985320938168207</v>
      </c>
      <c r="E181" s="51" t="n">
        <f aca="false">1+IF($G$9=$E$9,$F$9,IF(S181&lt;($F$9-$E$9)/($G$9-$E$9),$E$9+SQRT(S181*($G$9-$E$9)*($F$9-$E$9)),$G$9-SQRT((1-S181)*($G$9-$E$9)*($G$9-$F$9))))</f>
        <v>1.02136350285425</v>
      </c>
      <c r="F181" s="51" t="n">
        <f aca="false">1+IF($G$10=$E$10,$F$10,IF(T181&lt;($F$10-$E$10)/($G$10-$E$10),$E$10+SQRT(T181*($G$10-$E$10)*($F$10-$E$10)),$G$10-SQRT((1-T181)*($G$10-$E$10)*($G$10-$F$10))))</f>
        <v>1.036090684585</v>
      </c>
      <c r="G181" s="52" t="n">
        <f aca="false">IF($G$11=$E$11,$F$11,IF(U181&lt;($F$11-$E$11)/($G$11-$E$11),$E$11+SQRT(U181*($G$11-$E$11)*($F$11-$E$11)),$G$11-SQRT((1-U181)*($G$11-$E$11)*($G$11-$F$11))))</f>
        <v>0.112581955586933</v>
      </c>
      <c r="H181" s="53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-2072181369.16999</v>
      </c>
      <c r="I181" s="53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40595609.3746104</v>
      </c>
      <c r="J181" s="53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386945994.937914</v>
      </c>
      <c r="K181" s="53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785100914.730466</v>
      </c>
      <c r="L181" s="53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938489588.334447</v>
      </c>
      <c r="M181" s="53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1147151586.29028</v>
      </c>
      <c r="N181" s="53" t="n">
        <f aca="false">IF(COUNT('Business Case'!B11:G11)=0,"",H181+NPV(G181,I181:M181))</f>
        <v>132385364.749074</v>
      </c>
      <c r="P181" s="54" t="n">
        <f aca="true">RAND()</f>
        <v>0.693898380660811</v>
      </c>
      <c r="Q181" s="54" t="n">
        <f aca="true">RAND()</f>
        <v>0.944313127645628</v>
      </c>
      <c r="R181" s="54" t="n">
        <f aca="true">RAND()</f>
        <v>0.19193364201266</v>
      </c>
      <c r="S181" s="54" t="n">
        <f aca="true">RAND()</f>
        <v>0.587753421109792</v>
      </c>
      <c r="T181" s="54" t="n">
        <f aca="true">RAND()</f>
        <v>0.462674726403694</v>
      </c>
      <c r="U181" s="54" t="n">
        <f aca="true">RAND()</f>
        <v>0.908287695142952</v>
      </c>
    </row>
    <row r="182" customFormat="false" ht="15" hidden="false" customHeight="false" outlineLevel="0" collapsed="false">
      <c r="A182" s="50" t="n">
        <v>102</v>
      </c>
      <c r="B182" s="51" t="n">
        <f aca="false">1+IF($G$6=$E$6,$F$6,IF(P182&lt;($F$6-$E$6)/($G$6-$E$6),$E$6+SQRT(P182*($G$6-$E$6)*($F$6-$E$6)),$G$6-SQRT((1-P182)*($G$6-$E$6)*($G$6-$F$6))))</f>
        <v>0.995053959291171</v>
      </c>
      <c r="C182" s="51" t="n">
        <f aca="false">1+IF($G$7=$E$7,$F$7,IF(Q182&lt;($F$7-$E$7)/($G$7-$E$7),$E$7+SQRT(Q182*($G$7-$E$7)*($F$7-$E$7)),$G$7-SQRT((1-Q182)*($G$7-$E$7)*($G$7-$F$7))))</f>
        <v>1.05785660071233</v>
      </c>
      <c r="D182" s="51" t="n">
        <f aca="false">1+IF($G$8=$E$8,$F$8,IF(R182&lt;($F$8-$E$8)/($G$8-$E$8),$E$8+SQRT(R182*($G$8-$E$8)*($F$8-$E$8)),$G$8-SQRT((1-R182)*($G$8-$E$8)*($G$8-$F$8))))</f>
        <v>1.03555508481756</v>
      </c>
      <c r="E182" s="51" t="n">
        <f aca="false">1+IF($G$9=$E$9,$F$9,IF(S182&lt;($F$9-$E$9)/($G$9-$E$9),$E$9+SQRT(S182*($G$9-$E$9)*($F$9-$E$9)),$G$9-SQRT((1-S182)*($G$9-$E$9)*($G$9-$F$9))))</f>
        <v>0.996768642046058</v>
      </c>
      <c r="F182" s="51" t="n">
        <f aca="false">1+IF($G$10=$E$10,$F$10,IF(T182&lt;($F$10-$E$10)/($G$10-$E$10),$E$10+SQRT(T182*($G$10-$E$10)*($F$10-$E$10)),$G$10-SQRT((1-T182)*($G$10-$E$10)*($G$10-$F$10))))</f>
        <v>1.1840037305018</v>
      </c>
      <c r="G182" s="52" t="n">
        <f aca="false">IF($G$11=$E$11,$F$11,IF(U182&lt;($F$11-$E$11)/($G$11-$E$11),$E$11+SQRT(U182*($G$11-$E$11)*($F$11-$E$11)),$G$11-SQRT((1-U182)*($G$11-$E$11)*($G$11-$F$11))))</f>
        <v>0.101649950361248</v>
      </c>
      <c r="H182" s="53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-2368007461.0036</v>
      </c>
      <c r="I182" s="53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-13326129.9491276</v>
      </c>
      <c r="J182" s="53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288056662.889908</v>
      </c>
      <c r="K182" s="53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648639642.254033</v>
      </c>
      <c r="L182" s="53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785479272.426401</v>
      </c>
      <c r="M182" s="53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985562118.169523</v>
      </c>
      <c r="N182" s="53" t="n">
        <f aca="false">IF(COUNT('Business Case'!B11:G11)=0,"",H182+NPV(G182,I182:M182))</f>
        <v>-516933328.005789</v>
      </c>
      <c r="P182" s="54" t="n">
        <f aca="true">RAND()</f>
        <v>0.586780917216737</v>
      </c>
      <c r="Q182" s="54" t="n">
        <f aca="true">RAND()</f>
        <v>0.838277980337408</v>
      </c>
      <c r="R182" s="54" t="n">
        <f aca="true">RAND()</f>
        <v>0.810062453310135</v>
      </c>
      <c r="S182" s="54" t="n">
        <f aca="true">RAND()</f>
        <v>0.291640783844302</v>
      </c>
      <c r="T182" s="54" t="n">
        <f aca="true">RAND()</f>
        <v>0.99488238724282</v>
      </c>
      <c r="U182" s="54" t="n">
        <f aca="true">RAND()</f>
        <v>0.438792797092247</v>
      </c>
    </row>
    <row r="183" customFormat="false" ht="15" hidden="false" customHeight="false" outlineLevel="0" collapsed="false">
      <c r="A183" s="50" t="n">
        <v>103</v>
      </c>
      <c r="B183" s="51" t="n">
        <f aca="false">1+IF($G$6=$E$6,$F$6,IF(P183&lt;($F$6-$E$6)/($G$6-$E$6),$E$6+SQRT(P183*($G$6-$E$6)*($F$6-$E$6)),$G$6-SQRT((1-P183)*($G$6-$E$6)*($G$6-$F$6))))</f>
        <v>1.01902358597235</v>
      </c>
      <c r="C183" s="51" t="n">
        <f aca="false">1+IF($G$7=$E$7,$F$7,IF(Q183&lt;($F$7-$E$7)/($G$7-$E$7),$E$7+SQRT(Q183*($G$7-$E$7)*($F$7-$E$7)),$G$7-SQRT((1-Q183)*($G$7-$E$7)*($G$7-$F$7))))</f>
        <v>0.880409284353686</v>
      </c>
      <c r="D183" s="51" t="n">
        <f aca="false">1+IF($G$8=$E$8,$F$8,IF(R183&lt;($F$8-$E$8)/($G$8-$E$8),$E$8+SQRT(R183*($G$8-$E$8)*($F$8-$E$8)),$G$8-SQRT((1-R183)*($G$8-$E$8)*($G$8-$F$8))))</f>
        <v>0.994001621884443</v>
      </c>
      <c r="E183" s="51" t="n">
        <f aca="false">1+IF($G$9=$E$9,$F$9,IF(S183&lt;($F$9-$E$9)/($G$9-$E$9),$E$9+SQRT(S183*($G$9-$E$9)*($F$9-$E$9)),$G$9-SQRT((1-S183)*($G$9-$E$9)*($G$9-$F$9))))</f>
        <v>1.05670941450485</v>
      </c>
      <c r="F183" s="51" t="n">
        <f aca="false">1+IF($G$10=$E$10,$F$10,IF(T183&lt;($F$10-$E$10)/($G$10-$E$10),$E$10+SQRT(T183*($G$10-$E$10)*($F$10-$E$10)),$G$10-SQRT((1-T183)*($G$10-$E$10)*($G$10-$F$10))))</f>
        <v>1.00065253245253</v>
      </c>
      <c r="G183" s="52" t="n">
        <f aca="false">IF($G$11=$E$11,$F$11,IF(U183&lt;($F$11-$E$11)/($G$11-$E$11),$E$11+SQRT(U183*($G$11-$E$11)*($F$11-$E$11)),$G$11-SQRT((1-U183)*($G$11-$E$11)*($G$11-$F$11))))</f>
        <v>0.106527046374135</v>
      </c>
      <c r="H183" s="53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-2001305064.90506</v>
      </c>
      <c r="I183" s="53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-9996795.88315621</v>
      </c>
      <c r="J183" s="53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276844401.924763</v>
      </c>
      <c r="K183" s="53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613718226.355308</v>
      </c>
      <c r="L183" s="53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740337733.426769</v>
      </c>
      <c r="M183" s="53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910869493.005288</v>
      </c>
      <c r="N183" s="53" t="n">
        <f aca="false">IF(COUNT('Business Case'!B11:G11)=0,"",H183+NPV(G183,I183:M183))</f>
        <v>-288321635.972513</v>
      </c>
      <c r="P183" s="54" t="n">
        <f aca="true">RAND()</f>
        <v>0.9083312613626</v>
      </c>
      <c r="Q183" s="54" t="n">
        <f aca="true">RAND()</f>
        <v>0.0923664715753124</v>
      </c>
      <c r="R183" s="54" t="n">
        <f aca="true">RAND()</f>
        <v>0.297868112071003</v>
      </c>
      <c r="S183" s="54" t="n">
        <f aca="true">RAND()</f>
        <v>0.875061680499137</v>
      </c>
      <c r="T183" s="54" t="n">
        <f aca="true">RAND()</f>
        <v>0.205211743648214</v>
      </c>
      <c r="U183" s="54" t="n">
        <f aca="true">RAND()</f>
        <v>0.697465867658828</v>
      </c>
    </row>
    <row r="184" customFormat="false" ht="15" hidden="false" customHeight="false" outlineLevel="0" collapsed="false">
      <c r="A184" s="50" t="n">
        <v>104</v>
      </c>
      <c r="B184" s="51" t="n">
        <f aca="false">1+IF($G$6=$E$6,$F$6,IF(P184&lt;($F$6-$E$6)/($G$6-$E$6),$E$6+SQRT(P184*($G$6-$E$6)*($F$6-$E$6)),$G$6-SQRT((1-P184)*($G$6-$E$6)*($G$6-$F$6))))</f>
        <v>0.986369793473317</v>
      </c>
      <c r="C184" s="51" t="n">
        <f aca="false">1+IF($G$7=$E$7,$F$7,IF(Q184&lt;($F$7-$E$7)/($G$7-$E$7),$E$7+SQRT(Q184*($G$7-$E$7)*($F$7-$E$7)),$G$7-SQRT((1-Q184)*($G$7-$E$7)*($G$7-$F$7))))</f>
        <v>0.989570235651104</v>
      </c>
      <c r="D184" s="51" t="n">
        <f aca="false">1+IF($G$8=$E$8,$F$8,IF(R184&lt;($F$8-$E$8)/($G$8-$E$8),$E$8+SQRT(R184*($G$8-$E$8)*($F$8-$E$8)),$G$8-SQRT((1-R184)*($G$8-$E$8)*($G$8-$F$8))))</f>
        <v>0.954572341767109</v>
      </c>
      <c r="E184" s="51" t="n">
        <f aca="false">1+IF($G$9=$E$9,$F$9,IF(S184&lt;($F$9-$E$9)/($G$9-$E$9),$E$9+SQRT(S184*($G$9-$E$9)*($F$9-$E$9)),$G$9-SQRT((1-S184)*($G$9-$E$9)*($G$9-$F$9))))</f>
        <v>1.08121574969525</v>
      </c>
      <c r="F184" s="51" t="n">
        <f aca="false">1+IF($G$10=$E$10,$F$10,IF(T184&lt;($F$10-$E$10)/($G$10-$E$10),$E$10+SQRT(T184*($G$10-$E$10)*($F$10-$E$10)),$G$10-SQRT((1-T184)*($G$10-$E$10)*($G$10-$F$10))))</f>
        <v>0.995775143465957</v>
      </c>
      <c r="G184" s="52" t="n">
        <f aca="false">IF($G$11=$E$11,$F$11,IF(U184&lt;($F$11-$E$11)/($G$11-$E$11),$E$11+SQRT(U184*($G$11-$E$11)*($F$11-$E$11)),$G$11-SQRT((1-U184)*($G$11-$E$11)*($G$11-$F$11))))</f>
        <v>0.103040736690526</v>
      </c>
      <c r="H184" s="53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-1991550286.93191</v>
      </c>
      <c r="I184" s="53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11987080.2415624</v>
      </c>
      <c r="J184" s="53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327900655.11241</v>
      </c>
      <c r="K184" s="53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693602987.156556</v>
      </c>
      <c r="L184" s="53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832640912.564188</v>
      </c>
      <c r="M184" s="53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1018174615.04294</v>
      </c>
      <c r="N184" s="53" t="n">
        <f aca="false">IF(COUNT('Business Case'!B11:G11)=0,"",H184+NPV(G184,I184:M184))</f>
        <v>-8366175.4851017</v>
      </c>
      <c r="P184" s="54" t="n">
        <f aca="true">RAND()</f>
        <v>0.458848904759459</v>
      </c>
      <c r="Q184" s="54" t="n">
        <f aca="true">RAND()</f>
        <v>0.51338391778307</v>
      </c>
      <c r="R184" s="54" t="n">
        <f aca="true">RAND()</f>
        <v>0.00321635526696069</v>
      </c>
      <c r="S184" s="54" t="n">
        <f aca="true">RAND()</f>
        <v>0.976476796032578</v>
      </c>
      <c r="T184" s="54" t="n">
        <f aca="true">RAND()</f>
        <v>0.167629100746319</v>
      </c>
      <c r="U184" s="54" t="n">
        <f aca="true">RAND()</f>
        <v>0.520638979999894</v>
      </c>
    </row>
    <row r="185" customFormat="false" ht="15" hidden="false" customHeight="false" outlineLevel="0" collapsed="false">
      <c r="A185" s="50" t="n">
        <v>105</v>
      </c>
      <c r="B185" s="51" t="n">
        <f aca="false">1+IF($G$6=$E$6,$F$6,IF(P185&lt;($F$6-$E$6)/($G$6-$E$6),$E$6+SQRT(P185*($G$6-$E$6)*($F$6-$E$6)),$G$6-SQRT((1-P185)*($G$6-$E$6)*($G$6-$F$6))))</f>
        <v>0.983080570588289</v>
      </c>
      <c r="C185" s="51" t="n">
        <f aca="false">1+IF($G$7=$E$7,$F$7,IF(Q185&lt;($F$7-$E$7)/($G$7-$E$7),$E$7+SQRT(Q185*($G$7-$E$7)*($F$7-$E$7)),$G$7-SQRT((1-Q185)*($G$7-$E$7)*($G$7-$F$7))))</f>
        <v>0.876283121452564</v>
      </c>
      <c r="D185" s="51" t="n">
        <f aca="false">1+IF($G$8=$E$8,$F$8,IF(R185&lt;($F$8-$E$8)/($G$8-$E$8),$E$8+SQRT(R185*($G$8-$E$8)*($F$8-$E$8)),$G$8-SQRT((1-R185)*($G$8-$E$8)*($G$8-$F$8))))</f>
        <v>1.00438571652658</v>
      </c>
      <c r="E185" s="51" t="n">
        <f aca="false">1+IF($G$9=$E$9,$F$9,IF(S185&lt;($F$9-$E$9)/($G$9-$E$9),$E$9+SQRT(S185*($G$9-$E$9)*($F$9-$E$9)),$G$9-SQRT((1-S185)*($G$9-$E$9)*($G$9-$F$9))))</f>
        <v>0.979744097616014</v>
      </c>
      <c r="F185" s="51" t="n">
        <f aca="false">1+IF($G$10=$E$10,$F$10,IF(T185&lt;($F$10-$E$10)/($G$10-$E$10),$E$10+SQRT(T185*($G$10-$E$10)*($F$10-$E$10)),$G$10-SQRT((1-T185)*($G$10-$E$10)*($G$10-$F$10))))</f>
        <v>1.16044501979104</v>
      </c>
      <c r="G185" s="52" t="n">
        <f aca="false">IF($G$11=$E$11,$F$11,IF(U185&lt;($F$11-$E$11)/($G$11-$E$11),$E$11+SQRT(U185*($G$11-$E$11)*($F$11-$E$11)),$G$11-SQRT((1-U185)*($G$11-$E$11)*($G$11-$F$11))))</f>
        <v>0.109916115032837</v>
      </c>
      <c r="H185" s="53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-2320890039.58207</v>
      </c>
      <c r="I185" s="53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-44981034.2132188</v>
      </c>
      <c r="J185" s="53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210059970.501691</v>
      </c>
      <c r="K185" s="53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523123226.206152</v>
      </c>
      <c r="L185" s="53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637908845.289806</v>
      </c>
      <c r="M185" s="53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801654574.939239</v>
      </c>
      <c r="N185" s="53" t="n">
        <f aca="false">IF(COUNT('Business Case'!B11:G11)=0,"",H185+NPV(G185,I185:M185))</f>
        <v>-912051332.69059</v>
      </c>
      <c r="P185" s="54" t="n">
        <f aca="true">RAND()</f>
        <v>0.414495665181679</v>
      </c>
      <c r="Q185" s="54" t="n">
        <f aca="true">RAND()</f>
        <v>0.0831302088363792</v>
      </c>
      <c r="R185" s="54" t="n">
        <f aca="true">RAND()</f>
        <v>0.450238474500136</v>
      </c>
      <c r="S185" s="54" t="n">
        <f aca="true">RAND()</f>
        <v>0.117961512398799</v>
      </c>
      <c r="T185" s="54" t="n">
        <f aca="true">RAND()</f>
        <v>0.968708070813371</v>
      </c>
      <c r="U185" s="54" t="n">
        <f aca="true">RAND()</f>
        <v>0.83052543994838</v>
      </c>
    </row>
    <row r="186" customFormat="false" ht="15" hidden="false" customHeight="false" outlineLevel="0" collapsed="false">
      <c r="A186" s="50" t="n">
        <v>106</v>
      </c>
      <c r="B186" s="51" t="n">
        <f aca="false">1+IF($G$6=$E$6,$F$6,IF(P186&lt;($F$6-$E$6)/($G$6-$E$6),$E$6+SQRT(P186*($G$6-$E$6)*($F$6-$E$6)),$G$6-SQRT((1-P186)*($G$6-$E$6)*($G$6-$F$6))))</f>
        <v>0.987953605735873</v>
      </c>
      <c r="C186" s="51" t="n">
        <f aca="false">1+IF($G$7=$E$7,$F$7,IF(Q186&lt;($F$7-$E$7)/($G$7-$E$7),$E$7+SQRT(Q186*($G$7-$E$7)*($F$7-$E$7)),$G$7-SQRT((1-Q186)*($G$7-$E$7)*($G$7-$F$7))))</f>
        <v>1.06368243201778</v>
      </c>
      <c r="D186" s="51" t="n">
        <f aca="false">1+IF($G$8=$E$8,$F$8,IF(R186&lt;($F$8-$E$8)/($G$8-$E$8),$E$8+SQRT(R186*($G$8-$E$8)*($F$8-$E$8)),$G$8-SQRT((1-R186)*($G$8-$E$8)*($G$8-$F$8))))</f>
        <v>1.0052075208383</v>
      </c>
      <c r="E186" s="51" t="n">
        <f aca="false">1+IF($G$9=$E$9,$F$9,IF(S186&lt;($F$9-$E$9)/($G$9-$E$9),$E$9+SQRT(S186*($G$9-$E$9)*($F$9-$E$9)),$G$9-SQRT((1-S186)*($G$9-$E$9)*($G$9-$F$9))))</f>
        <v>0.986983770004991</v>
      </c>
      <c r="F186" s="51" t="n">
        <f aca="false">1+IF($G$10=$E$10,$F$10,IF(T186&lt;($F$10-$E$10)/($G$10-$E$10),$E$10+SQRT(T186*($G$10-$E$10)*($F$10-$E$10)),$G$10-SQRT((1-T186)*($G$10-$E$10)*($G$10-$F$10))))</f>
        <v>1.04425020732396</v>
      </c>
      <c r="G186" s="52" t="n">
        <f aca="false">IF($G$11=$E$11,$F$11,IF(U186&lt;($F$11-$E$11)/($G$11-$E$11),$E$11+SQRT(U186*($G$11-$E$11)*($F$11-$E$11)),$G$11-SQRT((1-U186)*($G$11-$E$11)*($G$11-$F$11))))</f>
        <v>0.11024175064457</v>
      </c>
      <c r="H186" s="53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-2088500414.64792</v>
      </c>
      <c r="I186" s="53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14130219.0450469</v>
      </c>
      <c r="J186" s="53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327511594.385781</v>
      </c>
      <c r="K186" s="53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693105480.092714</v>
      </c>
      <c r="L186" s="53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833883967.518679</v>
      </c>
      <c r="M186" s="53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1033633126.90348</v>
      </c>
      <c r="N186" s="53" t="n">
        <f aca="false">IF(COUNT('Business Case'!B11:G11)=0,"",H186+NPV(G186,I186:M186))</f>
        <v>-142041158.604664</v>
      </c>
      <c r="P186" s="54" t="n">
        <f aca="true">RAND()</f>
        <v>0.481009638802755</v>
      </c>
      <c r="Q186" s="54" t="n">
        <f aca="true">RAND()</f>
        <v>0.858081475383511</v>
      </c>
      <c r="R186" s="54" t="n">
        <f aca="true">RAND()</f>
        <v>0.46212356354291</v>
      </c>
      <c r="S186" s="54" t="n">
        <f aca="true">RAND()</f>
        <v>0.182373232504276</v>
      </c>
      <c r="T186" s="54" t="n">
        <f aca="true">RAND()</f>
        <v>0.514840041627399</v>
      </c>
      <c r="U186" s="54" t="n">
        <f aca="true">RAND()</f>
        <v>0.841294282528739</v>
      </c>
    </row>
    <row r="187" customFormat="false" ht="15" hidden="false" customHeight="false" outlineLevel="0" collapsed="false">
      <c r="A187" s="50" t="n">
        <v>107</v>
      </c>
      <c r="B187" s="51" t="n">
        <f aca="false">1+IF($G$6=$E$6,$F$6,IF(P187&lt;($F$6-$E$6)/($G$6-$E$6),$E$6+SQRT(P187*($G$6-$E$6)*($F$6-$E$6)),$G$6-SQRT((1-P187)*($G$6-$E$6)*($G$6-$F$6))))</f>
        <v>0.998411693636822</v>
      </c>
      <c r="C187" s="51" t="n">
        <f aca="false">1+IF($G$7=$E$7,$F$7,IF(Q187&lt;($F$7-$E$7)/($G$7-$E$7),$E$7+SQRT(Q187*($G$7-$E$7)*($F$7-$E$7)),$G$7-SQRT((1-Q187)*($G$7-$E$7)*($G$7-$F$7))))</f>
        <v>0.990265086819743</v>
      </c>
      <c r="D187" s="51" t="n">
        <f aca="false">1+IF($G$8=$E$8,$F$8,IF(R187&lt;($F$8-$E$8)/($G$8-$E$8),$E$8+SQRT(R187*($G$8-$E$8)*($F$8-$E$8)),$G$8-SQRT((1-R187)*($G$8-$E$8)*($G$8-$F$8))))</f>
        <v>0.988284165335089</v>
      </c>
      <c r="E187" s="51" t="n">
        <f aca="false">1+IF($G$9=$E$9,$F$9,IF(S187&lt;($F$9-$E$9)/($G$9-$E$9),$E$9+SQRT(S187*($G$9-$E$9)*($F$9-$E$9)),$G$9-SQRT((1-S187)*($G$9-$E$9)*($G$9-$F$9))))</f>
        <v>1.00930100978924</v>
      </c>
      <c r="F187" s="51" t="n">
        <f aca="false">1+IF($G$10=$E$10,$F$10,IF(T187&lt;($F$10-$E$10)/($G$10-$E$10),$E$10+SQRT(T187*($G$10-$E$10)*($F$10-$E$10)),$G$10-SQRT((1-T187)*($G$10-$E$10)*($G$10-$F$10))))</f>
        <v>1.08076313469792</v>
      </c>
      <c r="G187" s="52" t="n">
        <f aca="false">IF($G$11=$E$11,$F$11,IF(U187&lt;($F$11-$E$11)/($G$11-$E$11),$E$11+SQRT(U187*($G$11-$E$11)*($F$11-$E$11)),$G$11-SQRT((1-U187)*($G$11-$E$11)*($G$11-$F$11))))</f>
        <v>0.112246031188261</v>
      </c>
      <c r="H187" s="53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-2161526269.39583</v>
      </c>
      <c r="I187" s="53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5960090.53430972</v>
      </c>
      <c r="J187" s="53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314772903.980661</v>
      </c>
      <c r="K187" s="53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677623874.161909</v>
      </c>
      <c r="L187" s="53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814730682.544173</v>
      </c>
      <c r="M187" s="53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1002661303.99498</v>
      </c>
      <c r="N187" s="53" t="n">
        <f aca="false">IF(COUNT('Business Case'!B11:G11)=0,"",H187+NPV(G187,I187:M187))</f>
        <v>-287831152.755758</v>
      </c>
      <c r="P187" s="54" t="n">
        <f aca="true">RAND()</f>
        <v>0.640457676978622</v>
      </c>
      <c r="Q187" s="54" t="n">
        <f aca="true">RAND()</f>
        <v>0.517154332321776</v>
      </c>
      <c r="R187" s="54" t="n">
        <f aca="true">RAND()</f>
        <v>0.225488817754531</v>
      </c>
      <c r="S187" s="54" t="n">
        <f aca="true">RAND()</f>
        <v>0.451579544983176</v>
      </c>
      <c r="T187" s="54" t="n">
        <f aca="true">RAND()</f>
        <v>0.715651399058657</v>
      </c>
      <c r="U187" s="54" t="n">
        <f aca="true">RAND()</f>
        <v>0.899793279444303</v>
      </c>
    </row>
    <row r="188" customFormat="false" ht="15" hidden="false" customHeight="false" outlineLevel="0" collapsed="false">
      <c r="A188" s="50" t="n">
        <v>108</v>
      </c>
      <c r="B188" s="51" t="n">
        <f aca="false">1+IF($G$6=$E$6,$F$6,IF(P188&lt;($F$6-$E$6)/($G$6-$E$6),$E$6+SQRT(P188*($G$6-$E$6)*($F$6-$E$6)),$G$6-SQRT((1-P188)*($G$6-$E$6)*($G$6-$F$6))))</f>
        <v>0.947195767572178</v>
      </c>
      <c r="C188" s="51" t="n">
        <f aca="false">1+IF($G$7=$E$7,$F$7,IF(Q188&lt;($F$7-$E$7)/($G$7-$E$7),$E$7+SQRT(Q188*($G$7-$E$7)*($F$7-$E$7)),$G$7-SQRT((1-Q188)*($G$7-$E$7)*($G$7-$F$7))))</f>
        <v>0.98185891848746</v>
      </c>
      <c r="D188" s="51" t="n">
        <f aca="false">1+IF($G$8=$E$8,$F$8,IF(R188&lt;($F$8-$E$8)/($G$8-$E$8),$E$8+SQRT(R188*($G$8-$E$8)*($F$8-$E$8)),$G$8-SQRT((1-R188)*($G$8-$E$8)*($G$8-$F$8))))</f>
        <v>1.05645782129583</v>
      </c>
      <c r="E188" s="51" t="n">
        <f aca="false">1+IF($G$9=$E$9,$F$9,IF(S188&lt;($F$9-$E$9)/($G$9-$E$9),$E$9+SQRT(S188*($G$9-$E$9)*($F$9-$E$9)),$G$9-SQRT((1-S188)*($G$9-$E$9)*($G$9-$F$9))))</f>
        <v>1.00238853253681</v>
      </c>
      <c r="F188" s="51" t="n">
        <f aca="false">1+IF($G$10=$E$10,$F$10,IF(T188&lt;($F$10-$E$10)/($G$10-$E$10),$E$10+SQRT(T188*($G$10-$E$10)*($F$10-$E$10)),$G$10-SQRT((1-T188)*($G$10-$E$10)*($G$10-$F$10))))</f>
        <v>1.13062426831041</v>
      </c>
      <c r="G188" s="52" t="n">
        <f aca="false">IF($G$11=$E$11,$F$11,IF(U188&lt;($F$11-$E$11)/($G$11-$E$11),$E$11+SQRT(U188*($G$11-$E$11)*($F$11-$E$11)),$G$11-SQRT((1-U188)*($G$11-$E$11)*($G$11-$F$11))))</f>
        <v>0.113022336983089</v>
      </c>
      <c r="H188" s="53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-2261248536.62083</v>
      </c>
      <c r="I188" s="53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-73077433.7965191</v>
      </c>
      <c r="J188" s="53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157659062.367931</v>
      </c>
      <c r="K188" s="53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444926771.947902</v>
      </c>
      <c r="L188" s="53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553980173.204847</v>
      </c>
      <c r="M188" s="53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730756970.483223</v>
      </c>
      <c r="N188" s="53" t="n">
        <f aca="false">IF(COUNT('Business Case'!B11:G11)=0,"",H188+NPV(G188,I188:M188))</f>
        <v>-1088167138.83568</v>
      </c>
      <c r="P188" s="54" t="n">
        <f aca="true">RAND()</f>
        <v>0.0770426847749933</v>
      </c>
      <c r="Q188" s="54" t="n">
        <f aca="true">RAND()</f>
        <v>0.472466660477554</v>
      </c>
      <c r="R188" s="54" t="n">
        <f aca="true">RAND()</f>
        <v>0.946708252102027</v>
      </c>
      <c r="S188" s="54" t="n">
        <f aca="true">RAND()</f>
        <v>0.364800094645506</v>
      </c>
      <c r="T188" s="54" t="n">
        <f aca="true">RAND()</f>
        <v>0.90374015705069</v>
      </c>
      <c r="U188" s="54" t="n">
        <f aca="true">RAND()</f>
        <v>0.918853698037385</v>
      </c>
    </row>
    <row r="189" customFormat="false" ht="15" hidden="false" customHeight="false" outlineLevel="0" collapsed="false">
      <c r="A189" s="50" t="n">
        <v>109</v>
      </c>
      <c r="B189" s="51" t="n">
        <f aca="false">1+IF($G$6=$E$6,$F$6,IF(P189&lt;($F$6-$E$6)/($G$6-$E$6),$E$6+SQRT(P189*($G$6-$E$6)*($F$6-$E$6)),$G$6-SQRT((1-P189)*($G$6-$E$6)*($G$6-$F$6))))</f>
        <v>0.97181711072002</v>
      </c>
      <c r="C189" s="51" t="n">
        <f aca="false">1+IF($G$7=$E$7,$F$7,IF(Q189&lt;($F$7-$E$7)/($G$7-$E$7),$E$7+SQRT(Q189*($G$7-$E$7)*($F$7-$E$7)),$G$7-SQRT((1-Q189)*($G$7-$E$7)*($G$7-$F$7))))</f>
        <v>1.01543315663058</v>
      </c>
      <c r="D189" s="51" t="n">
        <f aca="false">1+IF($G$8=$E$8,$F$8,IF(R189&lt;($F$8-$E$8)/($G$8-$E$8),$E$8+SQRT(R189*($G$8-$E$8)*($F$8-$E$8)),$G$8-SQRT((1-R189)*($G$8-$E$8)*($G$8-$F$8))))</f>
        <v>1.02292383682825</v>
      </c>
      <c r="E189" s="51" t="n">
        <f aca="false">1+IF($G$9=$E$9,$F$9,IF(S189&lt;($F$9-$E$9)/($G$9-$E$9),$E$9+SQRT(S189*($G$9-$E$9)*($F$9-$E$9)),$G$9-SQRT((1-S189)*($G$9-$E$9)*($G$9-$F$9))))</f>
        <v>0.976330965436725</v>
      </c>
      <c r="F189" s="51" t="n">
        <f aca="false">1+IF($G$10=$E$10,$F$10,IF(T189&lt;($F$10-$E$10)/($G$10-$E$10),$E$10+SQRT(T189*($G$10-$E$10)*($F$10-$E$10)),$G$10-SQRT((1-T189)*($G$10-$E$10)*($G$10-$F$10))))</f>
        <v>1.00274273087422</v>
      </c>
      <c r="G189" s="52" t="n">
        <f aca="false">IF($G$11=$E$11,$F$11,IF(U189&lt;($F$11-$E$11)/($G$11-$E$11),$E$11+SQRT(U189*($G$11-$E$11)*($F$11-$E$11)),$G$11-SQRT((1-U189)*($G$11-$E$11)*($G$11-$F$11))))</f>
        <v>0.100030977268741</v>
      </c>
      <c r="H189" s="53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-2005485461.74843</v>
      </c>
      <c r="I189" s="53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-13729070.3523008</v>
      </c>
      <c r="J189" s="53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262806901.670411</v>
      </c>
      <c r="K189" s="53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589480010.236834</v>
      </c>
      <c r="L189" s="53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715763004.912731</v>
      </c>
      <c r="M189" s="53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903336860.255191</v>
      </c>
      <c r="N189" s="53" t="n">
        <f aca="false">IF(COUNT('Business Case'!B11:G11)=0,"",H189+NPV(G189,I189:M189))</f>
        <v>-308292042.241262</v>
      </c>
      <c r="P189" s="54" t="n">
        <f aca="true">RAND()</f>
        <v>0.279688850351127</v>
      </c>
      <c r="Q189" s="54" t="n">
        <f aca="true">RAND()</f>
        <v>0.655081231725529</v>
      </c>
      <c r="R189" s="54" t="n">
        <f aca="true">RAND()</f>
        <v>0.686760730537682</v>
      </c>
      <c r="S189" s="54" t="n">
        <f aca="true">RAND()</f>
        <v>0.0924426321106704</v>
      </c>
      <c r="T189" s="54" t="n">
        <f aca="true">RAND()</f>
        <v>0.221791395540762</v>
      </c>
      <c r="U189" s="54" t="n">
        <f aca="true">RAND()</f>
        <v>0.335396885264087</v>
      </c>
    </row>
    <row r="190" customFormat="false" ht="15" hidden="false" customHeight="false" outlineLevel="0" collapsed="false">
      <c r="A190" s="50" t="n">
        <v>110</v>
      </c>
      <c r="B190" s="51" t="n">
        <f aca="false">1+IF($G$6=$E$6,$F$6,IF(P190&lt;($F$6-$E$6)/($G$6-$E$6),$E$6+SQRT(P190*($G$6-$E$6)*($F$6-$E$6)),$G$6-SQRT((1-P190)*($G$6-$E$6)*($G$6-$F$6))))</f>
        <v>0.973476838990569</v>
      </c>
      <c r="C190" s="51" t="n">
        <f aca="false">1+IF($G$7=$E$7,$F$7,IF(Q190&lt;($F$7-$E$7)/($G$7-$E$7),$E$7+SQRT(Q190*($G$7-$E$7)*($F$7-$E$7)),$G$7-SQRT((1-Q190)*($G$7-$E$7)*($G$7-$F$7))))</f>
        <v>0.964331243291797</v>
      </c>
      <c r="D190" s="51" t="n">
        <f aca="false">1+IF($G$8=$E$8,$F$8,IF(R190&lt;($F$8-$E$8)/($G$8-$E$8),$E$8+SQRT(R190*($G$8-$E$8)*($F$8-$E$8)),$G$8-SQRT((1-R190)*($G$8-$E$8)*($G$8-$F$8))))</f>
        <v>1.03551237636741</v>
      </c>
      <c r="E190" s="51" t="n">
        <f aca="false">1+IF($G$9=$E$9,$F$9,IF(S190&lt;($F$9-$E$9)/($G$9-$E$9),$E$9+SQRT(S190*($G$9-$E$9)*($F$9-$E$9)),$G$9-SQRT((1-S190)*($G$9-$E$9)*($G$9-$F$9))))</f>
        <v>1.02450305408246</v>
      </c>
      <c r="F190" s="51" t="n">
        <f aca="false">1+IF($G$10=$E$10,$F$10,IF(T190&lt;($F$10-$E$10)/($G$10-$E$10),$E$10+SQRT(T190*($G$10-$E$10)*($F$10-$E$10)),$G$10-SQRT((1-T190)*($G$10-$E$10)*($G$10-$F$10))))</f>
        <v>1.16922396523487</v>
      </c>
      <c r="G190" s="52" t="n">
        <f aca="false">IF($G$11=$E$11,$F$11,IF(U190&lt;($F$11-$E$11)/($G$11-$E$11),$E$11+SQRT(U190*($G$11-$E$11)*($F$11-$E$11)),$G$11-SQRT((1-U190)*($G$11-$E$11)*($G$11-$F$11))))</f>
        <v>0.10880372379778</v>
      </c>
      <c r="H190" s="53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-2338447930.46974</v>
      </c>
      <c r="I190" s="53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-53556027.5596596</v>
      </c>
      <c r="J190" s="53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204159689.817716</v>
      </c>
      <c r="K190" s="53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520336605.456834</v>
      </c>
      <c r="L190" s="53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638685187.331308</v>
      </c>
      <c r="M190" s="53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817123572.449058</v>
      </c>
      <c r="N190" s="53" t="n">
        <f aca="false">IF(COUNT('Business Case'!B11:G11)=0,"",H190+NPV(G190,I190:M190))</f>
        <v>-928907010.620424</v>
      </c>
      <c r="P190" s="54" t="n">
        <f aca="true">RAND()</f>
        <v>0.297892948794087</v>
      </c>
      <c r="Q190" s="54" t="n">
        <f aca="true">RAND()</f>
        <v>0.385782250311824</v>
      </c>
      <c r="R190" s="54" t="n">
        <f aca="true">RAND()</f>
        <v>0.80969724456973</v>
      </c>
      <c r="S190" s="54" t="n">
        <f aca="true">RAND()</f>
        <v>0.620014077141566</v>
      </c>
      <c r="T190" s="54" t="n">
        <f aca="true">RAND()</f>
        <v>0.981056713682708</v>
      </c>
      <c r="U190" s="54" t="n">
        <f aca="true">RAND()</f>
        <v>0.791072332005987</v>
      </c>
    </row>
    <row r="191" customFormat="false" ht="15" hidden="false" customHeight="false" outlineLevel="0" collapsed="false">
      <c r="A191" s="50" t="n">
        <v>111</v>
      </c>
      <c r="B191" s="51" t="n">
        <f aca="false">1+IF($G$6=$E$6,$F$6,IF(P191&lt;($F$6-$E$6)/($G$6-$E$6),$E$6+SQRT(P191*($G$6-$E$6)*($F$6-$E$6)),$G$6-SQRT((1-P191)*($G$6-$E$6)*($G$6-$F$6))))</f>
        <v>0.975303582605903</v>
      </c>
      <c r="C191" s="51" t="n">
        <f aca="false">1+IF($G$7=$E$7,$F$7,IF(Q191&lt;($F$7-$E$7)/($G$7-$E$7),$E$7+SQRT(Q191*($G$7-$E$7)*($F$7-$E$7)),$G$7-SQRT((1-Q191)*($G$7-$E$7)*($G$7-$F$7))))</f>
        <v>0.916100863326642</v>
      </c>
      <c r="D191" s="51" t="n">
        <f aca="false">1+IF($G$8=$E$8,$F$8,IF(R191&lt;($F$8-$E$8)/($G$8-$E$8),$E$8+SQRT(R191*($G$8-$E$8)*($F$8-$E$8)),$G$8-SQRT((1-R191)*($G$8-$E$8)*($G$8-$F$8))))</f>
        <v>1.04710132109165</v>
      </c>
      <c r="E191" s="51" t="n">
        <f aca="false">1+IF($G$9=$E$9,$F$9,IF(S191&lt;($F$9-$E$9)/($G$9-$E$9),$E$9+SQRT(S191*($G$9-$E$9)*($F$9-$E$9)),$G$9-SQRT((1-S191)*($G$9-$E$9)*($G$9-$F$9))))</f>
        <v>0.971956948202589</v>
      </c>
      <c r="F191" s="51" t="n">
        <f aca="false">1+IF($G$10=$E$10,$F$10,IF(T191&lt;($F$10-$E$10)/($G$10-$E$10),$E$10+SQRT(T191*($G$10-$E$10)*($F$10-$E$10)),$G$10-SQRT((1-T191)*($G$10-$E$10)*($G$10-$F$10))))</f>
        <v>1.03220988388362</v>
      </c>
      <c r="G191" s="52" t="n">
        <f aca="false">IF($G$11=$E$11,$F$11,IF(U191&lt;($F$11-$E$11)/($G$11-$E$11),$E$11+SQRT(U191*($G$11-$E$11)*($F$11-$E$11)),$G$11-SQRT((1-U191)*($G$11-$E$11)*($G$11-$F$11))))</f>
        <v>0.109618731575935</v>
      </c>
      <c r="H191" s="53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-2064419767.76724</v>
      </c>
      <c r="I191" s="53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-46989016.8220183</v>
      </c>
      <c r="J191" s="53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193773052.155692</v>
      </c>
      <c r="K191" s="53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486145615.327584</v>
      </c>
      <c r="L191" s="53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597278184.571459</v>
      </c>
      <c r="M191" s="53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767110188.953641</v>
      </c>
      <c r="N191" s="53" t="n">
        <f aca="false">IF(COUNT('Business Case'!B11:G11)=0,"",H191+NPV(G191,I191:M191))</f>
        <v>-743544194.453489</v>
      </c>
      <c r="P191" s="54" t="n">
        <f aca="true">RAND()</f>
        <v>0.318592317609163</v>
      </c>
      <c r="Q191" s="54" t="n">
        <f aca="true">RAND()</f>
        <v>0.192563006645596</v>
      </c>
      <c r="R191" s="54" t="n">
        <f aca="true">RAND()</f>
        <v>0.895930473662031</v>
      </c>
      <c r="S191" s="54" t="n">
        <f aca="true">RAND()</f>
        <v>0.0642810099161536</v>
      </c>
      <c r="T191" s="54" t="n">
        <f aca="true">RAND()</f>
        <v>0.436929538673038</v>
      </c>
      <c r="U191" s="54" t="n">
        <f aca="true">RAND()</f>
        <v>0.820382109845852</v>
      </c>
    </row>
    <row r="192" customFormat="false" ht="15" hidden="false" customHeight="false" outlineLevel="0" collapsed="false">
      <c r="A192" s="50" t="n">
        <v>112</v>
      </c>
      <c r="B192" s="51" t="n">
        <f aca="false">1+IF($G$6=$E$6,$F$6,IF(P192&lt;($F$6-$E$6)/($G$6-$E$6),$E$6+SQRT(P192*($G$6-$E$6)*($F$6-$E$6)),$G$6-SQRT((1-P192)*($G$6-$E$6)*($G$6-$F$6))))</f>
        <v>1.00642531701788</v>
      </c>
      <c r="C192" s="51" t="n">
        <f aca="false">1+IF($G$7=$E$7,$F$7,IF(Q192&lt;($F$7-$E$7)/($G$7-$E$7),$E$7+SQRT(Q192*($G$7-$E$7)*($F$7-$E$7)),$G$7-SQRT((1-Q192)*($G$7-$E$7)*($G$7-$F$7))))</f>
        <v>0.864753062223681</v>
      </c>
      <c r="D192" s="51" t="n">
        <f aca="false">1+IF($G$8=$E$8,$F$8,IF(R192&lt;($F$8-$E$8)/($G$8-$E$8),$E$8+SQRT(R192*($G$8-$E$8)*($F$8-$E$8)),$G$8-SQRT((1-R192)*($G$8-$E$8)*($G$8-$F$8))))</f>
        <v>1.01273739210739</v>
      </c>
      <c r="E192" s="51" t="n">
        <f aca="false">1+IF($G$9=$E$9,$F$9,IF(S192&lt;($F$9-$E$9)/($G$9-$E$9),$E$9+SQRT(S192*($G$9-$E$9)*($F$9-$E$9)),$G$9-SQRT((1-S192)*($G$9-$E$9)*($G$9-$F$9))))</f>
        <v>1.02907496359991</v>
      </c>
      <c r="F192" s="51" t="n">
        <f aca="false">1+IF($G$10=$E$10,$F$10,IF(T192&lt;($F$10-$E$10)/($G$10-$E$10),$E$10+SQRT(T192*($G$10-$E$10)*($F$10-$E$10)),$G$10-SQRT((1-T192)*($G$10-$E$10)*($G$10-$F$10))))</f>
        <v>0.966981667414463</v>
      </c>
      <c r="G192" s="52" t="n">
        <f aca="false">IF($G$11=$E$11,$F$11,IF(U192&lt;($F$11-$E$11)/($G$11-$E$11),$E$11+SQRT(U192*($G$11-$E$11)*($F$11-$E$11)),$G$11-SQRT((1-U192)*($G$11-$E$11)*($G$11-$F$11))))</f>
        <v>0.105982205484133</v>
      </c>
      <c r="H192" s="53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-1933963334.82893</v>
      </c>
      <c r="I192" s="53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-23626456.5643736</v>
      </c>
      <c r="J192" s="53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240896551.425753</v>
      </c>
      <c r="K192" s="53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553768642.786604</v>
      </c>
      <c r="L192" s="53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672020870.776077</v>
      </c>
      <c r="M192" s="53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837449276.736283</v>
      </c>
      <c r="N192" s="53" t="n">
        <f aca="false">IF(COUNT('Business Case'!B11:G11)=0,"",H192+NPV(G192,I192:M192))</f>
        <v>-393818644.045716</v>
      </c>
      <c r="P192" s="54" t="n">
        <f aca="true">RAND()</f>
        <v>0.765154304718724</v>
      </c>
      <c r="Q192" s="54" t="n">
        <f aca="true">RAND()</f>
        <v>0.0598994152477709</v>
      </c>
      <c r="R192" s="54" t="n">
        <f aca="true">RAND()</f>
        <v>0.564975151873499</v>
      </c>
      <c r="S192" s="54" t="n">
        <f aca="true">RAND()</f>
        <v>0.664642614109719</v>
      </c>
      <c r="T192" s="54" t="n">
        <f aca="true">RAND()</f>
        <v>0.0230701622540336</v>
      </c>
      <c r="U192" s="54" t="n">
        <f aca="true">RAND()</f>
        <v>0.672502394851528</v>
      </c>
    </row>
    <row r="193" customFormat="false" ht="15" hidden="false" customHeight="false" outlineLevel="0" collapsed="false">
      <c r="A193" s="50" t="n">
        <v>113</v>
      </c>
      <c r="B193" s="51" t="n">
        <f aca="false">1+IF($G$6=$E$6,$F$6,IF(P193&lt;($F$6-$E$6)/($G$6-$E$6),$E$6+SQRT(P193*($G$6-$E$6)*($F$6-$E$6)),$G$6-SQRT((1-P193)*($G$6-$E$6)*($G$6-$F$6))))</f>
        <v>0.966633527771384</v>
      </c>
      <c r="C193" s="51" t="n">
        <f aca="false">1+IF($G$7=$E$7,$F$7,IF(Q193&lt;($F$7-$E$7)/($G$7-$E$7),$E$7+SQRT(Q193*($G$7-$E$7)*($F$7-$E$7)),$G$7-SQRT((1-Q193)*($G$7-$E$7)*($G$7-$F$7))))</f>
        <v>1.03175361590545</v>
      </c>
      <c r="D193" s="51" t="n">
        <f aca="false">1+IF($G$8=$E$8,$F$8,IF(R193&lt;($F$8-$E$8)/($G$8-$E$8),$E$8+SQRT(R193*($G$8-$E$8)*($F$8-$E$8)),$G$8-SQRT((1-R193)*($G$8-$E$8)*($G$8-$F$8))))</f>
        <v>0.991054287748384</v>
      </c>
      <c r="E193" s="51" t="n">
        <f aca="false">1+IF($G$9=$E$9,$F$9,IF(S193&lt;($F$9-$E$9)/($G$9-$E$9),$E$9+SQRT(S193*($G$9-$E$9)*($F$9-$E$9)),$G$9-SQRT((1-S193)*($G$9-$E$9)*($G$9-$F$9))))</f>
        <v>0.993491786309229</v>
      </c>
      <c r="F193" s="51" t="n">
        <f aca="false">1+IF($G$10=$E$10,$F$10,IF(T193&lt;($F$10-$E$10)/($G$10-$E$10),$E$10+SQRT(T193*($G$10-$E$10)*($F$10-$E$10)),$G$10-SQRT((1-T193)*($G$10-$E$10)*($G$10-$F$10))))</f>
        <v>1.06073272024709</v>
      </c>
      <c r="G193" s="52" t="n">
        <f aca="false">IF($G$11=$E$11,$F$11,IF(U193&lt;($F$11-$E$11)/($G$11-$E$11),$E$11+SQRT(U193*($G$11-$E$11)*($F$11-$E$11)),$G$11-SQRT((1-U193)*($G$11-$E$11)*($G$11-$F$11))))</f>
        <v>0.106914568957085</v>
      </c>
      <c r="H193" s="53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-2121465440.49419</v>
      </c>
      <c r="I193" s="53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-5616532.74094763</v>
      </c>
      <c r="J193" s="53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287816203.285726</v>
      </c>
      <c r="K193" s="53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634285575.324755</v>
      </c>
      <c r="L193" s="53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766564130.486806</v>
      </c>
      <c r="M193" s="53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956136167.829186</v>
      </c>
      <c r="N193" s="53" t="n">
        <f aca="false">IF(COUNT('Business Case'!B11:G11)=0,"",H193+NPV(G193,I193:M193))</f>
        <v>-337978149.485889</v>
      </c>
      <c r="P193" s="54" t="n">
        <f aca="true">RAND()</f>
        <v>0.226529782542126</v>
      </c>
      <c r="Q193" s="54" t="n">
        <f aca="true">RAND()</f>
        <v>0.733672240925014</v>
      </c>
      <c r="R193" s="54" t="n">
        <f aca="true">RAND()</f>
        <v>0.259300698850322</v>
      </c>
      <c r="S193" s="54" t="n">
        <f aca="true">RAND()</f>
        <v>0.25220473018235</v>
      </c>
      <c r="T193" s="54" t="n">
        <f aca="true">RAND()</f>
        <v>0.61209249580451</v>
      </c>
      <c r="U193" s="54" t="n">
        <f aca="true">RAND()</f>
        <v>0.714619157368541</v>
      </c>
    </row>
    <row r="194" customFormat="false" ht="15" hidden="false" customHeight="false" outlineLevel="0" collapsed="false">
      <c r="A194" s="50" t="n">
        <v>114</v>
      </c>
      <c r="B194" s="51" t="n">
        <f aca="false">1+IF($G$6=$E$6,$F$6,IF(P194&lt;($F$6-$E$6)/($G$6-$E$6),$E$6+SQRT(P194*($G$6-$E$6)*($F$6-$E$6)),$G$6-SQRT((1-P194)*($G$6-$E$6)*($G$6-$F$6))))</f>
        <v>1.00516090702266</v>
      </c>
      <c r="C194" s="51" t="n">
        <f aca="false">1+IF($G$7=$E$7,$F$7,IF(Q194&lt;($F$7-$E$7)/($G$7-$E$7),$E$7+SQRT(Q194*($G$7-$E$7)*($F$7-$E$7)),$G$7-SQRT((1-Q194)*($G$7-$E$7)*($G$7-$F$7))))</f>
        <v>0.885416089256789</v>
      </c>
      <c r="D194" s="51" t="n">
        <f aca="false">1+IF($G$8=$E$8,$F$8,IF(R194&lt;($F$8-$E$8)/($G$8-$E$8),$E$8+SQRT(R194*($G$8-$E$8)*($F$8-$E$8)),$G$8-SQRT((1-R194)*($G$8-$E$8)*($G$8-$F$8))))</f>
        <v>0.958586161579474</v>
      </c>
      <c r="E194" s="51" t="n">
        <f aca="false">1+IF($G$9=$E$9,$F$9,IF(S194&lt;($F$9-$E$9)/($G$9-$E$9),$E$9+SQRT(S194*($G$9-$E$9)*($F$9-$E$9)),$G$9-SQRT((1-S194)*($G$9-$E$9)*($G$9-$F$9))))</f>
        <v>0.98965542116546</v>
      </c>
      <c r="F194" s="51" t="n">
        <f aca="false">1+IF($G$10=$E$10,$F$10,IF(T194&lt;($F$10-$E$10)/($G$10-$E$10),$E$10+SQRT(T194*($G$10-$E$10)*($F$10-$E$10)),$G$10-SQRT((1-T194)*($G$10-$E$10)*($G$10-$F$10))))</f>
        <v>1.03226892151511</v>
      </c>
      <c r="G194" s="52" t="n">
        <f aca="false">IF($G$11=$E$11,$F$11,IF(U194&lt;($F$11-$E$11)/($G$11-$E$11),$E$11+SQRT(U194*($G$11-$E$11)*($F$11-$E$11)),$G$11-SQRT((1-U194)*($G$11-$E$11)*($G$11-$F$11))))</f>
        <v>0.10517241623654</v>
      </c>
      <c r="H194" s="53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-2064537843.03022</v>
      </c>
      <c r="I194" s="53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4378692.30706602</v>
      </c>
      <c r="J194" s="53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298850133.200303</v>
      </c>
      <c r="K194" s="53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644935020.169295</v>
      </c>
      <c r="L194" s="53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773850070.830327</v>
      </c>
      <c r="M194" s="53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943018541.161741</v>
      </c>
      <c r="N194" s="53" t="n">
        <f aca="false">IF(COUNT('Business Case'!B11:G11)=0,"",H194+NPV(G194,I194:M194))</f>
        <v>-247430857.928971</v>
      </c>
      <c r="P194" s="54" t="n">
        <f aca="true">RAND()</f>
        <v>0.747132833440858</v>
      </c>
      <c r="Q194" s="54" t="n">
        <f aca="true">RAND()</f>
        <v>0.104227261484625</v>
      </c>
      <c r="R194" s="54" t="n">
        <f aca="true">RAND()</f>
        <v>0.0113418724105899</v>
      </c>
      <c r="S194" s="54" t="n">
        <f aca="true">RAND()</f>
        <v>0.20967365704133</v>
      </c>
      <c r="T194" s="54" t="n">
        <f aca="true">RAND()</f>
        <v>0.43732570620593</v>
      </c>
      <c r="U194" s="54" t="n">
        <f aca="true">RAND()</f>
        <v>0.633571266229279</v>
      </c>
    </row>
    <row r="195" customFormat="false" ht="15" hidden="false" customHeight="false" outlineLevel="0" collapsed="false">
      <c r="A195" s="50" t="n">
        <v>115</v>
      </c>
      <c r="B195" s="51" t="n">
        <f aca="false">1+IF($G$6=$E$6,$F$6,IF(P195&lt;($F$6-$E$6)/($G$6-$E$6),$E$6+SQRT(P195*($G$6-$E$6)*($F$6-$E$6)),$G$6-SQRT((1-P195)*($G$6-$E$6)*($G$6-$F$6))))</f>
        <v>1.03110397590265</v>
      </c>
      <c r="C195" s="51" t="n">
        <f aca="false">1+IF($G$7=$E$7,$F$7,IF(Q195&lt;($F$7-$E$7)/($G$7-$E$7),$E$7+SQRT(Q195*($G$7-$E$7)*($F$7-$E$7)),$G$7-SQRT((1-Q195)*($G$7-$E$7)*($G$7-$F$7))))</f>
        <v>0.942218126805873</v>
      </c>
      <c r="D195" s="51" t="n">
        <f aca="false">1+IF($G$8=$E$8,$F$8,IF(R195&lt;($F$8-$E$8)/($G$8-$E$8),$E$8+SQRT(R195*($G$8-$E$8)*($F$8-$E$8)),$G$8-SQRT((1-R195)*($G$8-$E$8)*($G$8-$F$8))))</f>
        <v>0.954424769632226</v>
      </c>
      <c r="E195" s="51" t="n">
        <f aca="false">1+IF($G$9=$E$9,$F$9,IF(S195&lt;($F$9-$E$9)/($G$9-$E$9),$E$9+SQRT(S195*($G$9-$E$9)*($F$9-$E$9)),$G$9-SQRT((1-S195)*($G$9-$E$9)*($G$9-$F$9))))</f>
        <v>0.973493344162993</v>
      </c>
      <c r="F195" s="51" t="n">
        <f aca="false">1+IF($G$10=$E$10,$F$10,IF(T195&lt;($F$10-$E$10)/($G$10-$E$10),$E$10+SQRT(T195*($G$10-$E$10)*($F$10-$E$10)),$G$10-SQRT((1-T195)*($G$10-$E$10)*($G$10-$F$10))))</f>
        <v>0.985794044135424</v>
      </c>
      <c r="G195" s="52" t="n">
        <f aca="false">IF($G$11=$E$11,$F$11,IF(U195&lt;($F$11-$E$11)/($G$11-$E$11),$E$11+SQRT(U195*($G$11-$E$11)*($F$11-$E$11)),$G$11-SQRT((1-U195)*($G$11-$E$11)*($G$11-$F$11))))</f>
        <v>0.0957166073086618</v>
      </c>
      <c r="H195" s="53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-1971588088.27085</v>
      </c>
      <c r="I195" s="53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48017267.8872866</v>
      </c>
      <c r="J195" s="53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383408542.300306</v>
      </c>
      <c r="K195" s="53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768089518.920097</v>
      </c>
      <c r="L195" s="53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913462509.439246</v>
      </c>
      <c r="M195" s="53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1098129954.20403</v>
      </c>
      <c r="N195" s="53" t="n">
        <f aca="false">IF(COUNT('Business Case'!B11:G11)=0,"",H195+NPV(G195,I195:M195))</f>
        <v>304459639.911137</v>
      </c>
      <c r="P195" s="54" t="n">
        <f aca="true">RAND()</f>
        <v>0.983512657345689</v>
      </c>
      <c r="Q195" s="54" t="n">
        <f aca="true">RAND()</f>
        <v>0.288942794173876</v>
      </c>
      <c r="R195" s="54" t="n">
        <f aca="true">RAND()</f>
        <v>0.00301209019973389</v>
      </c>
      <c r="S195" s="54" t="n">
        <f aca="true">RAND()</f>
        <v>0.0735916293281104</v>
      </c>
      <c r="T195" s="54" t="n">
        <f aca="true">RAND()</f>
        <v>0.102497087645492</v>
      </c>
      <c r="U195" s="54" t="n">
        <f aca="true">RAND()</f>
        <v>0.108931997071483</v>
      </c>
    </row>
    <row r="196" customFormat="false" ht="15" hidden="false" customHeight="false" outlineLevel="0" collapsed="false">
      <c r="A196" s="50" t="n">
        <v>116</v>
      </c>
      <c r="B196" s="51" t="n">
        <f aca="false">1+IF($G$6=$E$6,$F$6,IF(P196&lt;($F$6-$E$6)/($G$6-$E$6),$E$6+SQRT(P196*($G$6-$E$6)*($F$6-$E$6)),$G$6-SQRT((1-P196)*($G$6-$E$6)*($G$6-$F$6))))</f>
        <v>1.02154898951495</v>
      </c>
      <c r="C196" s="51" t="n">
        <f aca="false">1+IF($G$7=$E$7,$F$7,IF(Q196&lt;($F$7-$E$7)/($G$7-$E$7),$E$7+SQRT(Q196*($G$7-$E$7)*($F$7-$E$7)),$G$7-SQRT((1-Q196)*($G$7-$E$7)*($G$7-$F$7))))</f>
        <v>0.967838221593019</v>
      </c>
      <c r="D196" s="51" t="n">
        <f aca="false">1+IF($G$8=$E$8,$F$8,IF(R196&lt;($F$8-$E$8)/($G$8-$E$8),$E$8+SQRT(R196*($G$8-$E$8)*($F$8-$E$8)),$G$8-SQRT((1-R196)*($G$8-$E$8)*($G$8-$F$8))))</f>
        <v>1.03570526171922</v>
      </c>
      <c r="E196" s="51" t="n">
        <f aca="false">1+IF($G$9=$E$9,$F$9,IF(S196&lt;($F$9-$E$9)/($G$9-$E$9),$E$9+SQRT(S196*($G$9-$E$9)*($F$9-$E$9)),$G$9-SQRT((1-S196)*($G$9-$E$9)*($G$9-$F$9))))</f>
        <v>0.963838525150999</v>
      </c>
      <c r="F196" s="51" t="n">
        <f aca="false">1+IF($G$10=$E$10,$F$10,IF(T196&lt;($F$10-$E$10)/($G$10-$E$10),$E$10+SQRT(T196*($G$10-$E$10)*($F$10-$E$10)),$G$10-SQRT((1-T196)*($G$10-$E$10)*($G$10-$F$10))))</f>
        <v>1.12857785533803</v>
      </c>
      <c r="G196" s="52" t="n">
        <f aca="false">IF($G$11=$E$11,$F$11,IF(U196&lt;($F$11-$E$11)/($G$11-$E$11),$E$11+SQRT(U196*($G$11-$E$11)*($F$11-$E$11)),$G$11-SQRT((1-U196)*($G$11-$E$11)*($G$11-$F$11))))</f>
        <v>0.0963175815114377</v>
      </c>
      <c r="H196" s="53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-2257155710.67605</v>
      </c>
      <c r="I196" s="53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-4503947.48076575</v>
      </c>
      <c r="J196" s="53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292161633.962258</v>
      </c>
      <c r="K196" s="53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645256108.172182</v>
      </c>
      <c r="L196" s="53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778313905.395533</v>
      </c>
      <c r="M196" s="53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966244890.811752</v>
      </c>
      <c r="N196" s="53" t="n">
        <f aca="false">IF(COUNT('Business Case'!B11:G11)=0,"",H196+NPV(G196,I196:M196))</f>
        <v>-379608005.291225</v>
      </c>
      <c r="P196" s="54" t="n">
        <f aca="true">RAND()</f>
        <v>0.92907504418348</v>
      </c>
      <c r="Q196" s="54" t="n">
        <f aca="true">RAND()</f>
        <v>0.402423837535818</v>
      </c>
      <c r="R196" s="54" t="n">
        <f aca="true">RAND()</f>
        <v>0.811343861599689</v>
      </c>
      <c r="S196" s="54" t="n">
        <f aca="true">RAND()</f>
        <v>0.0255339704473107</v>
      </c>
      <c r="T196" s="54" t="n">
        <f aca="true">RAND()</f>
        <v>0.897977545037681</v>
      </c>
      <c r="U196" s="54" t="n">
        <f aca="true">RAND()</f>
        <v>0.133039453845531</v>
      </c>
    </row>
    <row r="197" customFormat="false" ht="15" hidden="false" customHeight="false" outlineLevel="0" collapsed="false">
      <c r="A197" s="50" t="n">
        <v>117</v>
      </c>
      <c r="B197" s="51" t="n">
        <f aca="false">1+IF($G$6=$E$6,$F$6,IF(P197&lt;($F$6-$E$6)/($G$6-$E$6),$E$6+SQRT(P197*($G$6-$E$6)*($F$6-$E$6)),$G$6-SQRT((1-P197)*($G$6-$E$6)*($G$6-$F$6))))</f>
        <v>0.955439293027252</v>
      </c>
      <c r="C197" s="51" t="n">
        <f aca="false">1+IF($G$7=$E$7,$F$7,IF(Q197&lt;($F$7-$E$7)/($G$7-$E$7),$E$7+SQRT(Q197*($G$7-$E$7)*($F$7-$E$7)),$G$7-SQRT((1-Q197)*($G$7-$E$7)*($G$7-$F$7))))</f>
        <v>0.839290622950884</v>
      </c>
      <c r="D197" s="51" t="n">
        <f aca="false">1+IF($G$8=$E$8,$F$8,IF(R197&lt;($F$8-$E$8)/($G$8-$E$8),$E$8+SQRT(R197*($G$8-$E$8)*($F$8-$E$8)),$G$8-SQRT((1-R197)*($G$8-$E$8)*($G$8-$F$8))))</f>
        <v>1.05020154747841</v>
      </c>
      <c r="E197" s="51" t="n">
        <f aca="false">1+IF($G$9=$E$9,$F$9,IF(S197&lt;($F$9-$E$9)/($G$9-$E$9),$E$9+SQRT(S197*($G$9-$E$9)*($F$9-$E$9)),$G$9-SQRT((1-S197)*($G$9-$E$9)*($G$9-$F$9))))</f>
        <v>0.987822152189253</v>
      </c>
      <c r="F197" s="51" t="n">
        <f aca="false">1+IF($G$10=$E$10,$F$10,IF(T197&lt;($F$10-$E$10)/($G$10-$E$10),$E$10+SQRT(T197*($G$10-$E$10)*($F$10-$E$10)),$G$10-SQRT((1-T197)*($G$10-$E$10)*($G$10-$F$10))))</f>
        <v>1.08159702428814</v>
      </c>
      <c r="G197" s="52" t="n">
        <f aca="false">IF($G$11=$E$11,$F$11,IF(U197&lt;($F$11-$E$11)/($G$11-$E$11),$E$11+SQRT(U197*($G$11-$E$11)*($F$11-$E$11)),$G$11-SQRT((1-U197)*($G$11-$E$11)*($G$11-$F$11))))</f>
        <v>0.108956798568062</v>
      </c>
      <c r="H197" s="53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-2163194048.57628</v>
      </c>
      <c r="I197" s="53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-84610126.3454801</v>
      </c>
      <c r="J197" s="53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120977801.631558</v>
      </c>
      <c r="K197" s="53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380645580.823004</v>
      </c>
      <c r="L197" s="53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476888251.383612</v>
      </c>
      <c r="M197" s="53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629311738.17572</v>
      </c>
      <c r="N197" s="53" t="n">
        <f aca="false">IF(COUNT('Business Case'!B11:G11)=0,"",H197+NPV(G197,I197:M197))</f>
        <v>-1171456415.04573</v>
      </c>
      <c r="P197" s="54" t="n">
        <f aca="true">RAND()</f>
        <v>0.130827446903273</v>
      </c>
      <c r="Q197" s="54" t="n">
        <f aca="true">RAND()</f>
        <v>0.0220536150266933</v>
      </c>
      <c r="R197" s="54" t="n">
        <f aca="true">RAND()</f>
        <v>0.914620406472913</v>
      </c>
      <c r="S197" s="54" t="n">
        <f aca="true">RAND()</f>
        <v>0.190735359496931</v>
      </c>
      <c r="T197" s="54" t="n">
        <f aca="true">RAND()</f>
        <v>0.719614706851524</v>
      </c>
      <c r="U197" s="54" t="n">
        <f aca="true">RAND()</f>
        <v>0.796746170222734</v>
      </c>
    </row>
    <row r="198" customFormat="false" ht="15" hidden="false" customHeight="false" outlineLevel="0" collapsed="false">
      <c r="A198" s="50" t="n">
        <v>118</v>
      </c>
      <c r="B198" s="51" t="n">
        <f aca="false">1+IF($G$6=$E$6,$F$6,IF(P198&lt;($F$6-$E$6)/($G$6-$E$6),$E$6+SQRT(P198*($G$6-$E$6)*($F$6-$E$6)),$G$6-SQRT((1-P198)*($G$6-$E$6)*($G$6-$F$6))))</f>
        <v>1.00283193832293</v>
      </c>
      <c r="C198" s="51" t="n">
        <f aca="false">1+IF($G$7=$E$7,$F$7,IF(Q198&lt;($F$7-$E$7)/($G$7-$E$7),$E$7+SQRT(Q198*($G$7-$E$7)*($F$7-$E$7)),$G$7-SQRT((1-Q198)*($G$7-$E$7)*($G$7-$F$7))))</f>
        <v>0.859972920135131</v>
      </c>
      <c r="D198" s="51" t="n">
        <f aca="false">1+IF($G$8=$E$8,$F$8,IF(R198&lt;($F$8-$E$8)/($G$8-$E$8),$E$8+SQRT(R198*($G$8-$E$8)*($F$8-$E$8)),$G$8-SQRT((1-R198)*($G$8-$E$8)*($G$8-$F$8))))</f>
        <v>0.974114829181202</v>
      </c>
      <c r="E198" s="51" t="n">
        <f aca="false">1+IF($G$9=$E$9,$F$9,IF(S198&lt;($F$9-$E$9)/($G$9-$E$9),$E$9+SQRT(S198*($G$9-$E$9)*($F$9-$E$9)),$G$9-SQRT((1-S198)*($G$9-$E$9)*($G$9-$F$9))))</f>
        <v>1.03649556605491</v>
      </c>
      <c r="F198" s="51" t="n">
        <f aca="false">1+IF($G$10=$E$10,$F$10,IF(T198&lt;($F$10-$E$10)/($G$10-$E$10),$E$10+SQRT(T198*($G$10-$E$10)*($F$10-$E$10)),$G$10-SQRT((1-T198)*($G$10-$E$10)*($G$10-$F$10))))</f>
        <v>1.11120895558458</v>
      </c>
      <c r="G198" s="52" t="n">
        <f aca="false">IF($G$11=$E$11,$F$11,IF(U198&lt;($F$11-$E$11)/($G$11-$E$11),$E$11+SQRT(U198*($G$11-$E$11)*($F$11-$E$11)),$G$11-SQRT((1-U198)*($G$11-$E$11)*($G$11-$F$11))))</f>
        <v>0.10695775262681</v>
      </c>
      <c r="H198" s="53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-2222417911.16915</v>
      </c>
      <c r="I198" s="53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-25685030.8427061</v>
      </c>
      <c r="J198" s="53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251847750.177414</v>
      </c>
      <c r="K198" s="53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584940978.976764</v>
      </c>
      <c r="L198" s="53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707256737.191045</v>
      </c>
      <c r="M198" s="53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871183308.832702</v>
      </c>
      <c r="N198" s="53" t="n">
        <f aca="false">IF(COUNT('Business Case'!B11:G11)=0,"",H198+NPV(G198,I198:M198))</f>
        <v>-613667772.492199</v>
      </c>
      <c r="P198" s="54" t="n">
        <f aca="true">RAND()</f>
        <v>0.712194831493625</v>
      </c>
      <c r="Q198" s="54" t="n">
        <f aca="true">RAND()</f>
        <v>0.0513821592790691</v>
      </c>
      <c r="R198" s="54" t="n">
        <f aca="true">RAND()</f>
        <v>0.089465382529009</v>
      </c>
      <c r="S198" s="54" t="n">
        <f aca="true">RAND()</f>
        <v>0.731145791287557</v>
      </c>
      <c r="T198" s="54" t="n">
        <f aca="true">RAND()</f>
        <v>0.842323008632366</v>
      </c>
      <c r="U198" s="54" t="n">
        <f aca="true">RAND()</f>
        <v>0.716499639094181</v>
      </c>
    </row>
    <row r="199" customFormat="false" ht="15" hidden="false" customHeight="false" outlineLevel="0" collapsed="false">
      <c r="A199" s="50" t="n">
        <v>119</v>
      </c>
      <c r="B199" s="51" t="n">
        <f aca="false">1+IF($G$6=$E$6,$F$6,IF(P199&lt;($F$6-$E$6)/($G$6-$E$6),$E$6+SQRT(P199*($G$6-$E$6)*($F$6-$E$6)),$G$6-SQRT((1-P199)*($G$6-$E$6)*($G$6-$F$6))))</f>
        <v>0.969499133734775</v>
      </c>
      <c r="C199" s="51" t="n">
        <f aca="false">1+IF($G$7=$E$7,$F$7,IF(Q199&lt;($F$7-$E$7)/($G$7-$E$7),$E$7+SQRT(Q199*($G$7-$E$7)*($F$7-$E$7)),$G$7-SQRT((1-Q199)*($G$7-$E$7)*($G$7-$F$7))))</f>
        <v>0.957524791684433</v>
      </c>
      <c r="D199" s="51" t="n">
        <f aca="false">1+IF($G$8=$E$8,$F$8,IF(R199&lt;($F$8-$E$8)/($G$8-$E$8),$E$8+SQRT(R199*($G$8-$E$8)*($F$8-$E$8)),$G$8-SQRT((1-R199)*($G$8-$E$8)*($G$8-$F$8))))</f>
        <v>0.955327437658608</v>
      </c>
      <c r="E199" s="51" t="n">
        <f aca="false">1+IF($G$9=$E$9,$F$9,IF(S199&lt;($F$9-$E$9)/($G$9-$E$9),$E$9+SQRT(S199*($G$9-$E$9)*($F$9-$E$9)),$G$9-SQRT((1-S199)*($G$9-$E$9)*($G$9-$F$9))))</f>
        <v>0.977762608597665</v>
      </c>
      <c r="F199" s="51" t="n">
        <f aca="false">1+IF($G$10=$E$10,$F$10,IF(T199&lt;($F$10-$E$10)/($G$10-$E$10),$E$10+SQRT(T199*($G$10-$E$10)*($F$10-$E$10)),$G$10-SQRT((1-T199)*($G$10-$E$10)*($G$10-$F$10))))</f>
        <v>1.06677523293939</v>
      </c>
      <c r="G199" s="52" t="n">
        <f aca="false">IF($G$11=$E$11,$F$11,IF(U199&lt;($F$11-$E$11)/($G$11-$E$11),$E$11+SQRT(U199*($G$11-$E$11)*($F$11-$E$11)),$G$11-SQRT((1-U199)*($G$11-$E$11)*($G$11-$F$11))))</f>
        <v>0.10399786107265</v>
      </c>
      <c r="H199" s="53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-2133550465.87879</v>
      </c>
      <c r="I199" s="53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-1757642.67844434</v>
      </c>
      <c r="J199" s="53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290324161.482184</v>
      </c>
      <c r="K199" s="53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635744727.289783</v>
      </c>
      <c r="L199" s="53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765188049.078357</v>
      </c>
      <c r="M199" s="53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941643011.287692</v>
      </c>
      <c r="N199" s="53" t="n">
        <f aca="false">IF(COUNT('Business Case'!B11:G11)=0,"",H199+NPV(G199,I199:M199))</f>
        <v>-335185135.166819</v>
      </c>
      <c r="P199" s="54" t="n">
        <f aca="true">RAND()</f>
        <v>0.255225441718036</v>
      </c>
      <c r="Q199" s="54" t="n">
        <f aca="true">RAND()</f>
        <v>0.354486571360343</v>
      </c>
      <c r="R199" s="54" t="n">
        <f aca="true">RAND()</f>
        <v>0.0043663987702087</v>
      </c>
      <c r="S199" s="54" t="n">
        <f aca="true">RAND()</f>
        <v>0.10276832481962</v>
      </c>
      <c r="T199" s="54" t="n">
        <f aca="true">RAND()</f>
        <v>0.64502322883294</v>
      </c>
      <c r="U199" s="54" t="n">
        <f aca="true">RAND()</f>
        <v>0.573219249583002</v>
      </c>
    </row>
    <row r="200" customFormat="false" ht="15" hidden="false" customHeight="false" outlineLevel="0" collapsed="false">
      <c r="A200" s="50" t="n">
        <v>120</v>
      </c>
      <c r="B200" s="51" t="n">
        <f aca="false">1+IF($G$6=$E$6,$F$6,IF(P200&lt;($F$6-$E$6)/($G$6-$E$6),$E$6+SQRT(P200*($G$6-$E$6)*($F$6-$E$6)),$G$6-SQRT((1-P200)*($G$6-$E$6)*($G$6-$F$6))))</f>
        <v>0.994923189931326</v>
      </c>
      <c r="C200" s="51" t="n">
        <f aca="false">1+IF($G$7=$E$7,$F$7,IF(Q200&lt;($F$7-$E$7)/($G$7-$E$7),$E$7+SQRT(Q200*($G$7-$E$7)*($F$7-$E$7)),$G$7-SQRT((1-Q200)*($G$7-$E$7)*($G$7-$F$7))))</f>
        <v>0.961835214784188</v>
      </c>
      <c r="D200" s="51" t="n">
        <f aca="false">1+IF($G$8=$E$8,$F$8,IF(R200&lt;($F$8-$E$8)/($G$8-$E$8),$E$8+SQRT(R200*($G$8-$E$8)*($F$8-$E$8)),$G$8-SQRT((1-R200)*($G$8-$E$8)*($G$8-$F$8))))</f>
        <v>1.01613699585778</v>
      </c>
      <c r="E200" s="51" t="n">
        <f aca="false">1+IF($G$9=$E$9,$F$9,IF(S200&lt;($F$9-$E$9)/($G$9-$E$9),$E$9+SQRT(S200*($G$9-$E$9)*($F$9-$E$9)),$G$9-SQRT((1-S200)*($G$9-$E$9)*($G$9-$F$9))))</f>
        <v>1.01948017391623</v>
      </c>
      <c r="F200" s="51" t="n">
        <f aca="false">1+IF($G$10=$E$10,$F$10,IF(T200&lt;($F$10-$E$10)/($G$10-$E$10),$E$10+SQRT(T200*($G$10-$E$10)*($F$10-$E$10)),$G$10-SQRT((1-T200)*($G$10-$E$10)*($G$10-$F$10))))</f>
        <v>0.992447506409058</v>
      </c>
      <c r="G200" s="52" t="n">
        <f aca="false">IF($G$11=$E$11,$F$11,IF(U200&lt;($F$11-$E$11)/($G$11-$E$11),$E$11+SQRT(U200*($G$11-$E$11)*($F$11-$E$11)),$G$11-SQRT((1-U200)*($G$11-$E$11)*($G$11-$F$11))))</f>
        <v>0.0951788419478028</v>
      </c>
      <c r="H200" s="53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-1984895012.81812</v>
      </c>
      <c r="I200" s="53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-10338772.1590391</v>
      </c>
      <c r="J200" s="53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273145687.032334</v>
      </c>
      <c r="K200" s="53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606252521.54416</v>
      </c>
      <c r="L200" s="53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733819607.927029</v>
      </c>
      <c r="M200" s="53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915717074.515295</v>
      </c>
      <c r="N200" s="53" t="n">
        <f aca="false">IF(COUNT('Business Case'!B11:G11)=0,"",H200+NPV(G200,I200:M200))</f>
        <v>-213768020.758495</v>
      </c>
      <c r="P200" s="54" t="n">
        <f aca="true">RAND()</f>
        <v>0.584737957238075</v>
      </c>
      <c r="Q200" s="54" t="n">
        <f aca="true">RAND()</f>
        <v>0.374151953489203</v>
      </c>
      <c r="R200" s="54" t="n">
        <f aca="true">RAND()</f>
        <v>0.607838144416387</v>
      </c>
      <c r="S200" s="54" t="n">
        <f aca="true">RAND()</f>
        <v>0.567770507162667</v>
      </c>
      <c r="T200" s="54" t="n">
        <f aca="true">RAND()</f>
        <v>0.144143264027759</v>
      </c>
      <c r="U200" s="54" t="n">
        <f aca="true">RAND()</f>
        <v>0.089401346401073</v>
      </c>
    </row>
    <row r="201" customFormat="false" ht="15" hidden="false" customHeight="false" outlineLevel="0" collapsed="false">
      <c r="A201" s="50" t="n">
        <v>121</v>
      </c>
      <c r="B201" s="51" t="n">
        <f aca="false">1+IF($G$6=$E$6,$F$6,IF(P201&lt;($F$6-$E$6)/($G$6-$E$6),$E$6+SQRT(P201*($G$6-$E$6)*($F$6-$E$6)),$G$6-SQRT((1-P201)*($G$6-$E$6)*($G$6-$F$6))))</f>
        <v>0.989836841276376</v>
      </c>
      <c r="C201" s="51" t="n">
        <f aca="false">1+IF($G$7=$E$7,$F$7,IF(Q201&lt;($F$7-$E$7)/($G$7-$E$7),$E$7+SQRT(Q201*($G$7-$E$7)*($F$7-$E$7)),$G$7-SQRT((1-Q201)*($G$7-$E$7)*($G$7-$F$7))))</f>
        <v>1.04418954100136</v>
      </c>
      <c r="D201" s="51" t="n">
        <f aca="false">1+IF($G$8=$E$8,$F$8,IF(R201&lt;($F$8-$E$8)/($G$8-$E$8),$E$8+SQRT(R201*($G$8-$E$8)*($F$8-$E$8)),$G$8-SQRT((1-R201)*($G$8-$E$8)*($G$8-$F$8))))</f>
        <v>1.00661944298053</v>
      </c>
      <c r="E201" s="51" t="n">
        <f aca="false">1+IF($G$9=$E$9,$F$9,IF(S201&lt;($F$9-$E$9)/($G$9-$E$9),$E$9+SQRT(S201*($G$9-$E$9)*($F$9-$E$9)),$G$9-SQRT((1-S201)*($G$9-$E$9)*($G$9-$F$9))))</f>
        <v>0.984007565173976</v>
      </c>
      <c r="F201" s="51" t="n">
        <f aca="false">1+IF($G$10=$E$10,$F$10,IF(T201&lt;($F$10-$E$10)/($G$10-$E$10),$E$10+SQRT(T201*($G$10-$E$10)*($F$10-$E$10)),$G$10-SQRT((1-T201)*($G$10-$E$10)*($G$10-$F$10))))</f>
        <v>1.06829416300814</v>
      </c>
      <c r="G201" s="52" t="n">
        <f aca="false">IF($G$11=$E$11,$F$11,IF(U201&lt;($F$11-$E$11)/($G$11-$E$11),$E$11+SQRT(U201*($G$11-$E$11)*($F$11-$E$11)),$G$11-SQRT((1-U201)*($G$11-$E$11)*($G$11-$F$11))))</f>
        <v>0.108999627443732</v>
      </c>
      <c r="H201" s="53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-2136588326.01628</v>
      </c>
      <c r="I201" s="53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8158392.41249777</v>
      </c>
      <c r="J201" s="53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316652722.931084</v>
      </c>
      <c r="K201" s="53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678561761.600077</v>
      </c>
      <c r="L201" s="53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817113635.797962</v>
      </c>
      <c r="M201" s="53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1013576004.60226</v>
      </c>
      <c r="N201" s="53" t="n">
        <f aca="false">IF(COUNT('Business Case'!B11:G11)=0,"",H201+NPV(G201,I201:M201))</f>
        <v>-229834363.278709</v>
      </c>
      <c r="P201" s="54" t="n">
        <f aca="true">RAND()</f>
        <v>0.508040041610597</v>
      </c>
      <c r="Q201" s="54" t="n">
        <f aca="true">RAND()</f>
        <v>0.786745652695188</v>
      </c>
      <c r="R201" s="54" t="n">
        <f aca="true">RAND()</f>
        <v>0.482239793414714</v>
      </c>
      <c r="S201" s="54" t="n">
        <f aca="true">RAND()</f>
        <v>0.154201931874962</v>
      </c>
      <c r="T201" s="54" t="n">
        <f aca="true">RAND()</f>
        <v>0.653071450045481</v>
      </c>
      <c r="U201" s="54" t="n">
        <f aca="true">RAND()</f>
        <v>0.798319672705516</v>
      </c>
    </row>
    <row r="202" customFormat="false" ht="15" hidden="false" customHeight="false" outlineLevel="0" collapsed="false">
      <c r="A202" s="50" t="n">
        <v>122</v>
      </c>
      <c r="B202" s="51" t="n">
        <f aca="false">1+IF($G$6=$E$6,$F$6,IF(P202&lt;($F$6-$E$6)/($G$6-$E$6),$E$6+SQRT(P202*($G$6-$E$6)*($F$6-$E$6)),$G$6-SQRT((1-P202)*($G$6-$E$6)*($G$6-$F$6))))</f>
        <v>0.977718073806846</v>
      </c>
      <c r="C202" s="51" t="n">
        <f aca="false">1+IF($G$7=$E$7,$F$7,IF(Q202&lt;($F$7-$E$7)/($G$7-$E$7),$E$7+SQRT(Q202*($G$7-$E$7)*($F$7-$E$7)),$G$7-SQRT((1-Q202)*($G$7-$E$7)*($G$7-$F$7))))</f>
        <v>0.884939491933433</v>
      </c>
      <c r="D202" s="51" t="n">
        <f aca="false">1+IF($G$8=$E$8,$F$8,IF(R202&lt;($F$8-$E$8)/($G$8-$E$8),$E$8+SQRT(R202*($G$8-$E$8)*($F$8-$E$8)),$G$8-SQRT((1-R202)*($G$8-$E$8)*($G$8-$F$8))))</f>
        <v>1.01958673463946</v>
      </c>
      <c r="E202" s="51" t="n">
        <f aca="false">1+IF($G$9=$E$9,$F$9,IF(S202&lt;($F$9-$E$9)/($G$9-$E$9),$E$9+SQRT(S202*($G$9-$E$9)*($F$9-$E$9)),$G$9-SQRT((1-S202)*($G$9-$E$9)*($G$9-$F$9))))</f>
        <v>1.01597447894671</v>
      </c>
      <c r="F202" s="51" t="n">
        <f aca="false">1+IF($G$10=$E$10,$F$10,IF(T202&lt;($F$10-$E$10)/($G$10-$E$10),$E$10+SQRT(T202*($G$10-$E$10)*($F$10-$E$10)),$G$10-SQRT((1-T202)*($G$10-$E$10)*($G$10-$F$10))))</f>
        <v>0.978535806892112</v>
      </c>
      <c r="G202" s="52" t="n">
        <f aca="false">IF($G$11=$E$11,$F$11,IF(U202&lt;($F$11-$E$11)/($G$11-$E$11),$E$11+SQRT(U202*($G$11-$E$11)*($F$11-$E$11)),$G$11-SQRT((1-U202)*($G$11-$E$11)*($G$11-$F$11))))</f>
        <v>0.103147273047923</v>
      </c>
      <c r="H202" s="53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-1957071613.78422</v>
      </c>
      <c r="I202" s="53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-40391028.3905226</v>
      </c>
      <c r="J202" s="53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206396168.846126</v>
      </c>
      <c r="K202" s="53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502110156.427379</v>
      </c>
      <c r="L202" s="53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614274604.860754</v>
      </c>
      <c r="M202" s="53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778735876.310458</v>
      </c>
      <c r="N202" s="53" t="n">
        <f aca="false">IF(COUNT('Business Case'!B11:G11)=0,"",H202+NPV(G202,I202:M202))</f>
        <v>-558593708.861784</v>
      </c>
      <c r="P202" s="54" t="n">
        <f aca="true">RAND()</f>
        <v>0.347018337913809</v>
      </c>
      <c r="Q202" s="54" t="n">
        <f aca="true">RAND()</f>
        <v>0.103067389855852</v>
      </c>
      <c r="R202" s="54" t="n">
        <f aca="true">RAND()</f>
        <v>0.649061285430419</v>
      </c>
      <c r="S202" s="54" t="n">
        <f aca="true">RAND()</f>
        <v>0.529314120781538</v>
      </c>
      <c r="T202" s="54" t="n">
        <f aca="true">RAND()</f>
        <v>0.0651433819987124</v>
      </c>
      <c r="U202" s="54" t="n">
        <f aca="true">RAND()</f>
        <v>0.526642657131204</v>
      </c>
    </row>
    <row r="203" customFormat="false" ht="15" hidden="false" customHeight="false" outlineLevel="0" collapsed="false">
      <c r="A203" s="50" t="n">
        <v>123</v>
      </c>
      <c r="B203" s="51" t="n">
        <f aca="false">1+IF($G$6=$E$6,$F$6,IF(P203&lt;($F$6-$E$6)/($G$6-$E$6),$E$6+SQRT(P203*($G$6-$E$6)*($F$6-$E$6)),$G$6-SQRT((1-P203)*($G$6-$E$6)*($G$6-$F$6))))</f>
        <v>0.977854995503178</v>
      </c>
      <c r="C203" s="51" t="n">
        <f aca="false">1+IF($G$7=$E$7,$F$7,IF(Q203&lt;($F$7-$E$7)/($G$7-$E$7),$E$7+SQRT(Q203*($G$7-$E$7)*($F$7-$E$7)),$G$7-SQRT((1-Q203)*($G$7-$E$7)*($G$7-$F$7))))</f>
        <v>1.07563200220259</v>
      </c>
      <c r="D203" s="51" t="n">
        <f aca="false">1+IF($G$8=$E$8,$F$8,IF(R203&lt;($F$8-$E$8)/($G$8-$E$8),$E$8+SQRT(R203*($G$8-$E$8)*($F$8-$E$8)),$G$8-SQRT((1-R203)*($G$8-$E$8)*($G$8-$F$8))))</f>
        <v>1.01151118361337</v>
      </c>
      <c r="E203" s="51" t="n">
        <f aca="false">1+IF($G$9=$E$9,$F$9,IF(S203&lt;($F$9-$E$9)/($G$9-$E$9),$E$9+SQRT(S203*($G$9-$E$9)*($F$9-$E$9)),$G$9-SQRT((1-S203)*($G$9-$E$9)*($G$9-$F$9))))</f>
        <v>0.995572777828726</v>
      </c>
      <c r="F203" s="51" t="n">
        <f aca="false">1+IF($G$10=$E$10,$F$10,IF(T203&lt;($F$10-$E$10)/($G$10-$E$10),$E$10+SQRT(T203*($G$10-$E$10)*($F$10-$E$10)),$G$10-SQRT((1-T203)*($G$10-$E$10)*($G$10-$F$10))))</f>
        <v>0.977759599661262</v>
      </c>
      <c r="G203" s="52" t="n">
        <f aca="false">IF($G$11=$E$11,$F$11,IF(U203&lt;($F$11-$E$11)/($G$11-$E$11),$E$11+SQRT(U203*($G$11-$E$11)*($F$11-$E$11)),$G$11-SQRT((1-U203)*($G$11-$E$11)*($G$11-$F$11))))</f>
        <v>0.103365285781503</v>
      </c>
      <c r="H203" s="53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-1955519199.32252</v>
      </c>
      <c r="I203" s="53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10661488.2688204</v>
      </c>
      <c r="J203" s="53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315195326.157942</v>
      </c>
      <c r="K203" s="53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668617144.030127</v>
      </c>
      <c r="L203" s="53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806479050.424454</v>
      </c>
      <c r="M203" s="53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1006407499.4632</v>
      </c>
      <c r="N203" s="53" t="n">
        <f aca="false">IF(COUNT('Business Case'!B11:G11)=0,"",H203+NPV(G203,I203:M203))</f>
        <v>-29617049.5075014</v>
      </c>
      <c r="P203" s="54" t="n">
        <f aca="true">RAND()</f>
        <v>0.348666719236747</v>
      </c>
      <c r="Q203" s="54" t="n">
        <f aca="true">RAND()</f>
        <v>0.894655255306758</v>
      </c>
      <c r="R203" s="54" t="n">
        <f aca="true">RAND()</f>
        <v>0.548969425957572</v>
      </c>
      <c r="S203" s="54" t="n">
        <f aca="true">RAND()</f>
        <v>0.276917077203526</v>
      </c>
      <c r="T203" s="54" t="n">
        <f aca="true">RAND()</f>
        <v>0.0616476298682812</v>
      </c>
      <c r="U203" s="54" t="n">
        <f aca="true">RAND()</f>
        <v>0.538810471448204</v>
      </c>
    </row>
    <row r="204" customFormat="false" ht="15" hidden="false" customHeight="false" outlineLevel="0" collapsed="false">
      <c r="A204" s="50" t="n">
        <v>124</v>
      </c>
      <c r="B204" s="51" t="n">
        <f aca="false">1+IF($G$6=$E$6,$F$6,IF(P204&lt;($F$6-$E$6)/($G$6-$E$6),$E$6+SQRT(P204*($G$6-$E$6)*($F$6-$E$6)),$G$6-SQRT((1-P204)*($G$6-$E$6)*($G$6-$F$6))))</f>
        <v>1.01588737303301</v>
      </c>
      <c r="C204" s="51" t="n">
        <f aca="false">1+IF($G$7=$E$7,$F$7,IF(Q204&lt;($F$7-$E$7)/($G$7-$E$7),$E$7+SQRT(Q204*($G$7-$E$7)*($F$7-$E$7)),$G$7-SQRT((1-Q204)*($G$7-$E$7)*($G$7-$F$7))))</f>
        <v>0.963987429498586</v>
      </c>
      <c r="D204" s="51" t="n">
        <f aca="false">1+IF($G$8=$E$8,$F$8,IF(R204&lt;($F$8-$E$8)/($G$8-$E$8),$E$8+SQRT(R204*($G$8-$E$8)*($F$8-$E$8)),$G$8-SQRT((1-R204)*($G$8-$E$8)*($G$8-$F$8))))</f>
        <v>1.01690358267786</v>
      </c>
      <c r="E204" s="51" t="n">
        <f aca="false">1+IF($G$9=$E$9,$F$9,IF(S204&lt;($F$9-$E$9)/($G$9-$E$9),$E$9+SQRT(S204*($G$9-$E$9)*($F$9-$E$9)),$G$9-SQRT((1-S204)*($G$9-$E$9)*($G$9-$F$9))))</f>
        <v>0.987430305030787</v>
      </c>
      <c r="F204" s="51" t="n">
        <f aca="false">1+IF($G$10=$E$10,$F$10,IF(T204&lt;($F$10-$E$10)/($G$10-$E$10),$E$10+SQRT(T204*($G$10-$E$10)*($F$10-$E$10)),$G$10-SQRT((1-T204)*($G$10-$E$10)*($G$10-$F$10))))</f>
        <v>0.993908493836946</v>
      </c>
      <c r="G204" s="52" t="n">
        <f aca="false">IF($G$11=$E$11,$F$11,IF(U204&lt;($F$11-$E$11)/($G$11-$E$11),$E$11+SQRT(U204*($G$11-$E$11)*($F$11-$E$11)),$G$11-SQRT((1-U204)*($G$11-$E$11)*($G$11-$F$11))))</f>
        <v>0.105842160082458</v>
      </c>
      <c r="H204" s="53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-1987816987.67389</v>
      </c>
      <c r="I204" s="53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9722797.65202108</v>
      </c>
      <c r="J204" s="53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310016083.822221</v>
      </c>
      <c r="K204" s="53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660004794.684268</v>
      </c>
      <c r="L204" s="53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793947256.580405</v>
      </c>
      <c r="M204" s="53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980093105.697127</v>
      </c>
      <c r="N204" s="53" t="n">
        <f aca="false">IF(COUNT('Business Case'!B11:G11)=0,"",H204+NPV(G204,I204:M204))</f>
        <v>-113897049.577777</v>
      </c>
      <c r="P204" s="54" t="n">
        <f aca="true">RAND()</f>
        <v>0.878871087656393</v>
      </c>
      <c r="Q204" s="54" t="n">
        <f aca="true">RAND()</f>
        <v>0.384169671907911</v>
      </c>
      <c r="R204" s="54" t="n">
        <f aca="true">RAND()</f>
        <v>0.617196357799126</v>
      </c>
      <c r="S204" s="54" t="n">
        <f aca="true">RAND()</f>
        <v>0.186803697959698</v>
      </c>
      <c r="T204" s="54" t="n">
        <f aca="true">RAND()</f>
        <v>0.154236466482332</v>
      </c>
      <c r="U204" s="54" t="n">
        <f aca="true">RAND()</f>
        <v>0.665925948115438</v>
      </c>
    </row>
    <row r="205" customFormat="false" ht="15" hidden="false" customHeight="false" outlineLevel="0" collapsed="false">
      <c r="A205" s="50" t="n">
        <v>125</v>
      </c>
      <c r="B205" s="51" t="n">
        <f aca="false">1+IF($G$6=$E$6,$F$6,IF(P205&lt;($F$6-$E$6)/($G$6-$E$6),$E$6+SQRT(P205*($G$6-$E$6)*($F$6-$E$6)),$G$6-SQRT((1-P205)*($G$6-$E$6)*($G$6-$F$6))))</f>
        <v>0.950917510776816</v>
      </c>
      <c r="C205" s="51" t="n">
        <f aca="false">1+IF($G$7=$E$7,$F$7,IF(Q205&lt;($F$7-$E$7)/($G$7-$E$7),$E$7+SQRT(Q205*($G$7-$E$7)*($F$7-$E$7)),$G$7-SQRT((1-Q205)*($G$7-$E$7)*($G$7-$F$7))))</f>
        <v>0.981355875767203</v>
      </c>
      <c r="D205" s="51" t="n">
        <f aca="false">1+IF($G$8=$E$8,$F$8,IF(R205&lt;($F$8-$E$8)/($G$8-$E$8),$E$8+SQRT(R205*($G$8-$E$8)*($F$8-$E$8)),$G$8-SQRT((1-R205)*($G$8-$E$8)*($G$8-$F$8))))</f>
        <v>0.985870796234632</v>
      </c>
      <c r="E205" s="51" t="n">
        <f aca="false">1+IF($G$9=$E$9,$F$9,IF(S205&lt;($F$9-$E$9)/($G$9-$E$9),$E$9+SQRT(S205*($G$9-$E$9)*($F$9-$E$9)),$G$9-SQRT((1-S205)*($G$9-$E$9)*($G$9-$F$9))))</f>
        <v>1.03843879939513</v>
      </c>
      <c r="F205" s="51" t="n">
        <f aca="false">1+IF($G$10=$E$10,$F$10,IF(T205&lt;($F$10-$E$10)/($G$10-$E$10),$E$10+SQRT(T205*($G$10-$E$10)*($F$10-$E$10)),$G$10-SQRT((1-T205)*($G$10-$E$10)*($G$10-$F$10))))</f>
        <v>1.08387475438142</v>
      </c>
      <c r="G205" s="52" t="n">
        <f aca="false">IF($G$11=$E$11,$F$11,IF(U205&lt;($F$11-$E$11)/($G$11-$E$11),$E$11+SQRT(U205*($G$11-$E$11)*($F$11-$E$11)),$G$11-SQRT((1-U205)*($G$11-$E$11)*($G$11-$F$11))))</f>
        <v>0.0996463070060897</v>
      </c>
      <c r="H205" s="53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-2167749508.76285</v>
      </c>
      <c r="I205" s="53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-35358935.0752474</v>
      </c>
      <c r="J205" s="53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233712093.705462</v>
      </c>
      <c r="K205" s="53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556976860.205243</v>
      </c>
      <c r="L205" s="53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678918197.228032</v>
      </c>
      <c r="M205" s="53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856298664.7554</v>
      </c>
      <c r="N205" s="53" t="n">
        <f aca="false">IF(COUNT('Business Case'!B11:G11)=0,"",H205+NPV(G205,I205:M205))</f>
        <v>-590903821.064868</v>
      </c>
      <c r="P205" s="54" t="n">
        <f aca="true">RAND()</f>
        <v>0.0995721325661001</v>
      </c>
      <c r="Q205" s="54" t="n">
        <f aca="true">RAND()</f>
        <v>0.469856481075561</v>
      </c>
      <c r="R205" s="54" t="n">
        <f aca="true">RAND()</f>
        <v>0.197956003462538</v>
      </c>
      <c r="S205" s="54" t="n">
        <f aca="true">RAND()</f>
        <v>0.74734790533911</v>
      </c>
      <c r="T205" s="54" t="n">
        <f aca="true">RAND()</f>
        <v>0.730298546600502</v>
      </c>
      <c r="U205" s="54" t="n">
        <f aca="true">RAND()</f>
        <v>0.310170796185783</v>
      </c>
    </row>
    <row r="206" customFormat="false" ht="15" hidden="false" customHeight="false" outlineLevel="0" collapsed="false">
      <c r="A206" s="50" t="n">
        <v>126</v>
      </c>
      <c r="B206" s="51" t="n">
        <f aca="false">1+IF($G$6=$E$6,$F$6,IF(P206&lt;($F$6-$E$6)/($G$6-$E$6),$E$6+SQRT(P206*($G$6-$E$6)*($F$6-$E$6)),$G$6-SQRT((1-P206)*($G$6-$E$6)*($G$6-$F$6))))</f>
        <v>0.999459449483201</v>
      </c>
      <c r="C206" s="51" t="n">
        <f aca="false">1+IF($G$7=$E$7,$F$7,IF(Q206&lt;($F$7-$E$7)/($G$7-$E$7),$E$7+SQRT(Q206*($G$7-$E$7)*($F$7-$E$7)),$G$7-SQRT((1-Q206)*($G$7-$E$7)*($G$7-$F$7))))</f>
        <v>0.960941237231717</v>
      </c>
      <c r="D206" s="51" t="n">
        <f aca="false">1+IF($G$8=$E$8,$F$8,IF(R206&lt;($F$8-$E$8)/($G$8-$E$8),$E$8+SQRT(R206*($G$8-$E$8)*($F$8-$E$8)),$G$8-SQRT((1-R206)*($G$8-$E$8)*($G$8-$F$8))))</f>
        <v>1.00063593715722</v>
      </c>
      <c r="E206" s="51" t="n">
        <f aca="false">1+IF($G$9=$E$9,$F$9,IF(S206&lt;($F$9-$E$9)/($G$9-$E$9),$E$9+SQRT(S206*($G$9-$E$9)*($F$9-$E$9)),$G$9-SQRT((1-S206)*($G$9-$E$9)*($G$9-$F$9))))</f>
        <v>1.04351356183459</v>
      </c>
      <c r="F206" s="51" t="n">
        <f aca="false">1+IF($G$10=$E$10,$F$10,IF(T206&lt;($F$10-$E$10)/($G$10-$E$10),$E$10+SQRT(T206*($G$10-$E$10)*($F$10-$E$10)),$G$10-SQRT((1-T206)*($G$10-$E$10)*($G$10-$F$10))))</f>
        <v>1.03614697019957</v>
      </c>
      <c r="G206" s="52" t="n">
        <f aca="false">IF($G$11=$E$11,$F$11,IF(U206&lt;($F$11-$E$11)/($G$11-$E$11),$E$11+SQRT(U206*($G$11-$E$11)*($F$11-$E$11)),$G$11-SQRT((1-U206)*($G$11-$E$11)*($G$11-$F$11))))</f>
        <v>0.107635403179799</v>
      </c>
      <c r="H206" s="53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-2072293940.39913</v>
      </c>
      <c r="I206" s="53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-7373858.66811784</v>
      </c>
      <c r="J206" s="53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287042874.285972</v>
      </c>
      <c r="K206" s="53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633266955.75004</v>
      </c>
      <c r="L206" s="53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764598044.140985</v>
      </c>
      <c r="M206" s="53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947155019.875351</v>
      </c>
      <c r="N206" s="53" t="n">
        <f aca="false">IF(COUNT('Business Case'!B11:G11)=0,"",H206+NPV(G206,I206:M206))</f>
        <v>-302878857.290791</v>
      </c>
      <c r="P206" s="54" t="n">
        <f aca="true">RAND()</f>
        <v>0.657687928351394</v>
      </c>
      <c r="Q206" s="54" t="n">
        <f aca="true">RAND()</f>
        <v>0.370029740595368</v>
      </c>
      <c r="R206" s="54" t="n">
        <f aca="true">RAND()</f>
        <v>0.394360147027692</v>
      </c>
      <c r="S206" s="54" t="n">
        <f aca="true">RAND()</f>
        <v>0.787285486892343</v>
      </c>
      <c r="T206" s="54" t="n">
        <f aca="true">RAND()</f>
        <v>0.463043692504356</v>
      </c>
      <c r="U206" s="54" t="n">
        <f aca="true">RAND()</f>
        <v>0.745194575789784</v>
      </c>
    </row>
    <row r="207" customFormat="false" ht="15" hidden="false" customHeight="false" outlineLevel="0" collapsed="false">
      <c r="A207" s="50" t="n">
        <v>127</v>
      </c>
      <c r="B207" s="51" t="n">
        <f aca="false">1+IF($G$6=$E$6,$F$6,IF(P207&lt;($F$6-$E$6)/($G$6-$E$6),$E$6+SQRT(P207*($G$6-$E$6)*($F$6-$E$6)),$G$6-SQRT((1-P207)*($G$6-$E$6)*($G$6-$F$6))))</f>
        <v>0.961086701695496</v>
      </c>
      <c r="C207" s="51" t="n">
        <f aca="false">1+IF($G$7=$E$7,$F$7,IF(Q207&lt;($F$7-$E$7)/($G$7-$E$7),$E$7+SQRT(Q207*($G$7-$E$7)*($F$7-$E$7)),$G$7-SQRT((1-Q207)*($G$7-$E$7)*($G$7-$F$7))))</f>
        <v>0.919232166772941</v>
      </c>
      <c r="D207" s="51" t="n">
        <f aca="false">1+IF($G$8=$E$8,$F$8,IF(R207&lt;($F$8-$E$8)/($G$8-$E$8),$E$8+SQRT(R207*($G$8-$E$8)*($F$8-$E$8)),$G$8-SQRT((1-R207)*($G$8-$E$8)*($G$8-$F$8))))</f>
        <v>0.96992346209563</v>
      </c>
      <c r="E207" s="51" t="n">
        <f aca="false">1+IF($G$9=$E$9,$F$9,IF(S207&lt;($F$9-$E$9)/($G$9-$E$9),$E$9+SQRT(S207*($G$9-$E$9)*($F$9-$E$9)),$G$9-SQRT((1-S207)*($G$9-$E$9)*($G$9-$F$9))))</f>
        <v>1.01769854029295</v>
      </c>
      <c r="F207" s="51" t="n">
        <f aca="false">1+IF($G$10=$E$10,$F$10,IF(T207&lt;($F$10-$E$10)/($G$10-$E$10),$E$10+SQRT(T207*($G$10-$E$10)*($F$10-$E$10)),$G$10-SQRT((1-T207)*($G$10-$E$10)*($G$10-$F$10))))</f>
        <v>1.08828044071975</v>
      </c>
      <c r="G207" s="52" t="n">
        <f aca="false">IF($G$11=$E$11,$F$11,IF(U207&lt;($F$11-$E$11)/($G$11-$E$11),$E$11+SQRT(U207*($G$11-$E$11)*($F$11-$E$11)),$G$11-SQRT((1-U207)*($G$11-$E$11)*($G$11-$F$11))))</f>
        <v>0.10554286908159</v>
      </c>
      <c r="H207" s="53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-2176560881.43951</v>
      </c>
      <c r="I207" s="53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-32144718.3212874</v>
      </c>
      <c r="J207" s="53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235054000.15458</v>
      </c>
      <c r="K207" s="53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556666740.666435</v>
      </c>
      <c r="L207" s="53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676265420.355406</v>
      </c>
      <c r="M207" s="53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844193841.438986</v>
      </c>
      <c r="N207" s="53" t="n">
        <f aca="false">IF(COUNT('Business Case'!B11:G11)=0,"",H207+NPV(G207,I207:M207))</f>
        <v>-637474397.762357</v>
      </c>
      <c r="P207" s="54" t="n">
        <f aca="true">RAND()</f>
        <v>0.175845526689025</v>
      </c>
      <c r="Q207" s="54" t="n">
        <f aca="true">RAND()</f>
        <v>0.203090137048149</v>
      </c>
      <c r="R207" s="54" t="n">
        <f aca="true">RAND()</f>
        <v>0.0610683602886133</v>
      </c>
      <c r="S207" s="54" t="n">
        <f aca="true">RAND()</f>
        <v>0.548431315339265</v>
      </c>
      <c r="T207" s="54" t="n">
        <f aca="true">RAND()</f>
        <v>0.750374801484555</v>
      </c>
      <c r="U207" s="54" t="n">
        <f aca="true">RAND()</f>
        <v>0.651652276013263</v>
      </c>
    </row>
    <row r="208" customFormat="false" ht="15" hidden="false" customHeight="false" outlineLevel="0" collapsed="false">
      <c r="A208" s="50" t="n">
        <v>128</v>
      </c>
      <c r="B208" s="51" t="n">
        <f aca="false">1+IF($G$6=$E$6,$F$6,IF(P208&lt;($F$6-$E$6)/($G$6-$E$6),$E$6+SQRT(P208*($G$6-$E$6)*($F$6-$E$6)),$G$6-SQRT((1-P208)*($G$6-$E$6)*($G$6-$F$6))))</f>
        <v>1.0189572206355</v>
      </c>
      <c r="C208" s="51" t="n">
        <f aca="false">1+IF($G$7=$E$7,$F$7,IF(Q208&lt;($F$7-$E$7)/($G$7-$E$7),$E$7+SQRT(Q208*($G$7-$E$7)*($F$7-$E$7)),$G$7-SQRT((1-Q208)*($G$7-$E$7)*($G$7-$F$7))))</f>
        <v>0.879504813459849</v>
      </c>
      <c r="D208" s="51" t="n">
        <f aca="false">1+IF($G$8=$E$8,$F$8,IF(R208&lt;($F$8-$E$8)/($G$8-$E$8),$E$8+SQRT(R208*($G$8-$E$8)*($F$8-$E$8)),$G$8-SQRT((1-R208)*($G$8-$E$8)*($G$8-$F$8))))</f>
        <v>0.998351147338179</v>
      </c>
      <c r="E208" s="51" t="n">
        <f aca="false">1+IF($G$9=$E$9,$F$9,IF(S208&lt;($F$9-$E$9)/($G$9-$E$9),$E$9+SQRT(S208*($G$9-$E$9)*($F$9-$E$9)),$G$9-SQRT((1-S208)*($G$9-$E$9)*($G$9-$F$9))))</f>
        <v>1.01216512791166</v>
      </c>
      <c r="F208" s="51" t="n">
        <f aca="false">1+IF($G$10=$E$10,$F$10,IF(T208&lt;($F$10-$E$10)/($G$10-$E$10),$E$10+SQRT(T208*($G$10-$E$10)*($F$10-$E$10)),$G$10-SQRT((1-T208)*($G$10-$E$10)*($G$10-$F$10))))</f>
        <v>1.06309870611152</v>
      </c>
      <c r="G208" s="52" t="n">
        <f aca="false">IF($G$11=$E$11,$F$11,IF(U208&lt;($F$11-$E$11)/($G$11-$E$11),$E$11+SQRT(U208*($G$11-$E$11)*($F$11-$E$11)),$G$11-SQRT((1-U208)*($G$11-$E$11)*($G$11-$F$11))))</f>
        <v>0.100464509228161</v>
      </c>
      <c r="H208" s="53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-2126197412.22303</v>
      </c>
      <c r="I208" s="53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-12157212.204496</v>
      </c>
      <c r="J208" s="53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272383183.519803</v>
      </c>
      <c r="K208" s="53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610078514.549678</v>
      </c>
      <c r="L208" s="53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735897217.210181</v>
      </c>
      <c r="M208" s="53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906242689.681733</v>
      </c>
      <c r="N208" s="53" t="n">
        <f aca="false">IF(COUNT('Business Case'!B11:G11)=0,"",H208+NPV(G208,I208:M208))</f>
        <v>-391245442.048603</v>
      </c>
      <c r="P208" s="54" t="n">
        <f aca="true">RAND()</f>
        <v>0.907750299295159</v>
      </c>
      <c r="Q208" s="54" t="n">
        <f aca="true">RAND()</f>
        <v>0.0903002194755049</v>
      </c>
      <c r="R208" s="54" t="n">
        <f aca="true">RAND()</f>
        <v>0.359666684448974</v>
      </c>
      <c r="S208" s="54" t="n">
        <f aca="true">RAND()</f>
        <v>0.48566901634836</v>
      </c>
      <c r="T208" s="54" t="n">
        <f aca="true">RAND()</f>
        <v>0.62516071463318</v>
      </c>
      <c r="U208" s="54" t="n">
        <f aca="true">RAND()</f>
        <v>0.363941000505659</v>
      </c>
    </row>
    <row r="209" customFormat="false" ht="15" hidden="false" customHeight="false" outlineLevel="0" collapsed="false">
      <c r="A209" s="50" t="n">
        <v>129</v>
      </c>
      <c r="B209" s="51" t="n">
        <f aca="false">1+IF($G$6=$E$6,$F$6,IF(P209&lt;($F$6-$E$6)/($G$6-$E$6),$E$6+SQRT(P209*($G$6-$E$6)*($F$6-$E$6)),$G$6-SQRT((1-P209)*($G$6-$E$6)*($G$6-$F$6))))</f>
        <v>1.00125671858133</v>
      </c>
      <c r="C209" s="51" t="n">
        <f aca="false">1+IF($G$7=$E$7,$F$7,IF(Q209&lt;($F$7-$E$7)/($G$7-$E$7),$E$7+SQRT(Q209*($G$7-$E$7)*($F$7-$E$7)),$G$7-SQRT((1-Q209)*($G$7-$E$7)*($G$7-$F$7))))</f>
        <v>1.0137632157683</v>
      </c>
      <c r="D209" s="51" t="n">
        <f aca="false">1+IF($G$8=$E$8,$F$8,IF(R209&lt;($F$8-$E$8)/($G$8-$E$8),$E$8+SQRT(R209*($G$8-$E$8)*($F$8-$E$8)),$G$8-SQRT((1-R209)*($G$8-$E$8)*($G$8-$F$8))))</f>
        <v>0.992097330335961</v>
      </c>
      <c r="E209" s="51" t="n">
        <f aca="false">1+IF($G$9=$E$9,$F$9,IF(S209&lt;($F$9-$E$9)/($G$9-$E$9),$E$9+SQRT(S209*($G$9-$E$9)*($F$9-$E$9)),$G$9-SQRT((1-S209)*($G$9-$E$9)*($G$9-$F$9))))</f>
        <v>0.996718025853834</v>
      </c>
      <c r="F209" s="51" t="n">
        <f aca="false">1+IF($G$10=$E$10,$F$10,IF(T209&lt;($F$10-$E$10)/($G$10-$E$10),$E$10+SQRT(T209*($G$10-$E$10)*($F$10-$E$10)),$G$10-SQRT((1-T209)*($G$10-$E$10)*($G$10-$F$10))))</f>
        <v>1.06673862505573</v>
      </c>
      <c r="G209" s="52" t="n">
        <f aca="false">IF($G$11=$E$11,$F$11,IF(U209&lt;($F$11-$E$11)/($G$11-$E$11),$E$11+SQRT(U209*($G$11-$E$11)*($F$11-$E$11)),$G$11-SQRT((1-U209)*($G$11-$E$11)*($G$11-$F$11))))</f>
        <v>0.0983601572378098</v>
      </c>
      <c r="H209" s="53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-2133477250.11147</v>
      </c>
      <c r="I209" s="53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15497427.713444</v>
      </c>
      <c r="J209" s="53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332021551.255551</v>
      </c>
      <c r="K209" s="53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701882606.050443</v>
      </c>
      <c r="L209" s="53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842470333.928928</v>
      </c>
      <c r="M209" s="53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1035408610.76673</v>
      </c>
      <c r="N209" s="53" t="n">
        <f aca="false">IF(COUNT('Business Case'!B11:G11)=0,"",H209+NPV(G209,I209:M209))</f>
        <v>-87865900.1068714</v>
      </c>
      <c r="P209" s="54" t="n">
        <f aca="true">RAND()</f>
        <v>0.68728294685702</v>
      </c>
      <c r="Q209" s="54" t="n">
        <f aca="true">RAND()</f>
        <v>0.646467402327707</v>
      </c>
      <c r="R209" s="54" t="n">
        <f aca="true">RAND()</f>
        <v>0.2726438802177</v>
      </c>
      <c r="S209" s="54" t="n">
        <f aca="true">RAND()</f>
        <v>0.291009858623932</v>
      </c>
      <c r="T209" s="54" t="n">
        <f aca="true">RAND()</f>
        <v>0.644828118959267</v>
      </c>
      <c r="U209" s="54" t="n">
        <f aca="true">RAND()</f>
        <v>0.232974096803011</v>
      </c>
    </row>
    <row r="210" customFormat="false" ht="15" hidden="false" customHeight="false" outlineLevel="0" collapsed="false">
      <c r="A210" s="50" t="n">
        <v>130</v>
      </c>
      <c r="B210" s="51" t="n">
        <f aca="false">1+IF($G$6=$E$6,$F$6,IF(P210&lt;($F$6-$E$6)/($G$6-$E$6),$E$6+SQRT(P210*($G$6-$E$6)*($F$6-$E$6)),$G$6-SQRT((1-P210)*($G$6-$E$6)*($G$6-$F$6))))</f>
        <v>0.998588862865796</v>
      </c>
      <c r="C210" s="51" t="n">
        <f aca="false">1+IF($G$7=$E$7,$F$7,IF(Q210&lt;($F$7-$E$7)/($G$7-$E$7),$E$7+SQRT(Q210*($G$7-$E$7)*($F$7-$E$7)),$G$7-SQRT((1-Q210)*($G$7-$E$7)*($G$7-$F$7))))</f>
        <v>0.97309460620799</v>
      </c>
      <c r="D210" s="51" t="n">
        <f aca="false">1+IF($G$8=$E$8,$F$8,IF(R210&lt;($F$8-$E$8)/($G$8-$E$8),$E$8+SQRT(R210*($G$8-$E$8)*($F$8-$E$8)),$G$8-SQRT((1-R210)*($G$8-$E$8)*($G$8-$F$8))))</f>
        <v>0.993284333909165</v>
      </c>
      <c r="E210" s="51" t="n">
        <f aca="false">1+IF($G$9=$E$9,$F$9,IF(S210&lt;($F$9-$E$9)/($G$9-$E$9),$E$9+SQRT(S210*($G$9-$E$9)*($F$9-$E$9)),$G$9-SQRT((1-S210)*($G$9-$E$9)*($G$9-$F$9))))</f>
        <v>1.07067400682058</v>
      </c>
      <c r="F210" s="51" t="n">
        <f aca="false">1+IF($G$10=$E$10,$F$10,IF(T210&lt;($F$10-$E$10)/($G$10-$E$10),$E$10+SQRT(T210*($G$10-$E$10)*($F$10-$E$10)),$G$10-SQRT((1-T210)*($G$10-$E$10)*($G$10-$F$10))))</f>
        <v>1.00478976084545</v>
      </c>
      <c r="G210" s="52" t="n">
        <f aca="false">IF($G$11=$E$11,$F$11,IF(U210&lt;($F$11-$E$11)/($G$11-$E$11),$E$11+SQRT(U210*($G$11-$E$11)*($F$11-$E$11)),$G$11-SQRT((1-U210)*($G$11-$E$11)*($G$11-$F$11))))</f>
        <v>0.095453504595793</v>
      </c>
      <c r="H210" s="53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-2009579521.6909</v>
      </c>
      <c r="I210" s="53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-1994243.50082588</v>
      </c>
      <c r="J210" s="53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299114372.109228</v>
      </c>
      <c r="K210" s="53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650462475.761555</v>
      </c>
      <c r="L210" s="53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784414707.135871</v>
      </c>
      <c r="M210" s="53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969119517.742848</v>
      </c>
      <c r="N210" s="53" t="n">
        <f aca="false">IF(COUNT('Business Case'!B11:G11)=0,"",H210+NPV(G210,I210:M210))</f>
        <v>-108275581.505199</v>
      </c>
      <c r="P210" s="54" t="n">
        <f aca="true">RAND()</f>
        <v>0.643355142347805</v>
      </c>
      <c r="Q210" s="54" t="n">
        <f aca="true">RAND()</f>
        <v>0.428024895689989</v>
      </c>
      <c r="R210" s="54" t="n">
        <f aca="true">RAND()</f>
        <v>0.288235932609249</v>
      </c>
      <c r="S210" s="54" t="n">
        <f aca="true">RAND()</f>
        <v>0.942665741602708</v>
      </c>
      <c r="T210" s="54" t="n">
        <f aca="true">RAND()</f>
        <v>0.237859250584473</v>
      </c>
      <c r="U210" s="54" t="n">
        <f aca="true">RAND()</f>
        <v>0.0991357079211171</v>
      </c>
    </row>
    <row r="211" customFormat="false" ht="15" hidden="false" customHeight="false" outlineLevel="0" collapsed="false">
      <c r="A211" s="50" t="n">
        <v>131</v>
      </c>
      <c r="B211" s="51" t="n">
        <f aca="false">1+IF($G$6=$E$6,$F$6,IF(P211&lt;($F$6-$E$6)/($G$6-$E$6),$E$6+SQRT(P211*($G$6-$E$6)*($F$6-$E$6)),$G$6-SQRT((1-P211)*($G$6-$E$6)*($G$6-$F$6))))</f>
        <v>0.973146043407457</v>
      </c>
      <c r="C211" s="51" t="n">
        <f aca="false">1+IF($G$7=$E$7,$F$7,IF(Q211&lt;($F$7-$E$7)/($G$7-$E$7),$E$7+SQRT(Q211*($G$7-$E$7)*($F$7-$E$7)),$G$7-SQRT((1-Q211)*($G$7-$E$7)*($G$7-$F$7))))</f>
        <v>1.0769146069237</v>
      </c>
      <c r="D211" s="51" t="n">
        <f aca="false">1+IF($G$8=$E$8,$F$8,IF(R211&lt;($F$8-$E$8)/($G$8-$E$8),$E$8+SQRT(R211*($G$8-$E$8)*($F$8-$E$8)),$G$8-SQRT((1-R211)*($G$8-$E$8)*($G$8-$F$8))))</f>
        <v>0.994813136109628</v>
      </c>
      <c r="E211" s="51" t="n">
        <f aca="false">1+IF($G$9=$E$9,$F$9,IF(S211&lt;($F$9-$E$9)/($G$9-$E$9),$E$9+SQRT(S211*($G$9-$E$9)*($F$9-$E$9)),$G$9-SQRT((1-S211)*($G$9-$E$9)*($G$9-$F$9))))</f>
        <v>1.00342838753414</v>
      </c>
      <c r="F211" s="51" t="n">
        <f aca="false">1+IF($G$10=$E$10,$F$10,IF(T211&lt;($F$10-$E$10)/($G$10-$E$10),$E$10+SQRT(T211*($G$10-$E$10)*($F$10-$E$10)),$G$10-SQRT((1-T211)*($G$10-$E$10)*($G$10-$F$10))))</f>
        <v>0.997376487080042</v>
      </c>
      <c r="G211" s="52" t="n">
        <f aca="false">IF($G$11=$E$11,$F$11,IF(U211&lt;($F$11-$E$11)/($G$11-$E$11),$E$11+SQRT(U211*($G$11-$E$11)*($F$11-$E$11)),$G$11-SQRT((1-U211)*($G$11-$E$11)*($G$11-$F$11))))</f>
        <v>0.0954009497696343</v>
      </c>
      <c r="H211" s="53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-1994752974.16008</v>
      </c>
      <c r="I211" s="53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13195641.3064776</v>
      </c>
      <c r="J211" s="53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323144518.61651</v>
      </c>
      <c r="K211" s="53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682962220.280545</v>
      </c>
      <c r="L211" s="53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822497226.442687</v>
      </c>
      <c r="M211" s="53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1021700151.93274</v>
      </c>
      <c r="N211" s="53" t="n">
        <f aca="false">IF(COUNT('Business Case'!B11:G11)=0,"",H211+NPV(G211,I211:M211))</f>
        <v>25308084.8598423</v>
      </c>
      <c r="P211" s="54" t="n">
        <f aca="true">RAND()</f>
        <v>0.294218951027845</v>
      </c>
      <c r="Q211" s="54" t="n">
        <f aca="true">RAND()</f>
        <v>0.898257625121588</v>
      </c>
      <c r="R211" s="54" t="n">
        <f aca="true">RAND()</f>
        <v>0.308956487381549</v>
      </c>
      <c r="S211" s="54" t="n">
        <f aca="true">RAND()</f>
        <v>0.378261577716279</v>
      </c>
      <c r="T211" s="54" t="n">
        <f aca="true">RAND()</f>
        <v>0.179562522243634</v>
      </c>
      <c r="U211" s="54" t="n">
        <f aca="true">RAND()</f>
        <v>0.0972341947137107</v>
      </c>
    </row>
    <row r="212" customFormat="false" ht="15" hidden="false" customHeight="false" outlineLevel="0" collapsed="false">
      <c r="A212" s="50" t="n">
        <v>132</v>
      </c>
      <c r="B212" s="51" t="n">
        <f aca="false">1+IF($G$6=$E$6,$F$6,IF(P212&lt;($F$6-$E$6)/($G$6-$E$6),$E$6+SQRT(P212*($G$6-$E$6)*($F$6-$E$6)),$G$6-SQRT((1-P212)*($G$6-$E$6)*($G$6-$F$6))))</f>
        <v>0.949052085547138</v>
      </c>
      <c r="C212" s="51" t="n">
        <f aca="false">1+IF($G$7=$E$7,$F$7,IF(Q212&lt;($F$7-$E$7)/($G$7-$E$7),$E$7+SQRT(Q212*($G$7-$E$7)*($F$7-$E$7)),$G$7-SQRT((1-Q212)*($G$7-$E$7)*($G$7-$F$7))))</f>
        <v>1.00930759449411</v>
      </c>
      <c r="D212" s="51" t="n">
        <f aca="false">1+IF($G$8=$E$8,$F$8,IF(R212&lt;($F$8-$E$8)/($G$8-$E$8),$E$8+SQRT(R212*($G$8-$E$8)*($F$8-$E$8)),$G$8-SQRT((1-R212)*($G$8-$E$8)*($G$8-$F$8))))</f>
        <v>1.01492512275686</v>
      </c>
      <c r="E212" s="51" t="n">
        <f aca="false">1+IF($G$9=$E$9,$F$9,IF(S212&lt;($F$9-$E$9)/($G$9-$E$9),$E$9+SQRT(S212*($G$9-$E$9)*($F$9-$E$9)),$G$9-SQRT((1-S212)*($G$9-$E$9)*($G$9-$F$9))))</f>
        <v>1.05059522407431</v>
      </c>
      <c r="F212" s="51" t="n">
        <f aca="false">1+IF($G$10=$E$10,$F$10,IF(T212&lt;($F$10-$E$10)/($G$10-$E$10),$E$10+SQRT(T212*($G$10-$E$10)*($F$10-$E$10)),$G$10-SQRT((1-T212)*($G$10-$E$10)*($G$10-$F$10))))</f>
        <v>1.00662612637913</v>
      </c>
      <c r="G212" s="52" t="n">
        <f aca="false">IF($G$11=$E$11,$F$11,IF(U212&lt;($F$11-$E$11)/($G$11-$E$11),$E$11+SQRT(U212*($G$11-$E$11)*($F$11-$E$11)),$G$11-SQRT((1-U212)*($G$11-$E$11)*($G$11-$F$11))))</f>
        <v>0.102260900345442</v>
      </c>
      <c r="H212" s="53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-2013252252.75825</v>
      </c>
      <c r="I212" s="53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-39533189.8187123</v>
      </c>
      <c r="J212" s="53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220647657.018139</v>
      </c>
      <c r="K212" s="53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531159810.173947</v>
      </c>
      <c r="L212" s="53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650991281.222421</v>
      </c>
      <c r="M212" s="53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833066152.788129</v>
      </c>
      <c r="N212" s="53" t="n">
        <f aca="false">IF(COUNT('Business Case'!B11:G11)=0,"",H212+NPV(G212,I212:M212))</f>
        <v>-517909806.6958</v>
      </c>
      <c r="P212" s="54" t="n">
        <f aca="true">RAND()</f>
        <v>0.0879191327748138</v>
      </c>
      <c r="Q212" s="54" t="n">
        <f aca="true">RAND()</f>
        <v>0.622964705389808</v>
      </c>
      <c r="R212" s="54" t="n">
        <f aca="true">RAND()</f>
        <v>0.592813495364424</v>
      </c>
      <c r="S212" s="54" t="n">
        <f aca="true">RAND()</f>
        <v>0.837277874382181</v>
      </c>
      <c r="T212" s="54" t="n">
        <f aca="true">RAND()</f>
        <v>0.252130900017165</v>
      </c>
      <c r="U212" s="54" t="n">
        <f aca="true">RAND()</f>
        <v>0.475540572409415</v>
      </c>
    </row>
    <row r="213" customFormat="false" ht="15" hidden="false" customHeight="false" outlineLevel="0" collapsed="false">
      <c r="A213" s="50" t="n">
        <v>133</v>
      </c>
      <c r="B213" s="51" t="n">
        <f aca="false">1+IF($G$6=$E$6,$F$6,IF(P213&lt;($F$6-$E$6)/($G$6-$E$6),$E$6+SQRT(P213*($G$6-$E$6)*($F$6-$E$6)),$G$6-SQRT((1-P213)*($G$6-$E$6)*($G$6-$F$6))))</f>
        <v>1.02457640327256</v>
      </c>
      <c r="C213" s="51" t="n">
        <f aca="false">1+IF($G$7=$E$7,$F$7,IF(Q213&lt;($F$7-$E$7)/($G$7-$E$7),$E$7+SQRT(Q213*($G$7-$E$7)*($F$7-$E$7)),$G$7-SQRT((1-Q213)*($G$7-$E$7)*($G$7-$F$7))))</f>
        <v>0.965470240706876</v>
      </c>
      <c r="D213" s="51" t="n">
        <f aca="false">1+IF($G$8=$E$8,$F$8,IF(R213&lt;($F$8-$E$8)/($G$8-$E$8),$E$8+SQRT(R213*($G$8-$E$8)*($F$8-$E$8)),$G$8-SQRT((1-R213)*($G$8-$E$8)*($G$8-$F$8))))</f>
        <v>1.00146058340609</v>
      </c>
      <c r="E213" s="51" t="n">
        <f aca="false">1+IF($G$9=$E$9,$F$9,IF(S213&lt;($F$9-$E$9)/($G$9-$E$9),$E$9+SQRT(S213*($G$9-$E$9)*($F$9-$E$9)),$G$9-SQRT((1-S213)*($G$9-$E$9)*($G$9-$F$9))))</f>
        <v>0.971898670383067</v>
      </c>
      <c r="F213" s="51" t="n">
        <f aca="false">1+IF($G$10=$E$10,$F$10,IF(T213&lt;($F$10-$E$10)/($G$10-$E$10),$E$10+SQRT(T213*($G$10-$E$10)*($F$10-$E$10)),$G$10-SQRT((1-T213)*($G$10-$E$10)*($G$10-$F$10))))</f>
        <v>1.05258527967733</v>
      </c>
      <c r="G213" s="52" t="n">
        <f aca="false">IF($G$11=$E$11,$F$11,IF(U213&lt;($F$11-$E$11)/($G$11-$E$11),$E$11+SQRT(U213*($G$11-$E$11)*($F$11-$E$11)),$G$11-SQRT((1-U213)*($G$11-$E$11)*($G$11-$F$11))))</f>
        <v>0.111799302816158</v>
      </c>
      <c r="H213" s="53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-2105170559.35466</v>
      </c>
      <c r="I213" s="53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20516452.0025747</v>
      </c>
      <c r="J213" s="53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335775448.604972</v>
      </c>
      <c r="K213" s="53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703663709.191235</v>
      </c>
      <c r="L213" s="53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842936725.194446</v>
      </c>
      <c r="M213" s="53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1030963486.10771</v>
      </c>
      <c r="N213" s="53" t="n">
        <f aca="false">IF(COUNT('Business Case'!B11:G11)=0,"",H213+NPV(G213,I213:M213))</f>
        <v>-144482238.992477</v>
      </c>
      <c r="P213" s="54" t="n">
        <f aca="true">RAND()</f>
        <v>0.950440138331123</v>
      </c>
      <c r="Q213" s="54" t="n">
        <f aca="true">RAND()</f>
        <v>0.391148579422733</v>
      </c>
      <c r="R213" s="54" t="n">
        <f aca="true">RAND()</f>
        <v>0.406880773181522</v>
      </c>
      <c r="S213" s="54" t="n">
        <f aca="true">RAND()</f>
        <v>0.0639402352728316</v>
      </c>
      <c r="T213" s="54" t="n">
        <f aca="true">RAND()</f>
        <v>0.565378004643776</v>
      </c>
      <c r="U213" s="54" t="n">
        <f aca="true">RAND()</f>
        <v>0.88791427616487</v>
      </c>
    </row>
    <row r="214" customFormat="false" ht="15" hidden="false" customHeight="false" outlineLevel="0" collapsed="false">
      <c r="A214" s="50" t="n">
        <v>134</v>
      </c>
      <c r="B214" s="51" t="n">
        <f aca="false">1+IF($G$6=$E$6,$F$6,IF(P214&lt;($F$6-$E$6)/($G$6-$E$6),$E$6+SQRT(P214*($G$6-$E$6)*($F$6-$E$6)),$G$6-SQRT((1-P214)*($G$6-$E$6)*($G$6-$F$6))))</f>
        <v>0.989728065446273</v>
      </c>
      <c r="C214" s="51" t="n">
        <f aca="false">1+IF($G$7=$E$7,$F$7,IF(Q214&lt;($F$7-$E$7)/($G$7-$E$7),$E$7+SQRT(Q214*($G$7-$E$7)*($F$7-$E$7)),$G$7-SQRT((1-Q214)*($G$7-$E$7)*($G$7-$F$7))))</f>
        <v>0.937728295354419</v>
      </c>
      <c r="D214" s="51" t="n">
        <f aca="false">1+IF($G$8=$E$8,$F$8,IF(R214&lt;($F$8-$E$8)/($G$8-$E$8),$E$8+SQRT(R214*($G$8-$E$8)*($F$8-$E$8)),$G$8-SQRT((1-R214)*($G$8-$E$8)*($G$8-$F$8))))</f>
        <v>1.03624503148713</v>
      </c>
      <c r="E214" s="51" t="n">
        <f aca="false">1+IF($G$9=$E$9,$F$9,IF(S214&lt;($F$9-$E$9)/($G$9-$E$9),$E$9+SQRT(S214*($G$9-$E$9)*($F$9-$E$9)),$G$9-SQRT((1-S214)*($G$9-$E$9)*($G$9-$F$9))))</f>
        <v>0.981164759610395</v>
      </c>
      <c r="F214" s="51" t="n">
        <f aca="false">1+IF($G$10=$E$10,$F$10,IF(T214&lt;($F$10-$E$10)/($G$10-$E$10),$E$10+SQRT(T214*($G$10-$E$10)*($F$10-$E$10)),$G$10-SQRT((1-T214)*($G$10-$E$10)*($G$10-$F$10))))</f>
        <v>1.0010686205992</v>
      </c>
      <c r="G214" s="52" t="n">
        <f aca="false">IF($G$11=$E$11,$F$11,IF(U214&lt;($F$11-$E$11)/($G$11-$E$11),$E$11+SQRT(U214*($G$11-$E$11)*($F$11-$E$11)),$G$11-SQRT((1-U214)*($G$11-$E$11)*($G$11-$F$11))))</f>
        <v>0.0949137787749836</v>
      </c>
      <c r="H214" s="53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-2002137241.1984</v>
      </c>
      <c r="I214" s="53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-25004533.2601613</v>
      </c>
      <c r="J214" s="53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237731921.601446</v>
      </c>
      <c r="K214" s="53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550521807.493014</v>
      </c>
      <c r="L214" s="53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670175623.943717</v>
      </c>
      <c r="M214" s="53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846588113.842969</v>
      </c>
      <c r="N214" s="53" t="n">
        <f aca="false">IF(COUNT('Business Case'!B11:G11)=0,"",H214+NPV(G214,I214:M214))</f>
        <v>-402974098.458095</v>
      </c>
      <c r="P214" s="54" t="n">
        <f aca="true">RAND()</f>
        <v>0.506458657383307</v>
      </c>
      <c r="Q214" s="54" t="n">
        <f aca="true">RAND()</f>
        <v>0.270986904874773</v>
      </c>
      <c r="R214" s="54" t="n">
        <f aca="true">RAND()</f>
        <v>0.815913724080585</v>
      </c>
      <c r="S214" s="54" t="n">
        <f aca="true">RAND()</f>
        <v>0.129498965543158</v>
      </c>
      <c r="T214" s="54" t="n">
        <f aca="true">RAND()</f>
        <v>0.208526125793901</v>
      </c>
      <c r="U214" s="54" t="n">
        <f aca="true">RAND()</f>
        <v>0.0804840728315978</v>
      </c>
    </row>
    <row r="215" customFormat="false" ht="15" hidden="false" customHeight="false" outlineLevel="0" collapsed="false">
      <c r="A215" s="50" t="n">
        <v>135</v>
      </c>
      <c r="B215" s="51" t="n">
        <f aca="false">1+IF($G$6=$E$6,$F$6,IF(P215&lt;($F$6-$E$6)/($G$6-$E$6),$E$6+SQRT(P215*($G$6-$E$6)*($F$6-$E$6)),$G$6-SQRT((1-P215)*($G$6-$E$6)*($G$6-$F$6))))</f>
        <v>1.01328037900944</v>
      </c>
      <c r="C215" s="51" t="n">
        <f aca="false">1+IF($G$7=$E$7,$F$7,IF(Q215&lt;($F$7-$E$7)/($G$7-$E$7),$E$7+SQRT(Q215*($G$7-$E$7)*($F$7-$E$7)),$G$7-SQRT((1-Q215)*($G$7-$E$7)*($G$7-$F$7))))</f>
        <v>0.960820247619765</v>
      </c>
      <c r="D215" s="51" t="n">
        <f aca="false">1+IF($G$8=$E$8,$F$8,IF(R215&lt;($F$8-$E$8)/($G$8-$E$8),$E$8+SQRT(R215*($G$8-$E$8)*($F$8-$E$8)),$G$8-SQRT((1-R215)*($G$8-$E$8)*($G$8-$F$8))))</f>
        <v>0.999340088804906</v>
      </c>
      <c r="E215" s="51" t="n">
        <f aca="false">1+IF($G$9=$E$9,$F$9,IF(S215&lt;($F$9-$E$9)/($G$9-$E$9),$E$9+SQRT(S215*($G$9-$E$9)*($F$9-$E$9)),$G$9-SQRT((1-S215)*($G$9-$E$9)*($G$9-$F$9))))</f>
        <v>0.982286382268533</v>
      </c>
      <c r="F215" s="51" t="n">
        <f aca="false">1+IF($G$10=$E$10,$F$10,IF(T215&lt;($F$10-$E$10)/($G$10-$E$10),$E$10+SQRT(T215*($G$10-$E$10)*($F$10-$E$10)),$G$10-SQRT((1-T215)*($G$10-$E$10)*($G$10-$F$10))))</f>
        <v>1.04236999920647</v>
      </c>
      <c r="G215" s="52" t="n">
        <f aca="false">IF($G$11=$E$11,$F$11,IF(U215&lt;($F$11-$E$11)/($G$11-$E$11),$E$11+SQRT(U215*($G$11-$E$11)*($F$11-$E$11)),$G$11-SQRT((1-U215)*($G$11-$E$11)*($G$11-$F$11))))</f>
        <v>0.113303847206792</v>
      </c>
      <c r="H215" s="53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-2084739998.41294</v>
      </c>
      <c r="I215" s="53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11505325.6372841</v>
      </c>
      <c r="J215" s="53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317399177.747795</v>
      </c>
      <c r="K215" s="53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675411529.818629</v>
      </c>
      <c r="L215" s="53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811023082.51813</v>
      </c>
      <c r="M215" s="53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996081226.829442</v>
      </c>
      <c r="N215" s="53" t="n">
        <f aca="false">IF(COUNT('Business Case'!B11:G11)=0,"",H215+NPV(G215,I215:M215))</f>
        <v>-218513613.909572</v>
      </c>
      <c r="P215" s="54" t="n">
        <f aca="true">RAND()</f>
        <v>0.851262886275186</v>
      </c>
      <c r="Q215" s="54" t="n">
        <f aca="true">RAND()</f>
        <v>0.369473600635466</v>
      </c>
      <c r="R215" s="54" t="n">
        <f aca="true">RAND()</f>
        <v>0.374529902042461</v>
      </c>
      <c r="S215" s="54" t="n">
        <f aca="true">RAND()</f>
        <v>0.138988063998643</v>
      </c>
      <c r="T215" s="54" t="n">
        <f aca="true">RAND()</f>
        <v>0.503055656996634</v>
      </c>
      <c r="U215" s="54" t="n">
        <f aca="true">RAND()</f>
        <v>0.925269229616697</v>
      </c>
    </row>
    <row r="216" customFormat="false" ht="15" hidden="false" customHeight="false" outlineLevel="0" collapsed="false">
      <c r="A216" s="50" t="n">
        <v>136</v>
      </c>
      <c r="B216" s="51" t="n">
        <f aca="false">1+IF($G$6=$E$6,$F$6,IF(P216&lt;($F$6-$E$6)/($G$6-$E$6),$E$6+SQRT(P216*($G$6-$E$6)*($F$6-$E$6)),$G$6-SQRT((1-P216)*($G$6-$E$6)*($G$6-$F$6))))</f>
        <v>1.00565681566228</v>
      </c>
      <c r="C216" s="51" t="n">
        <f aca="false">1+IF($G$7=$E$7,$F$7,IF(Q216&lt;($F$7-$E$7)/($G$7-$E$7),$E$7+SQRT(Q216*($G$7-$E$7)*($F$7-$E$7)),$G$7-SQRT((1-Q216)*($G$7-$E$7)*($G$7-$F$7))))</f>
        <v>0.989433222406983</v>
      </c>
      <c r="D216" s="51" t="n">
        <f aca="false">1+IF($G$8=$E$8,$F$8,IF(R216&lt;($F$8-$E$8)/($G$8-$E$8),$E$8+SQRT(R216*($G$8-$E$8)*($F$8-$E$8)),$G$8-SQRT((1-R216)*($G$8-$E$8)*($G$8-$F$8))))</f>
        <v>1.01047826238221</v>
      </c>
      <c r="E216" s="51" t="n">
        <f aca="false">1+IF($G$9=$E$9,$F$9,IF(S216&lt;($F$9-$E$9)/($G$9-$E$9),$E$9+SQRT(S216*($G$9-$E$9)*($F$9-$E$9)),$G$9-SQRT((1-S216)*($G$9-$E$9)*($G$9-$F$9))))</f>
        <v>1.08156757091843</v>
      </c>
      <c r="F216" s="51" t="n">
        <f aca="false">1+IF($G$10=$E$10,$F$10,IF(T216&lt;($F$10-$E$10)/($G$10-$E$10),$E$10+SQRT(T216*($G$10-$E$10)*($F$10-$E$10)),$G$10-SQRT((1-T216)*($G$10-$E$10)*($G$10-$F$10))))</f>
        <v>1.05414217120662</v>
      </c>
      <c r="G216" s="52" t="n">
        <f aca="false">IF($G$11=$E$11,$F$11,IF(U216&lt;($F$11-$E$11)/($G$11-$E$11),$E$11+SQRT(U216*($G$11-$E$11)*($F$11-$E$11)),$G$11-SQRT((1-U216)*($G$11-$E$11)*($G$11-$F$11))))</f>
        <v>0.0982380031535487</v>
      </c>
      <c r="H216" s="53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-2108284342.41323</v>
      </c>
      <c r="I216" s="53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-7612073.14231285</v>
      </c>
      <c r="J216" s="53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295571348.293762</v>
      </c>
      <c r="K216" s="53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651461878.290168</v>
      </c>
      <c r="L216" s="53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786911264.684276</v>
      </c>
      <c r="M216" s="53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976046617.21907</v>
      </c>
      <c r="N216" s="53" t="n">
        <f aca="false">IF(COUNT('Business Case'!B11:G11)=0,"",H216+NPV(G216,I216:M216))</f>
        <v>-226490686.678782</v>
      </c>
      <c r="P216" s="54" t="n">
        <f aca="true">RAND()</f>
        <v>0.754280351988686</v>
      </c>
      <c r="Q216" s="54" t="n">
        <f aca="true">RAND()</f>
        <v>0.512642082164193</v>
      </c>
      <c r="R216" s="54" t="n">
        <f aca="true">RAND()</f>
        <v>0.53526230755806</v>
      </c>
      <c r="S216" s="54" t="n">
        <f aca="true">RAND()</f>
        <v>0.977349703876852</v>
      </c>
      <c r="T216" s="54" t="n">
        <f aca="true">RAND()</f>
        <v>0.574509875593603</v>
      </c>
      <c r="U216" s="54" t="n">
        <f aca="true">RAND()</f>
        <v>0.226215653192927</v>
      </c>
    </row>
    <row r="217" customFormat="false" ht="15" hidden="false" customHeight="false" outlineLevel="0" collapsed="false">
      <c r="A217" s="50" t="n">
        <v>137</v>
      </c>
      <c r="B217" s="51" t="n">
        <f aca="false">1+IF($G$6=$E$6,$F$6,IF(P217&lt;($F$6-$E$6)/($G$6-$E$6),$E$6+SQRT(P217*($G$6-$E$6)*($F$6-$E$6)),$G$6-SQRT((1-P217)*($G$6-$E$6)*($G$6-$F$6))))</f>
        <v>0.961916551806721</v>
      </c>
      <c r="C217" s="51" t="n">
        <f aca="false">1+IF($G$7=$E$7,$F$7,IF(Q217&lt;($F$7-$E$7)/($G$7-$E$7),$E$7+SQRT(Q217*($G$7-$E$7)*($F$7-$E$7)),$G$7-SQRT((1-Q217)*($G$7-$E$7)*($G$7-$F$7))))</f>
        <v>0.983586782943422</v>
      </c>
      <c r="D217" s="51" t="n">
        <f aca="false">1+IF($G$8=$E$8,$F$8,IF(R217&lt;($F$8-$E$8)/($G$8-$E$8),$E$8+SQRT(R217*($G$8-$E$8)*($F$8-$E$8)),$G$8-SQRT((1-R217)*($G$8-$E$8)*($G$8-$F$8))))</f>
        <v>1.03632939823024</v>
      </c>
      <c r="E217" s="51" t="n">
        <f aca="false">1+IF($G$9=$E$9,$F$9,IF(S217&lt;($F$9-$E$9)/($G$9-$E$9),$E$9+SQRT(S217*($G$9-$E$9)*($F$9-$E$9)),$G$9-SQRT((1-S217)*($G$9-$E$9)*($G$9-$F$9))))</f>
        <v>0.997030664848709</v>
      </c>
      <c r="F217" s="51" t="n">
        <f aca="false">1+IF($G$10=$E$10,$F$10,IF(T217&lt;($F$10-$E$10)/($G$10-$E$10),$E$10+SQRT(T217*($G$10-$E$10)*($F$10-$E$10)),$G$10-SQRT((1-T217)*($G$10-$E$10)*($G$10-$F$10))))</f>
        <v>1.03955027935721</v>
      </c>
      <c r="G217" s="52" t="n">
        <f aca="false">IF($G$11=$E$11,$F$11,IF(U217&lt;($F$11-$E$11)/($G$11-$E$11),$E$11+SQRT(U217*($G$11-$E$11)*($F$11-$E$11)),$G$11-SQRT((1-U217)*($G$11-$E$11)*($G$11-$F$11))))</f>
        <v>0.0981181545407683</v>
      </c>
      <c r="H217" s="53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-2079100558.71441</v>
      </c>
      <c r="I217" s="53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-41643041.4171598</v>
      </c>
      <c r="J217" s="53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211494002.243707</v>
      </c>
      <c r="K217" s="53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516608559.872433</v>
      </c>
      <c r="L217" s="53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633685772.159934</v>
      </c>
      <c r="M217" s="53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813525859.696271</v>
      </c>
      <c r="N217" s="53" t="n">
        <f aca="false">IF(COUNT('Business Case'!B11:G11)=0,"",H217+NPV(G217,I217:M217))</f>
        <v>-606231127.534712</v>
      </c>
      <c r="P217" s="54" t="n">
        <f aca="true">RAND()</f>
        <v>0.183020553683905</v>
      </c>
      <c r="Q217" s="54" t="n">
        <f aca="true">RAND()</f>
        <v>0.481487241021647</v>
      </c>
      <c r="R217" s="54" t="n">
        <f aca="true">RAND()</f>
        <v>0.816622936641024</v>
      </c>
      <c r="S217" s="54" t="n">
        <f aca="true">RAND()</f>
        <v>0.294917791481549</v>
      </c>
      <c r="T217" s="54" t="n">
        <f aca="true">RAND()</f>
        <v>0.485117742912986</v>
      </c>
      <c r="U217" s="54" t="n">
        <f aca="true">RAND()</f>
        <v>0.219681443825991</v>
      </c>
    </row>
    <row r="218" customFormat="false" ht="15" hidden="false" customHeight="false" outlineLevel="0" collapsed="false">
      <c r="A218" s="50" t="n">
        <v>138</v>
      </c>
      <c r="B218" s="51" t="n">
        <f aca="false">1+IF($G$6=$E$6,$F$6,IF(P218&lt;($F$6-$E$6)/($G$6-$E$6),$E$6+SQRT(P218*($G$6-$E$6)*($F$6-$E$6)),$G$6-SQRT((1-P218)*($G$6-$E$6)*($G$6-$F$6))))</f>
        <v>0.975526818983234</v>
      </c>
      <c r="C218" s="51" t="n">
        <f aca="false">1+IF($G$7=$E$7,$F$7,IF(Q218&lt;($F$7-$E$7)/($G$7-$E$7),$E$7+SQRT(Q218*($G$7-$E$7)*($F$7-$E$7)),$G$7-SQRT((1-Q218)*($G$7-$E$7)*($G$7-$F$7))))</f>
        <v>0.948365261389698</v>
      </c>
      <c r="D218" s="51" t="n">
        <f aca="false">1+IF($G$8=$E$8,$F$8,IF(R218&lt;($F$8-$E$8)/($G$8-$E$8),$E$8+SQRT(R218*($G$8-$E$8)*($F$8-$E$8)),$G$8-SQRT((1-R218)*($G$8-$E$8)*($G$8-$F$8))))</f>
        <v>1.0684924712204</v>
      </c>
      <c r="E218" s="51" t="n">
        <f aca="false">1+IF($G$9=$E$9,$F$9,IF(S218&lt;($F$9-$E$9)/($G$9-$E$9),$E$9+SQRT(S218*($G$9-$E$9)*($F$9-$E$9)),$G$9-SQRT((1-S218)*($G$9-$E$9)*($G$9-$F$9))))</f>
        <v>1.02496508758228</v>
      </c>
      <c r="F218" s="51" t="n">
        <f aca="false">1+IF($G$10=$E$10,$F$10,IF(T218&lt;($F$10-$E$10)/($G$10-$E$10),$E$10+SQRT(T218*($G$10-$E$10)*($F$10-$E$10)),$G$10-SQRT((1-T218)*($G$10-$E$10)*($G$10-$F$10))))</f>
        <v>0.995981405061718</v>
      </c>
      <c r="G218" s="52" t="n">
        <f aca="false">IF($G$11=$E$11,$F$11,IF(U218&lt;($F$11-$E$11)/($G$11-$E$11),$E$11+SQRT(U218*($G$11-$E$11)*($F$11-$E$11)),$G$11-SQRT((1-U218)*($G$11-$E$11)*($G$11-$F$11))))</f>
        <v>0.0999061333009024</v>
      </c>
      <c r="H218" s="53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-1991962810.12344</v>
      </c>
      <c r="I218" s="53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-54278441.0160809</v>
      </c>
      <c r="J218" s="53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184751367.835982</v>
      </c>
      <c r="K218" s="53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473580246.94113</v>
      </c>
      <c r="L218" s="53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585230232.496999</v>
      </c>
      <c r="M218" s="53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761083836.825495</v>
      </c>
      <c r="N218" s="53" t="n">
        <f aca="false">IF(COUNT('Business Case'!B11:G11)=0,"",H218+NPV(G218,I218:M218))</f>
        <v>-660067508.250835</v>
      </c>
      <c r="P218" s="54" t="n">
        <f aca="true">RAND()</f>
        <v>0.321169544416333</v>
      </c>
      <c r="Q218" s="54" t="n">
        <f aca="true">RAND()</f>
        <v>0.314460725531907</v>
      </c>
      <c r="R218" s="54" t="n">
        <f aca="true">RAND()</f>
        <v>0.987266998210255</v>
      </c>
      <c r="S218" s="54" t="n">
        <f aca="true">RAND()</f>
        <v>0.624650794564319</v>
      </c>
      <c r="T218" s="54" t="n">
        <f aca="true">RAND()</f>
        <v>0.169143168915986</v>
      </c>
      <c r="U218" s="54" t="n">
        <f aca="true">RAND()</f>
        <v>0.327104923250825</v>
      </c>
    </row>
    <row r="219" customFormat="false" ht="15" hidden="false" customHeight="false" outlineLevel="0" collapsed="false">
      <c r="A219" s="50" t="n">
        <v>139</v>
      </c>
      <c r="B219" s="51" t="n">
        <f aca="false">1+IF($G$6=$E$6,$F$6,IF(P219&lt;($F$6-$E$6)/($G$6-$E$6),$E$6+SQRT(P219*($G$6-$E$6)*($F$6-$E$6)),$G$6-SQRT((1-P219)*($G$6-$E$6)*($G$6-$F$6))))</f>
        <v>1.01312971042663</v>
      </c>
      <c r="C219" s="51" t="n">
        <f aca="false">1+IF($G$7=$E$7,$F$7,IF(Q219&lt;($F$7-$E$7)/($G$7-$E$7),$E$7+SQRT(Q219*($G$7-$E$7)*($F$7-$E$7)),$G$7-SQRT((1-Q219)*($G$7-$E$7)*($G$7-$F$7))))</f>
        <v>0.975755537325123</v>
      </c>
      <c r="D219" s="51" t="n">
        <f aca="false">1+IF($G$8=$E$8,$F$8,IF(R219&lt;($F$8-$E$8)/($G$8-$E$8),$E$8+SQRT(R219*($G$8-$E$8)*($F$8-$E$8)),$G$8-SQRT((1-R219)*($G$8-$E$8)*($G$8-$F$8))))</f>
        <v>0.996033583968951</v>
      </c>
      <c r="E219" s="51" t="n">
        <f aca="false">1+IF($G$9=$E$9,$F$9,IF(S219&lt;($F$9-$E$9)/($G$9-$E$9),$E$9+SQRT(S219*($G$9-$E$9)*($F$9-$E$9)),$G$9-SQRT((1-S219)*($G$9-$E$9)*($G$9-$F$9))))</f>
        <v>1.01718959250732</v>
      </c>
      <c r="F219" s="51" t="n">
        <f aca="false">1+IF($G$10=$E$10,$F$10,IF(T219&lt;($F$10-$E$10)/($G$10-$E$10),$E$10+SQRT(T219*($G$10-$E$10)*($F$10-$E$10)),$G$10-SQRT((1-T219)*($G$10-$E$10)*($G$10-$F$10))))</f>
        <v>1.00036152792866</v>
      </c>
      <c r="G219" s="52" t="n">
        <f aca="false">IF($G$11=$E$11,$F$11,IF(U219&lt;($F$11-$E$11)/($G$11-$E$11),$E$11+SQRT(U219*($G$11-$E$11)*($F$11-$E$11)),$G$11-SQRT((1-U219)*($G$11-$E$11)*($G$11-$F$11))))</f>
        <v>0.110032076142776</v>
      </c>
      <c r="H219" s="53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-2000723055.85731</v>
      </c>
      <c r="I219" s="53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16252151.0808515</v>
      </c>
      <c r="J219" s="53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328432124.399937</v>
      </c>
      <c r="K219" s="53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690630174.115455</v>
      </c>
      <c r="L219" s="53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828855038.149035</v>
      </c>
      <c r="M219" s="53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1016761839.24874</v>
      </c>
      <c r="N219" s="53" t="n">
        <f aca="false">IF(COUNT('Business Case'!B11:G11)=0,"",H219+NPV(G219,I219:M219))</f>
        <v>-65354503.1419644</v>
      </c>
      <c r="P219" s="54" t="n">
        <f aca="true">RAND()</f>
        <v>0.849580737133966</v>
      </c>
      <c r="Q219" s="54" t="n">
        <f aca="true">RAND()</f>
        <v>0.441285841434894</v>
      </c>
      <c r="R219" s="54" t="n">
        <f aca="true">RAND()</f>
        <v>0.326013977388685</v>
      </c>
      <c r="S219" s="54" t="n">
        <f aca="true">RAND()</f>
        <v>0.542829094059767</v>
      </c>
      <c r="T219" s="54" t="n">
        <f aca="true">RAND()</f>
        <v>0.202889609380382</v>
      </c>
      <c r="U219" s="54" t="n">
        <f aca="true">RAND()</f>
        <v>0.83440082329431</v>
      </c>
    </row>
    <row r="220" customFormat="false" ht="15" hidden="false" customHeight="false" outlineLevel="0" collapsed="false">
      <c r="A220" s="50" t="n">
        <v>140</v>
      </c>
      <c r="B220" s="51" t="n">
        <f aca="false">1+IF($G$6=$E$6,$F$6,IF(P220&lt;($F$6-$E$6)/($G$6-$E$6),$E$6+SQRT(P220*($G$6-$E$6)*($F$6-$E$6)),$G$6-SQRT((1-P220)*($G$6-$E$6)*($G$6-$F$6))))</f>
        <v>0.990971283667034</v>
      </c>
      <c r="C220" s="51" t="n">
        <f aca="false">1+IF($G$7=$E$7,$F$7,IF(Q220&lt;($F$7-$E$7)/($G$7-$E$7),$E$7+SQRT(Q220*($G$7-$E$7)*($F$7-$E$7)),$G$7-SQRT((1-Q220)*($G$7-$E$7)*($G$7-$F$7))))</f>
        <v>1.04863212630909</v>
      </c>
      <c r="D220" s="51" t="n">
        <f aca="false">1+IF($G$8=$E$8,$F$8,IF(R220&lt;($F$8-$E$8)/($G$8-$E$8),$E$8+SQRT(R220*($G$8-$E$8)*($F$8-$E$8)),$G$8-SQRT((1-R220)*($G$8-$E$8)*($G$8-$F$8))))</f>
        <v>1.00712754647498</v>
      </c>
      <c r="E220" s="51" t="n">
        <f aca="false">1+IF($G$9=$E$9,$F$9,IF(S220&lt;($F$9-$E$9)/($G$9-$E$9),$E$9+SQRT(S220*($G$9-$E$9)*($F$9-$E$9)),$G$9-SQRT((1-S220)*($G$9-$E$9)*($G$9-$F$9))))</f>
        <v>0.98651231206793</v>
      </c>
      <c r="F220" s="51" t="n">
        <f aca="false">1+IF($G$10=$E$10,$F$10,IF(T220&lt;($F$10-$E$10)/($G$10-$E$10),$E$10+SQRT(T220*($G$10-$E$10)*($F$10-$E$10)),$G$10-SQRT((1-T220)*($G$10-$E$10)*($G$10-$F$10))))</f>
        <v>0.994977098391033</v>
      </c>
      <c r="G220" s="52" t="n">
        <f aca="false">IF($G$11=$E$11,$F$11,IF(U220&lt;($F$11-$E$11)/($G$11-$E$11),$E$11+SQRT(U220*($G$11-$E$11)*($F$11-$E$11)),$G$11-SQRT((1-U220)*($G$11-$E$11)*($G$11-$F$11))))</f>
        <v>0.102892618673431</v>
      </c>
      <c r="H220" s="53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-1989954196.78207</v>
      </c>
      <c r="I220" s="53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16858424.8839745</v>
      </c>
      <c r="J220" s="53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327366888.95498</v>
      </c>
      <c r="K220" s="53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687624207.945536</v>
      </c>
      <c r="L220" s="53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827040548.35045</v>
      </c>
      <c r="M220" s="53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1024564903.11397</v>
      </c>
      <c r="N220" s="53" t="n">
        <f aca="false">IF(COUNT('Business Case'!B11:G11)=0,"",H220+NPV(G220,I220:M220))</f>
        <v>-6114628.55581141</v>
      </c>
      <c r="P220" s="54" t="n">
        <f aca="true">RAND()</f>
        <v>0.524679490140276</v>
      </c>
      <c r="Q220" s="54" t="n">
        <f aca="true">RAND()</f>
        <v>0.804277222540632</v>
      </c>
      <c r="R220" s="54" t="n">
        <f aca="true">RAND()</f>
        <v>0.489385145888818</v>
      </c>
      <c r="S220" s="54" t="n">
        <f aca="true">RAND()</f>
        <v>0.177753191006124</v>
      </c>
      <c r="T220" s="54" t="n">
        <f aca="true">RAND()</f>
        <v>0.161835150374131</v>
      </c>
      <c r="U220" s="54" t="n">
        <f aca="true">RAND()</f>
        <v>0.512229173578921</v>
      </c>
    </row>
    <row r="221" customFormat="false" ht="15" hidden="false" customHeight="false" outlineLevel="0" collapsed="false">
      <c r="A221" s="50" t="n">
        <v>141</v>
      </c>
      <c r="B221" s="51" t="n">
        <f aca="false">1+IF($G$6=$E$6,$F$6,IF(P221&lt;($F$6-$E$6)/($G$6-$E$6),$E$6+SQRT(P221*($G$6-$E$6)*($F$6-$E$6)),$G$6-SQRT((1-P221)*($G$6-$E$6)*($G$6-$F$6))))</f>
        <v>0.982101541968526</v>
      </c>
      <c r="C221" s="51" t="n">
        <f aca="false">1+IF($G$7=$E$7,$F$7,IF(Q221&lt;($F$7-$E$7)/($G$7-$E$7),$E$7+SQRT(Q221*($G$7-$E$7)*($F$7-$E$7)),$G$7-SQRT((1-Q221)*($G$7-$E$7)*($G$7-$F$7))))</f>
        <v>1.01997743066573</v>
      </c>
      <c r="D221" s="51" t="n">
        <f aca="false">1+IF($G$8=$E$8,$F$8,IF(R221&lt;($F$8-$E$8)/($G$8-$E$8),$E$8+SQRT(R221*($G$8-$E$8)*($F$8-$E$8)),$G$8-SQRT((1-R221)*($G$8-$E$8)*($G$8-$F$8))))</f>
        <v>1.01222204357856</v>
      </c>
      <c r="E221" s="51" t="n">
        <f aca="false">1+IF($G$9=$E$9,$F$9,IF(S221&lt;($F$9-$E$9)/($G$9-$E$9),$E$9+SQRT(S221*($G$9-$E$9)*($F$9-$E$9)),$G$9-SQRT((1-S221)*($G$9-$E$9)*($G$9-$F$9))))</f>
        <v>1.06333451091164</v>
      </c>
      <c r="F221" s="51" t="n">
        <f aca="false">1+IF($G$10=$E$10,$F$10,IF(T221&lt;($F$10-$E$10)/($G$10-$E$10),$E$10+SQRT(T221*($G$10-$E$10)*($F$10-$E$10)),$G$10-SQRT((1-T221)*($G$10-$E$10)*($G$10-$F$10))))</f>
        <v>1.0023845537365</v>
      </c>
      <c r="G221" s="52" t="n">
        <f aca="false">IF($G$11=$E$11,$F$11,IF(U221&lt;($F$11-$E$11)/($G$11-$E$11),$E$11+SQRT(U221*($G$11-$E$11)*($F$11-$E$11)),$G$11-SQRT((1-U221)*($G$11-$E$11)*($G$11-$F$11))))</f>
        <v>0.0968099768113863</v>
      </c>
      <c r="H221" s="53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-2004769107.47301</v>
      </c>
      <c r="I221" s="53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-11420451.7763869</v>
      </c>
      <c r="J221" s="53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280532957.033678</v>
      </c>
      <c r="K221" s="53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622605593.530568</v>
      </c>
      <c r="L221" s="53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754542888.308034</v>
      </c>
      <c r="M221" s="53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944950093.432311</v>
      </c>
      <c r="N221" s="53" t="n">
        <f aca="false">IF(COUNT('Business Case'!B11:G11)=0,"",H221+NPV(G221,I221:M221))</f>
        <v>-193412593.353857</v>
      </c>
      <c r="P221" s="54" t="n">
        <f aca="true">RAND()</f>
        <v>0.401729324465482</v>
      </c>
      <c r="Q221" s="54" t="n">
        <f aca="true">RAND()</f>
        <v>0.677983456451723</v>
      </c>
      <c r="R221" s="54" t="n">
        <f aca="true">RAND()</f>
        <v>0.558283521474395</v>
      </c>
      <c r="S221" s="54" t="n">
        <f aca="true">RAND()</f>
        <v>0.910376127327399</v>
      </c>
      <c r="T221" s="54" t="n">
        <f aca="true">RAND()</f>
        <v>0.218962707961592</v>
      </c>
      <c r="U221" s="54" t="n">
        <f aca="true">RAND()</f>
        <v>0.15458594723873</v>
      </c>
    </row>
    <row r="222" customFormat="false" ht="15" hidden="false" customHeight="false" outlineLevel="0" collapsed="false">
      <c r="A222" s="50" t="n">
        <v>142</v>
      </c>
      <c r="B222" s="51" t="n">
        <f aca="false">1+IF($G$6=$E$6,$F$6,IF(P222&lt;($F$6-$E$6)/($G$6-$E$6),$E$6+SQRT(P222*($G$6-$E$6)*($F$6-$E$6)),$G$6-SQRT((1-P222)*($G$6-$E$6)*($G$6-$F$6))))</f>
        <v>1.01328024909901</v>
      </c>
      <c r="C222" s="51" t="n">
        <f aca="false">1+IF($G$7=$E$7,$F$7,IF(Q222&lt;($F$7-$E$7)/($G$7-$E$7),$E$7+SQRT(Q222*($G$7-$E$7)*($F$7-$E$7)),$G$7-SQRT((1-Q222)*($G$7-$E$7)*($G$7-$F$7))))</f>
        <v>1.07152260549857</v>
      </c>
      <c r="D222" s="51" t="n">
        <f aca="false">1+IF($G$8=$E$8,$F$8,IF(R222&lt;($F$8-$E$8)/($G$8-$E$8),$E$8+SQRT(R222*($G$8-$E$8)*($F$8-$E$8)),$G$8-SQRT((1-R222)*($G$8-$E$8)*($G$8-$F$8))))</f>
        <v>1.01595288445812</v>
      </c>
      <c r="E222" s="51" t="n">
        <f aca="false">1+IF($G$9=$E$9,$F$9,IF(S222&lt;($F$9-$E$9)/($G$9-$E$9),$E$9+SQRT(S222*($G$9-$E$9)*($F$9-$E$9)),$G$9-SQRT((1-S222)*($G$9-$E$9)*($G$9-$F$9))))</f>
        <v>1.03058893838389</v>
      </c>
      <c r="F222" s="51" t="n">
        <f aca="false">1+IF($G$10=$E$10,$F$10,IF(T222&lt;($F$10-$E$10)/($G$10-$E$10),$E$10+SQRT(T222*($G$10-$E$10)*($F$10-$E$10)),$G$10-SQRT((1-T222)*($G$10-$E$10)*($G$10-$F$10))))</f>
        <v>1.02369134254153</v>
      </c>
      <c r="G222" s="52" t="n">
        <f aca="false">IF($G$11=$E$11,$F$11,IF(U222&lt;($F$11-$E$11)/($G$11-$E$11),$E$11+SQRT(U222*($G$11-$E$11)*($F$11-$E$11)),$G$11-SQRT((1-U222)*($G$11-$E$11)*($G$11-$F$11))))</f>
        <v>0.104341973189454</v>
      </c>
      <c r="H222" s="53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-2047382685.08306</v>
      </c>
      <c r="I222" s="53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26820779.195454</v>
      </c>
      <c r="J222" s="53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358845859.268403</v>
      </c>
      <c r="K222" s="53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742055506.468428</v>
      </c>
      <c r="L222" s="53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890254146.216179</v>
      </c>
      <c r="M222" s="53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1096634018.0284</v>
      </c>
      <c r="N222" s="53" t="n">
        <f aca="false">IF(COUNT('Business Case'!B11:G11)=0,"",H222+NPV(G222,I222:M222))</f>
        <v>88301664.9271088</v>
      </c>
      <c r="P222" s="54" t="n">
        <f aca="true">RAND()</f>
        <v>0.851261439956059</v>
      </c>
      <c r="Q222" s="54" t="n">
        <f aca="true">RAND()</f>
        <v>0.88269140099556</v>
      </c>
      <c r="R222" s="54" t="n">
        <f aca="true">RAND()</f>
        <v>0.605573749112015</v>
      </c>
      <c r="S222" s="54" t="n">
        <f aca="true">RAND()</f>
        <v>0.678806968355014</v>
      </c>
      <c r="T222" s="54" t="n">
        <f aca="true">RAND()</f>
        <v>0.378305146103841</v>
      </c>
      <c r="U222" s="54" t="n">
        <f aca="true">RAND()</f>
        <v>0.591376994000378</v>
      </c>
    </row>
    <row r="223" customFormat="false" ht="15" hidden="false" customHeight="false" outlineLevel="0" collapsed="false">
      <c r="A223" s="50" t="n">
        <v>143</v>
      </c>
      <c r="B223" s="51" t="n">
        <f aca="false">1+IF($G$6=$E$6,$F$6,IF(P223&lt;($F$6-$E$6)/($G$6-$E$6),$E$6+SQRT(P223*($G$6-$E$6)*($F$6-$E$6)),$G$6-SQRT((1-P223)*($G$6-$E$6)*($G$6-$F$6))))</f>
        <v>1.0103347569658</v>
      </c>
      <c r="C223" s="51" t="n">
        <f aca="false">1+IF($G$7=$E$7,$F$7,IF(Q223&lt;($F$7-$E$7)/($G$7-$E$7),$E$7+SQRT(Q223*($G$7-$E$7)*($F$7-$E$7)),$G$7-SQRT((1-Q223)*($G$7-$E$7)*($G$7-$F$7))))</f>
        <v>0.989277006800798</v>
      </c>
      <c r="D223" s="51" t="n">
        <f aca="false">1+IF($G$8=$E$8,$F$8,IF(R223&lt;($F$8-$E$8)/($G$8-$E$8),$E$8+SQRT(R223*($G$8-$E$8)*($F$8-$E$8)),$G$8-SQRT((1-R223)*($G$8-$E$8)*($G$8-$F$8))))</f>
        <v>1.00258732039893</v>
      </c>
      <c r="E223" s="51" t="n">
        <f aca="false">1+IF($G$9=$E$9,$F$9,IF(S223&lt;($F$9-$E$9)/($G$9-$E$9),$E$9+SQRT(S223*($G$9-$E$9)*($F$9-$E$9)),$G$9-SQRT((1-S223)*($G$9-$E$9)*($G$9-$F$9))))</f>
        <v>0.9846834349433</v>
      </c>
      <c r="F223" s="51" t="n">
        <f aca="false">1+IF($G$10=$E$10,$F$10,IF(T223&lt;($F$10-$E$10)/($G$10-$E$10),$E$10+SQRT(T223*($G$10-$E$10)*($F$10-$E$10)),$G$10-SQRT((1-T223)*($G$10-$E$10)*($G$10-$F$10))))</f>
        <v>1.08126103049297</v>
      </c>
      <c r="G223" s="52" t="n">
        <f aca="false">IF($G$11=$E$11,$F$11,IF(U223&lt;($F$11-$E$11)/($G$11-$E$11),$E$11+SQRT(U223*($G$11-$E$11)*($F$11-$E$11)),$G$11-SQRT((1-U223)*($G$11-$E$11)*($G$11-$F$11))))</f>
        <v>0.0981992164310247</v>
      </c>
      <c r="H223" s="53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-2162522060.98595</v>
      </c>
      <c r="I223" s="53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10960037.1870811</v>
      </c>
      <c r="J223" s="53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321882290.821691</v>
      </c>
      <c r="K223" s="53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686867595.98095</v>
      </c>
      <c r="L223" s="53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825051099.82535</v>
      </c>
      <c r="M223" s="53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1015036239.3061</v>
      </c>
      <c r="N223" s="53" t="n">
        <f aca="false">IF(COUNT('Business Case'!B11:G11)=0,"",H223+NPV(G223,I223:M223))</f>
        <v>-164385694.714903</v>
      </c>
      <c r="P223" s="54" t="n">
        <f aca="true">RAND()</f>
        <v>0.816661115775325</v>
      </c>
      <c r="Q223" s="54" t="n">
        <f aca="true">RAND()</f>
        <v>0.511796932906704</v>
      </c>
      <c r="R223" s="54" t="n">
        <f aca="true">RAND()</f>
        <v>0.423776638171402</v>
      </c>
      <c r="S223" s="54" t="n">
        <f aca="true">RAND()</f>
        <v>0.160392087928817</v>
      </c>
      <c r="T223" s="54" t="n">
        <f aca="true">RAND()</f>
        <v>0.718021142408188</v>
      </c>
      <c r="U223" s="54" t="n">
        <f aca="true">RAND()</f>
        <v>0.22409050027595</v>
      </c>
    </row>
    <row r="224" customFormat="false" ht="15" hidden="false" customHeight="false" outlineLevel="0" collapsed="false">
      <c r="A224" s="50" t="n">
        <v>144</v>
      </c>
      <c r="B224" s="51" t="n">
        <f aca="false">1+IF($G$6=$E$6,$F$6,IF(P224&lt;($F$6-$E$6)/($G$6-$E$6),$E$6+SQRT(P224*($G$6-$E$6)*($F$6-$E$6)),$G$6-SQRT((1-P224)*($G$6-$E$6)*($G$6-$F$6))))</f>
        <v>1.00437509934539</v>
      </c>
      <c r="C224" s="51" t="n">
        <f aca="false">1+IF($G$7=$E$7,$F$7,IF(Q224&lt;($F$7-$E$7)/($G$7-$E$7),$E$7+SQRT(Q224*($G$7-$E$7)*($F$7-$E$7)),$G$7-SQRT((1-Q224)*($G$7-$E$7)*($G$7-$F$7))))</f>
        <v>0.9974720038252</v>
      </c>
      <c r="D224" s="51" t="n">
        <f aca="false">1+IF($G$8=$E$8,$F$8,IF(R224&lt;($F$8-$E$8)/($G$8-$E$8),$E$8+SQRT(R224*($G$8-$E$8)*($F$8-$E$8)),$G$8-SQRT((1-R224)*($G$8-$E$8)*($G$8-$F$8))))</f>
        <v>1.04899796116202</v>
      </c>
      <c r="E224" s="51" t="n">
        <f aca="false">1+IF($G$9=$E$9,$F$9,IF(S224&lt;($F$9-$E$9)/($G$9-$E$9),$E$9+SQRT(S224*($G$9-$E$9)*($F$9-$E$9)),$G$9-SQRT((1-S224)*($G$9-$E$9)*($G$9-$F$9))))</f>
        <v>1.01511335093791</v>
      </c>
      <c r="F224" s="51" t="n">
        <f aca="false">1+IF($G$10=$E$10,$F$10,IF(T224&lt;($F$10-$E$10)/($G$10-$E$10),$E$10+SQRT(T224*($G$10-$E$10)*($F$10-$E$10)),$G$10-SQRT((1-T224)*($G$10-$E$10)*($G$10-$F$10))))</f>
        <v>1.04203863539163</v>
      </c>
      <c r="G224" s="52" t="n">
        <f aca="false">IF($G$11=$E$11,$F$11,IF(U224&lt;($F$11-$E$11)/($G$11-$E$11),$E$11+SQRT(U224*($G$11-$E$11)*($F$11-$E$11)),$G$11-SQRT((1-U224)*($G$11-$E$11)*($G$11-$F$11))))</f>
        <v>0.106020645149845</v>
      </c>
      <c r="H224" s="53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-2084077270.78326</v>
      </c>
      <c r="I224" s="53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-15557805.8050137</v>
      </c>
      <c r="J224" s="53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269372550.898319</v>
      </c>
      <c r="K224" s="53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606404839.371232</v>
      </c>
      <c r="L224" s="53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736005078.582884</v>
      </c>
      <c r="M224" s="53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926434073.624194</v>
      </c>
      <c r="N224" s="53" t="n">
        <f aca="false">IF(COUNT('Business Case'!B11:G11)=0,"",H224+NPV(G224,I224:M224))</f>
        <v>-378137712.444029</v>
      </c>
      <c r="P224" s="54" t="n">
        <f aca="true">RAND()</f>
        <v>0.735597177781141</v>
      </c>
      <c r="Q224" s="54" t="n">
        <f aca="true">RAND()</f>
        <v>0.557074175639139</v>
      </c>
      <c r="R224" s="54" t="n">
        <f aca="true">RAND()</f>
        <v>0.907583998835424</v>
      </c>
      <c r="S224" s="54" t="n">
        <f aca="true">RAND()</f>
        <v>0.519617120733999</v>
      </c>
      <c r="T224" s="54" t="n">
        <f aca="true">RAND()</f>
        <v>0.500964145821228</v>
      </c>
      <c r="U224" s="54" t="n">
        <f aca="true">RAND()</f>
        <v>0.674296063289098</v>
      </c>
    </row>
    <row r="225" customFormat="false" ht="15" hidden="false" customHeight="false" outlineLevel="0" collapsed="false">
      <c r="A225" s="50" t="n">
        <v>145</v>
      </c>
      <c r="B225" s="51" t="n">
        <f aca="false">1+IF($G$6=$E$6,$F$6,IF(P225&lt;($F$6-$E$6)/($G$6-$E$6),$E$6+SQRT(P225*($G$6-$E$6)*($F$6-$E$6)),$G$6-SQRT((1-P225)*($G$6-$E$6)*($G$6-$F$6))))</f>
        <v>0.922988190838718</v>
      </c>
      <c r="C225" s="51" t="n">
        <f aca="false">1+IF($G$7=$E$7,$F$7,IF(Q225&lt;($F$7-$E$7)/($G$7-$E$7),$E$7+SQRT(Q225*($G$7-$E$7)*($F$7-$E$7)),$G$7-SQRT((1-Q225)*($G$7-$E$7)*($G$7-$F$7))))</f>
        <v>0.958619971596417</v>
      </c>
      <c r="D225" s="51" t="n">
        <f aca="false">1+IF($G$8=$E$8,$F$8,IF(R225&lt;($F$8-$E$8)/($G$8-$E$8),$E$8+SQRT(R225*($G$8-$E$8)*($F$8-$E$8)),$G$8-SQRT((1-R225)*($G$8-$E$8)*($G$8-$F$8))))</f>
        <v>1.0526689027303</v>
      </c>
      <c r="E225" s="51" t="n">
        <f aca="false">1+IF($G$9=$E$9,$F$9,IF(S225&lt;($F$9-$E$9)/($G$9-$E$9),$E$9+SQRT(S225*($G$9-$E$9)*($F$9-$E$9)),$G$9-SQRT((1-S225)*($G$9-$E$9)*($G$9-$F$9))))</f>
        <v>1.01005979362362</v>
      </c>
      <c r="F225" s="51" t="n">
        <f aca="false">1+IF($G$10=$E$10,$F$10,IF(T225&lt;($F$10-$E$10)/($G$10-$E$10),$E$10+SQRT(T225*($G$10-$E$10)*($F$10-$E$10)),$G$10-SQRT((1-T225)*($G$10-$E$10)*($G$10-$F$10))))</f>
        <v>1.06402661926078</v>
      </c>
      <c r="G225" s="52" t="n">
        <f aca="false">IF($G$11=$E$11,$F$11,IF(U225&lt;($F$11-$E$11)/($G$11-$E$11),$E$11+SQRT(U225*($G$11-$E$11)*($F$11-$E$11)),$G$11-SQRT((1-U225)*($G$11-$E$11)*($G$11-$F$11))))</f>
        <v>0.0998467411925548</v>
      </c>
      <c r="H225" s="53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-2128053238.52157</v>
      </c>
      <c r="I225" s="53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-87773494.9362006</v>
      </c>
      <c r="J225" s="53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120353943.011683</v>
      </c>
      <c r="K225" s="53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381682711.922606</v>
      </c>
      <c r="L225" s="53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481637036.775053</v>
      </c>
      <c r="M225" s="53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649818853.892387</v>
      </c>
      <c r="N225" s="53" t="n">
        <f aca="false">IF(COUNT('Business Case'!B11:G11)=0,"",H225+NPV(G225,I225:M225))</f>
        <v>-1088565332.40448</v>
      </c>
      <c r="P225" s="54" t="n">
        <f aca="true">RAND()</f>
        <v>0.000930133800895538</v>
      </c>
      <c r="Q225" s="54" t="n">
        <f aca="true">RAND()</f>
        <v>0.359432791274973</v>
      </c>
      <c r="R225" s="54" t="n">
        <f aca="true">RAND()</f>
        <v>0.92817414634942</v>
      </c>
      <c r="S225" s="54" t="n">
        <f aca="true">RAND()</f>
        <v>0.460717285131589</v>
      </c>
      <c r="T225" s="54" t="n">
        <f aca="true">RAND()</f>
        <v>0.630224794606961</v>
      </c>
      <c r="U225" s="54" t="n">
        <f aca="true">RAND()</f>
        <v>0.323194373710515</v>
      </c>
    </row>
    <row r="226" customFormat="false" ht="15" hidden="false" customHeight="false" outlineLevel="0" collapsed="false">
      <c r="A226" s="50" t="n">
        <v>146</v>
      </c>
      <c r="B226" s="51" t="n">
        <f aca="false">1+IF($G$6=$E$6,$F$6,IF(P226&lt;($F$6-$E$6)/($G$6-$E$6),$E$6+SQRT(P226*($G$6-$E$6)*($F$6-$E$6)),$G$6-SQRT((1-P226)*($G$6-$E$6)*($G$6-$F$6))))</f>
        <v>1.01645341577182</v>
      </c>
      <c r="C226" s="51" t="n">
        <f aca="false">1+IF($G$7=$E$7,$F$7,IF(Q226&lt;($F$7-$E$7)/($G$7-$E$7),$E$7+SQRT(Q226*($G$7-$E$7)*($F$7-$E$7)),$G$7-SQRT((1-Q226)*($G$7-$E$7)*($G$7-$F$7))))</f>
        <v>0.901090758745334</v>
      </c>
      <c r="D226" s="51" t="n">
        <f aca="false">1+IF($G$8=$E$8,$F$8,IF(R226&lt;($F$8-$E$8)/($G$8-$E$8),$E$8+SQRT(R226*($G$8-$E$8)*($F$8-$E$8)),$G$8-SQRT((1-R226)*($G$8-$E$8)*($G$8-$F$8))))</f>
        <v>1.04404319101292</v>
      </c>
      <c r="E226" s="51" t="n">
        <f aca="false">1+IF($G$9=$E$9,$F$9,IF(S226&lt;($F$9-$E$9)/($G$9-$E$9),$E$9+SQRT(S226*($G$9-$E$9)*($F$9-$E$9)),$G$9-SQRT((1-S226)*($G$9-$E$9)*($G$9-$F$9))))</f>
        <v>1.04234091376677</v>
      </c>
      <c r="F226" s="51" t="n">
        <f aca="false">1+IF($G$10=$E$10,$F$10,IF(T226&lt;($F$10-$E$10)/($G$10-$E$10),$E$10+SQRT(T226*($G$10-$E$10)*($F$10-$E$10)),$G$10-SQRT((1-T226)*($G$10-$E$10)*($G$10-$F$10))))</f>
        <v>0.981147689887183</v>
      </c>
      <c r="G226" s="52" t="n">
        <f aca="false">IF($G$11=$E$11,$F$11,IF(U226&lt;($F$11-$E$11)/($G$11-$E$11),$E$11+SQRT(U226*($G$11-$E$11)*($F$11-$E$11)),$G$11-SQRT((1-U226)*($G$11-$E$11)*($G$11-$F$11))))</f>
        <v>0.110680950711878</v>
      </c>
      <c r="H226" s="53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-1962295379.77437</v>
      </c>
      <c r="I226" s="53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-25217889.6606446</v>
      </c>
      <c r="J226" s="53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243380993.46197</v>
      </c>
      <c r="K226" s="53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561037261.078943</v>
      </c>
      <c r="L226" s="53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682224306.024418</v>
      </c>
      <c r="M226" s="53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856321767.499742</v>
      </c>
      <c r="N226" s="53" t="n">
        <f aca="false">IF(COUNT('Business Case'!B11:G11)=0,"",H226+NPV(G226,I226:M226))</f>
        <v>-423306813.691022</v>
      </c>
      <c r="P226" s="54" t="n">
        <f aca="true">RAND()</f>
        <v>0.884491327330241</v>
      </c>
      <c r="Q226" s="54" t="n">
        <f aca="true">RAND()</f>
        <v>0.145990592910104</v>
      </c>
      <c r="R226" s="54" t="n">
        <f aca="true">RAND()</f>
        <v>0.875683450717959</v>
      </c>
      <c r="S226" s="54" t="n">
        <f aca="true">RAND()</f>
        <v>0.778361984983226</v>
      </c>
      <c r="T226" s="54" t="n">
        <f aca="true">RAND()</f>
        <v>0.077614286824648</v>
      </c>
      <c r="U226" s="54" t="n">
        <f aca="true">RAND()</f>
        <v>0.855258867275909</v>
      </c>
    </row>
    <row r="227" customFormat="false" ht="15" hidden="false" customHeight="false" outlineLevel="0" collapsed="false">
      <c r="A227" s="50" t="n">
        <v>147</v>
      </c>
      <c r="B227" s="51" t="n">
        <f aca="false">1+IF($G$6=$E$6,$F$6,IF(P227&lt;($F$6-$E$6)/($G$6-$E$6),$E$6+SQRT(P227*($G$6-$E$6)*($F$6-$E$6)),$G$6-SQRT((1-P227)*($G$6-$E$6)*($G$6-$F$6))))</f>
        <v>0.972015428249052</v>
      </c>
      <c r="C227" s="51" t="n">
        <f aca="false">1+IF($G$7=$E$7,$F$7,IF(Q227&lt;($F$7-$E$7)/($G$7-$E$7),$E$7+SQRT(Q227*($G$7-$E$7)*($F$7-$E$7)),$G$7-SQRT((1-Q227)*($G$7-$E$7)*($G$7-$F$7))))</f>
        <v>1.03230735976118</v>
      </c>
      <c r="D227" s="51" t="n">
        <f aca="false">1+IF($G$8=$E$8,$F$8,IF(R227&lt;($F$8-$E$8)/($G$8-$E$8),$E$8+SQRT(R227*($G$8-$E$8)*($F$8-$E$8)),$G$8-SQRT((1-R227)*($G$8-$E$8)*($G$8-$F$8))))</f>
        <v>0.994034607268289</v>
      </c>
      <c r="E227" s="51" t="n">
        <f aca="false">1+IF($G$9=$E$9,$F$9,IF(S227&lt;($F$9-$E$9)/($G$9-$E$9),$E$9+SQRT(S227*($G$9-$E$9)*($F$9-$E$9)),$G$9-SQRT((1-S227)*($G$9-$E$9)*($G$9-$F$9))))</f>
        <v>1.03106748227366</v>
      </c>
      <c r="F227" s="51" t="n">
        <f aca="false">1+IF($G$10=$E$10,$F$10,IF(T227&lt;($F$10-$E$10)/($G$10-$E$10),$E$10+SQRT(T227*($G$10-$E$10)*($F$10-$E$10)),$G$10-SQRT((1-T227)*($G$10-$E$10)*($G$10-$F$10))))</f>
        <v>1.01390202564524</v>
      </c>
      <c r="G227" s="52" t="n">
        <f aca="false">IF($G$11=$E$11,$F$11,IF(U227&lt;($F$11-$E$11)/($G$11-$E$11),$E$11+SQRT(U227*($G$11-$E$11)*($F$11-$E$11)),$G$11-SQRT((1-U227)*($G$11-$E$11)*($G$11-$F$11))))</f>
        <v>0.0983836496073092</v>
      </c>
      <c r="H227" s="53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-2027804051.29048</v>
      </c>
      <c r="I227" s="53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-3459396.97848843</v>
      </c>
      <c r="J227" s="53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293106428.977911</v>
      </c>
      <c r="K227" s="53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640367356.216573</v>
      </c>
      <c r="L227" s="53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773900781.129406</v>
      </c>
      <c r="M227" s="53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964630603.896591</v>
      </c>
      <c r="N227" s="53" t="n">
        <f aca="false">IF(COUNT('Business Case'!B11:G11)=0,"",H227+NPV(G227,I227:M227))</f>
        <v>-169676124.85012</v>
      </c>
      <c r="P227" s="54" t="n">
        <f aca="true">RAND()</f>
        <v>0.281833830826275</v>
      </c>
      <c r="Q227" s="54" t="n">
        <f aca="true">RAND()</f>
        <v>0.736160808259366</v>
      </c>
      <c r="R227" s="54" t="n">
        <f aca="true">RAND()</f>
        <v>0.29831486727268</v>
      </c>
      <c r="S227" s="54" t="n">
        <f aca="true">RAND()</f>
        <v>0.683220533327147</v>
      </c>
      <c r="T227" s="54" t="n">
        <f aca="true">RAND()</f>
        <v>0.307350878821088</v>
      </c>
      <c r="U227" s="54" t="n">
        <f aca="true">RAND()</f>
        <v>0.234285269127119</v>
      </c>
    </row>
    <row r="228" customFormat="false" ht="15" hidden="false" customHeight="false" outlineLevel="0" collapsed="false">
      <c r="A228" s="50" t="n">
        <v>148</v>
      </c>
      <c r="B228" s="51" t="n">
        <f aca="false">1+IF($G$6=$E$6,$F$6,IF(P228&lt;($F$6-$E$6)/($G$6-$E$6),$E$6+SQRT(P228*($G$6-$E$6)*($F$6-$E$6)),$G$6-SQRT((1-P228)*($G$6-$E$6)*($G$6-$F$6))))</f>
        <v>0.974941426488336</v>
      </c>
      <c r="C228" s="51" t="n">
        <f aca="false">1+IF($G$7=$E$7,$F$7,IF(Q228&lt;($F$7-$E$7)/($G$7-$E$7),$E$7+SQRT(Q228*($G$7-$E$7)*($F$7-$E$7)),$G$7-SQRT((1-Q228)*($G$7-$E$7)*($G$7-$F$7))))</f>
        <v>0.892145788653578</v>
      </c>
      <c r="D228" s="51" t="n">
        <f aca="false">1+IF($G$8=$E$8,$F$8,IF(R228&lt;($F$8-$E$8)/($G$8-$E$8),$E$8+SQRT(R228*($G$8-$E$8)*($F$8-$E$8)),$G$8-SQRT((1-R228)*($G$8-$E$8)*($G$8-$F$8))))</f>
        <v>0.996307084909508</v>
      </c>
      <c r="E228" s="51" t="n">
        <f aca="false">1+IF($G$9=$E$9,$F$9,IF(S228&lt;($F$9-$E$9)/($G$9-$E$9),$E$9+SQRT(S228*($G$9-$E$9)*($F$9-$E$9)),$G$9-SQRT((1-S228)*($G$9-$E$9)*($G$9-$F$9))))</f>
        <v>0.975126439546841</v>
      </c>
      <c r="F228" s="51" t="n">
        <f aca="false">1+IF($G$10=$E$10,$F$10,IF(T228&lt;($F$10-$E$10)/($G$10-$E$10),$E$10+SQRT(T228*($G$10-$E$10)*($F$10-$E$10)),$G$10-SQRT((1-T228)*($G$10-$E$10)*($G$10-$F$10))))</f>
        <v>1.03454859765898</v>
      </c>
      <c r="G228" s="52" t="n">
        <f aca="false">IF($G$11=$E$11,$F$11,IF(U228&lt;($F$11-$E$11)/($G$11-$E$11),$E$11+SQRT(U228*($G$11-$E$11)*($F$11-$E$11)),$G$11-SQRT((1-U228)*($G$11-$E$11)*($G$11-$F$11))))</f>
        <v>0.0976778219817021</v>
      </c>
      <c r="H228" s="53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-2069097195.31797</v>
      </c>
      <c r="I228" s="53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-29807895.2037018</v>
      </c>
      <c r="J228" s="53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227591956.846928</v>
      </c>
      <c r="K228" s="53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536719238.780507</v>
      </c>
      <c r="L228" s="53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652579127.987299</v>
      </c>
      <c r="M228" s="53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817908789.865167</v>
      </c>
      <c r="N228" s="53" t="n">
        <f aca="false">IF(COUNT('Business Case'!B11:G11)=0,"",H228+NPV(G228,I228:M228))</f>
        <v>-538797842.719998</v>
      </c>
      <c r="P228" s="54" t="n">
        <f aca="true">RAND()</f>
        <v>0.314433369226379</v>
      </c>
      <c r="Q228" s="54" t="n">
        <f aca="true">RAND()</f>
        <v>0.121297805236999</v>
      </c>
      <c r="R228" s="54" t="n">
        <f aca="true">RAND()</f>
        <v>0.329899401971747</v>
      </c>
      <c r="S228" s="54" t="n">
        <f aca="true">RAND()</f>
        <v>0.0841783952401376</v>
      </c>
      <c r="T228" s="54" t="n">
        <f aca="true">RAND()</f>
        <v>0.452516669267815</v>
      </c>
      <c r="U228" s="54" t="n">
        <f aca="true">RAND()</f>
        <v>0.196496501275693</v>
      </c>
    </row>
    <row r="229" customFormat="false" ht="15" hidden="false" customHeight="false" outlineLevel="0" collapsed="false">
      <c r="A229" s="50" t="n">
        <v>149</v>
      </c>
      <c r="B229" s="51" t="n">
        <f aca="false">1+IF($G$6=$E$6,$F$6,IF(P229&lt;($F$6-$E$6)/($G$6-$E$6),$E$6+SQRT(P229*($G$6-$E$6)*($F$6-$E$6)),$G$6-SQRT((1-P229)*($G$6-$E$6)*($G$6-$F$6))))</f>
        <v>0.97348467157171</v>
      </c>
      <c r="C229" s="51" t="n">
        <f aca="false">1+IF($G$7=$E$7,$F$7,IF(Q229&lt;($F$7-$E$7)/($G$7-$E$7),$E$7+SQRT(Q229*($G$7-$E$7)*($F$7-$E$7)),$G$7-SQRT((1-Q229)*($G$7-$E$7)*($G$7-$F$7))))</f>
        <v>0.884164554459751</v>
      </c>
      <c r="D229" s="51" t="n">
        <f aca="false">1+IF($G$8=$E$8,$F$8,IF(R229&lt;($F$8-$E$8)/($G$8-$E$8),$E$8+SQRT(R229*($G$8-$E$8)*($F$8-$E$8)),$G$8-SQRT((1-R229)*($G$8-$E$8)*($G$8-$F$8))))</f>
        <v>0.994821833948793</v>
      </c>
      <c r="E229" s="51" t="n">
        <f aca="false">1+IF($G$9=$E$9,$F$9,IF(S229&lt;($F$9-$E$9)/($G$9-$E$9),$E$9+SQRT(S229*($G$9-$E$9)*($F$9-$E$9)),$G$9-SQRT((1-S229)*($G$9-$E$9)*($G$9-$F$9))))</f>
        <v>1.08075575252142</v>
      </c>
      <c r="F229" s="51" t="n">
        <f aca="false">1+IF($G$10=$E$10,$F$10,IF(T229&lt;($F$10-$E$10)/($G$10-$E$10),$E$10+SQRT(T229*($G$10-$E$10)*($F$10-$E$10)),$G$10-SQRT((1-T229)*($G$10-$E$10)*($G$10-$F$10))))</f>
        <v>0.982555038473769</v>
      </c>
      <c r="G229" s="52" t="n">
        <f aca="false">IF($G$11=$E$11,$F$11,IF(U229&lt;($F$11-$E$11)/($G$11-$E$11),$E$11+SQRT(U229*($G$11-$E$11)*($F$11-$E$11)),$G$11-SQRT((1-U229)*($G$11-$E$11)*($G$11-$F$11))))</f>
        <v>0.105283492565988</v>
      </c>
      <c r="H229" s="53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-1965110076.94754</v>
      </c>
      <c r="I229" s="53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-41844322.4232605</v>
      </c>
      <c r="J229" s="53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212870085.034363</v>
      </c>
      <c r="K229" s="53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516712244.415674</v>
      </c>
      <c r="L229" s="53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631363552.251522</v>
      </c>
      <c r="M229" s="53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794969331.676379</v>
      </c>
      <c r="N229" s="53" t="n">
        <f aca="false">IF(COUNT('Business Case'!B11:G11)=0,"",H229+NPV(G229,I229:M229))</f>
        <v>-541076824.727938</v>
      </c>
      <c r="P229" s="54" t="n">
        <f aca="true">RAND()</f>
        <v>0.297980218034754</v>
      </c>
      <c r="Q229" s="54" t="n">
        <f aca="true">RAND()</f>
        <v>0.101195317534405</v>
      </c>
      <c r="R229" s="54" t="n">
        <f aca="true">RAND()</f>
        <v>0.309076430543565</v>
      </c>
      <c r="S229" s="54" t="n">
        <f aca="true">RAND()</f>
        <v>0.975310595932209</v>
      </c>
      <c r="T229" s="54" t="n">
        <f aca="true">RAND()</f>
        <v>0.0847864424022834</v>
      </c>
      <c r="U229" s="54" t="n">
        <f aca="true">RAND()</f>
        <v>0.639040681574449</v>
      </c>
    </row>
    <row r="230" customFormat="false" ht="15" hidden="false" customHeight="false" outlineLevel="0" collapsed="false">
      <c r="A230" s="50" t="n">
        <v>150</v>
      </c>
      <c r="B230" s="51" t="n">
        <f aca="false">1+IF($G$6=$E$6,$F$6,IF(P230&lt;($F$6-$E$6)/($G$6-$E$6),$E$6+SQRT(P230*($G$6-$E$6)*($F$6-$E$6)),$G$6-SQRT((1-P230)*($G$6-$E$6)*($G$6-$F$6))))</f>
        <v>0.971475469766148</v>
      </c>
      <c r="C230" s="51" t="n">
        <f aca="false">1+IF($G$7=$E$7,$F$7,IF(Q230&lt;($F$7-$E$7)/($G$7-$E$7),$E$7+SQRT(Q230*($G$7-$E$7)*($F$7-$E$7)),$G$7-SQRT((1-Q230)*($G$7-$E$7)*($G$7-$F$7))))</f>
        <v>1.03499320190714</v>
      </c>
      <c r="D230" s="51" t="n">
        <f aca="false">1+IF($G$8=$E$8,$F$8,IF(R230&lt;($F$8-$E$8)/($G$8-$E$8),$E$8+SQRT(R230*($G$8-$E$8)*($F$8-$E$8)),$G$8-SQRT((1-R230)*($G$8-$E$8)*($G$8-$F$8))))</f>
        <v>1.00653742073612</v>
      </c>
      <c r="E230" s="51" t="n">
        <f aca="false">1+IF($G$9=$E$9,$F$9,IF(S230&lt;($F$9-$E$9)/($G$9-$E$9),$E$9+SQRT(S230*($G$9-$E$9)*($F$9-$E$9)),$G$9-SQRT((1-S230)*($G$9-$E$9)*($G$9-$F$9))))</f>
        <v>0.987019542842009</v>
      </c>
      <c r="F230" s="51" t="n">
        <f aca="false">1+IF($G$10=$E$10,$F$10,IF(T230&lt;($F$10-$E$10)/($G$10-$E$10),$E$10+SQRT(T230*($G$10-$E$10)*($F$10-$E$10)),$G$10-SQRT((1-T230)*($G$10-$E$10)*($G$10-$F$10))))</f>
        <v>1.14337155151411</v>
      </c>
      <c r="G230" s="52" t="n">
        <f aca="false">IF($G$11=$E$11,$F$11,IF(U230&lt;($F$11-$E$11)/($G$11-$E$11),$E$11+SQRT(U230*($G$11-$E$11)*($F$11-$E$11)),$G$11-SQRT((1-U230)*($G$11-$E$11)*($G$11-$F$11))))</f>
        <v>0.0996516803451919</v>
      </c>
      <c r="H230" s="53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-2286743103.02822</v>
      </c>
      <c r="I230" s="53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-16559651.9634209</v>
      </c>
      <c r="J230" s="53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273695621.301009</v>
      </c>
      <c r="K230" s="53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621119472.141143</v>
      </c>
      <c r="L230" s="53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752620290.618824</v>
      </c>
      <c r="M230" s="53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943740124.594612</v>
      </c>
      <c r="N230" s="53" t="n">
        <f aca="false">IF(COUNT('Business Case'!B11:G11)=0,"",H230+NPV(G230,I230:M230))</f>
        <v>-506745781.179889</v>
      </c>
      <c r="P230" s="54" t="n">
        <f aca="true">RAND()</f>
        <v>0.276012915379749</v>
      </c>
      <c r="Q230" s="54" t="n">
        <f aca="true">RAND()</f>
        <v>0.748065455093849</v>
      </c>
      <c r="R230" s="54" t="n">
        <f aca="true">RAND()</f>
        <v>0.481081677682483</v>
      </c>
      <c r="S230" s="54" t="n">
        <f aca="true">RAND()</f>
        <v>0.182726206964183</v>
      </c>
      <c r="T230" s="54" t="n">
        <f aca="true">RAND()</f>
        <v>0.935864376441613</v>
      </c>
      <c r="U230" s="54" t="n">
        <f aca="true">RAND()</f>
        <v>0.310516444952548</v>
      </c>
    </row>
    <row r="231" customFormat="false" ht="15" hidden="false" customHeight="false" outlineLevel="0" collapsed="false">
      <c r="A231" s="50" t="n">
        <v>151</v>
      </c>
      <c r="B231" s="51" t="n">
        <f aca="false">1+IF($G$6=$E$6,$F$6,IF(P231&lt;($F$6-$E$6)/($G$6-$E$6),$E$6+SQRT(P231*($G$6-$E$6)*($F$6-$E$6)),$G$6-SQRT((1-P231)*($G$6-$E$6)*($G$6-$F$6))))</f>
        <v>0.994937114585555</v>
      </c>
      <c r="C231" s="51" t="n">
        <f aca="false">1+IF($G$7=$E$7,$F$7,IF(Q231&lt;($F$7-$E$7)/($G$7-$E$7),$E$7+SQRT(Q231*($G$7-$E$7)*($F$7-$E$7)),$G$7-SQRT((1-Q231)*($G$7-$E$7)*($G$7-$F$7))))</f>
        <v>0.996259038211836</v>
      </c>
      <c r="D231" s="51" t="n">
        <f aca="false">1+IF($G$8=$E$8,$F$8,IF(R231&lt;($F$8-$E$8)/($G$8-$E$8),$E$8+SQRT(R231*($G$8-$E$8)*($F$8-$E$8)),$G$8-SQRT((1-R231)*($G$8-$E$8)*($G$8-$F$8))))</f>
        <v>1.03045622401215</v>
      </c>
      <c r="E231" s="51" t="n">
        <f aca="false">1+IF($G$9=$E$9,$F$9,IF(S231&lt;($F$9-$E$9)/($G$9-$E$9),$E$9+SQRT(S231*($G$9-$E$9)*($F$9-$E$9)),$G$9-SQRT((1-S231)*($G$9-$E$9)*($G$9-$F$9))))</f>
        <v>1.01277246432008</v>
      </c>
      <c r="F231" s="51" t="n">
        <f aca="false">1+IF($G$10=$E$10,$F$10,IF(T231&lt;($F$10-$E$10)/($G$10-$E$10),$E$10+SQRT(T231*($G$10-$E$10)*($F$10-$E$10)),$G$10-SQRT((1-T231)*($G$10-$E$10)*($G$10-$F$10))))</f>
        <v>0.98620141970951</v>
      </c>
      <c r="G231" s="52" t="n">
        <f aca="false">IF($G$11=$E$11,$F$11,IF(U231&lt;($F$11-$E$11)/($G$11-$E$11),$E$11+SQRT(U231*($G$11-$E$11)*($F$11-$E$11)),$G$11-SQRT((1-U231)*($G$11-$E$11)*($G$11-$F$11))))</f>
        <v>0.102832566780805</v>
      </c>
      <c r="H231" s="53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-1972402839.41902</v>
      </c>
      <c r="I231" s="53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-7682199.41402099</v>
      </c>
      <c r="J231" s="53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278656577.982997</v>
      </c>
      <c r="K231" s="53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614305426.365491</v>
      </c>
      <c r="L231" s="53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744008079.107012</v>
      </c>
      <c r="M231" s="53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932418243.957511</v>
      </c>
      <c r="N231" s="53" t="n">
        <f aca="false">IF(COUNT('Business Case'!B11:G11)=0,"",H231+NPV(G231,I231:M231))</f>
        <v>-217737769.704766</v>
      </c>
      <c r="P231" s="54" t="n">
        <f aca="true">RAND()</f>
        <v>0.584955327334225</v>
      </c>
      <c r="Q231" s="54" t="n">
        <f aca="true">RAND()</f>
        <v>0.550251572569071</v>
      </c>
      <c r="R231" s="54" t="n">
        <f aca="true">RAND()</f>
        <v>0.763982140467877</v>
      </c>
      <c r="S231" s="54" t="n">
        <f aca="true">RAND()</f>
        <v>0.492757134613911</v>
      </c>
      <c r="T231" s="54" t="n">
        <f aca="true">RAND()</f>
        <v>0.10484342311873</v>
      </c>
      <c r="U231" s="54" t="n">
        <f aca="true">RAND()</f>
        <v>0.508798727774142</v>
      </c>
    </row>
    <row r="232" customFormat="false" ht="15" hidden="false" customHeight="false" outlineLevel="0" collapsed="false">
      <c r="A232" s="50" t="n">
        <v>152</v>
      </c>
      <c r="B232" s="51" t="n">
        <f aca="false">1+IF($G$6=$E$6,$F$6,IF(P232&lt;($F$6-$E$6)/($G$6-$E$6),$E$6+SQRT(P232*($G$6-$E$6)*($F$6-$E$6)),$G$6-SQRT((1-P232)*($G$6-$E$6)*($G$6-$F$6))))</f>
        <v>0.981710312202909</v>
      </c>
      <c r="C232" s="51" t="n">
        <f aca="false">1+IF($G$7=$E$7,$F$7,IF(Q232&lt;($F$7-$E$7)/($G$7-$E$7),$E$7+SQRT(Q232*($G$7-$E$7)*($F$7-$E$7)),$G$7-SQRT((1-Q232)*($G$7-$E$7)*($G$7-$F$7))))</f>
        <v>0.9642852763836</v>
      </c>
      <c r="D232" s="51" t="n">
        <f aca="false">1+IF($G$8=$E$8,$F$8,IF(R232&lt;($F$8-$E$8)/($G$8-$E$8),$E$8+SQRT(R232*($G$8-$E$8)*($F$8-$E$8)),$G$8-SQRT((1-R232)*($G$8-$E$8)*($G$8-$F$8))))</f>
        <v>0.985159276213353</v>
      </c>
      <c r="E232" s="51" t="n">
        <f aca="false">1+IF($G$9=$E$9,$F$9,IF(S232&lt;($F$9-$E$9)/($G$9-$E$9),$E$9+SQRT(S232*($G$9-$E$9)*($F$9-$E$9)),$G$9-SQRT((1-S232)*($G$9-$E$9)*($G$9-$F$9))))</f>
        <v>0.975923136247592</v>
      </c>
      <c r="F232" s="51" t="n">
        <f aca="false">1+IF($G$10=$E$10,$F$10,IF(T232&lt;($F$10-$E$10)/($G$10-$E$10),$E$10+SQRT(T232*($G$10-$E$10)*($F$10-$E$10)),$G$10-SQRT((1-T232)*($G$10-$E$10)*($G$10-$F$10))))</f>
        <v>1.03952537101452</v>
      </c>
      <c r="G232" s="52" t="n">
        <f aca="false">IF($G$11=$E$11,$F$11,IF(U232&lt;($F$11-$E$11)/($G$11-$E$11),$E$11+SQRT(U232*($G$11-$E$11)*($F$11-$E$11)),$G$11-SQRT((1-U232)*($G$11-$E$11)*($G$11-$F$11))))</f>
        <v>0.111848785741379</v>
      </c>
      <c r="H232" s="53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-2079050742.02904</v>
      </c>
      <c r="I232" s="53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-2740544.6856605</v>
      </c>
      <c r="J232" s="53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286321991.482605</v>
      </c>
      <c r="K232" s="53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627360796.201596</v>
      </c>
      <c r="L232" s="53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756431157.443062</v>
      </c>
      <c r="M232" s="53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936370161.295971</v>
      </c>
      <c r="N232" s="53" t="n">
        <f aca="false">IF(COUNT('Business Case'!B11:G11)=0,"",H232+NPV(G232,I232:M232))</f>
        <v>-347401970.176194</v>
      </c>
      <c r="P232" s="54" t="n">
        <f aca="true">RAND()</f>
        <v>0.396683607518795</v>
      </c>
      <c r="Q232" s="54" t="n">
        <f aca="true">RAND()</f>
        <v>0.385566457663369</v>
      </c>
      <c r="R232" s="54" t="n">
        <f aca="true">RAND()</f>
        <v>0.190180723668749</v>
      </c>
      <c r="S232" s="54" t="n">
        <f aca="true">RAND()</f>
        <v>0.0896011990548277</v>
      </c>
      <c r="T232" s="54" t="n">
        <f aca="true">RAND()</f>
        <v>0.484957869039464</v>
      </c>
      <c r="U232" s="54" t="n">
        <f aca="true">RAND()</f>
        <v>0.889262843516766</v>
      </c>
    </row>
    <row r="233" customFormat="false" ht="15" hidden="false" customHeight="false" outlineLevel="0" collapsed="false">
      <c r="A233" s="50" t="n">
        <v>153</v>
      </c>
      <c r="B233" s="51" t="n">
        <f aca="false">1+IF($G$6=$E$6,$F$6,IF(P233&lt;($F$6-$E$6)/($G$6-$E$6),$E$6+SQRT(P233*($G$6-$E$6)*($F$6-$E$6)),$G$6-SQRT((1-P233)*($G$6-$E$6)*($G$6-$F$6))))</f>
        <v>0.942660951395595</v>
      </c>
      <c r="C233" s="51" t="n">
        <f aca="false">1+IF($G$7=$E$7,$F$7,IF(Q233&lt;($F$7-$E$7)/($G$7-$E$7),$E$7+SQRT(Q233*($G$7-$E$7)*($F$7-$E$7)),$G$7-SQRT((1-Q233)*($G$7-$E$7)*($G$7-$F$7))))</f>
        <v>0.873406076953707</v>
      </c>
      <c r="D233" s="51" t="n">
        <f aca="false">1+IF($G$8=$E$8,$F$8,IF(R233&lt;($F$8-$E$8)/($G$8-$E$8),$E$8+SQRT(R233*($G$8-$E$8)*($F$8-$E$8)),$G$8-SQRT((1-R233)*($G$8-$E$8)*($G$8-$F$8))))</f>
        <v>1.00455801400471</v>
      </c>
      <c r="E233" s="51" t="n">
        <f aca="false">1+IF($G$9=$E$9,$F$9,IF(S233&lt;($F$9-$E$9)/($G$9-$E$9),$E$9+SQRT(S233*($G$9-$E$9)*($F$9-$E$9)),$G$9-SQRT((1-S233)*($G$9-$E$9)*($G$9-$F$9))))</f>
        <v>0.993563674063778</v>
      </c>
      <c r="F233" s="51" t="n">
        <f aca="false">1+IF($G$10=$E$10,$F$10,IF(T233&lt;($F$10-$E$10)/($G$10-$E$10),$E$10+SQRT(T233*($G$10-$E$10)*($F$10-$E$10)),$G$10-SQRT((1-T233)*($G$10-$E$10)*($G$10-$F$10))))</f>
        <v>1.01717241350591</v>
      </c>
      <c r="G233" s="52" t="n">
        <f aca="false">IF($G$11=$E$11,$F$11,IF(U233&lt;($F$11-$E$11)/($G$11-$E$11),$E$11+SQRT(U233*($G$11-$E$11)*($F$11-$E$11)),$G$11-SQRT((1-U233)*($G$11-$E$11)*($G$11-$F$11))))</f>
        <v>0.109218389206979</v>
      </c>
      <c r="H233" s="53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-2034344827.01182</v>
      </c>
      <c r="I233" s="53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-60472083.9306144</v>
      </c>
      <c r="J233" s="53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164739037.592384</v>
      </c>
      <c r="K233" s="53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440808779.790678</v>
      </c>
      <c r="L233" s="53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544333293.399112</v>
      </c>
      <c r="M233" s="53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700831062.120005</v>
      </c>
      <c r="N233" s="53" t="n">
        <f aca="false">IF(COUNT('Business Case'!B11:G11)=0,"",H233+NPV(G233,I233:M233))</f>
        <v>-855013278.580651</v>
      </c>
      <c r="P233" s="54" t="n">
        <f aca="true">RAND()</f>
        <v>0.0534915331409903</v>
      </c>
      <c r="Q233" s="54" t="n">
        <f aca="true">RAND()</f>
        <v>0.0769778876247658</v>
      </c>
      <c r="R233" s="54" t="n">
        <f aca="true">RAND()</f>
        <v>0.452741033565935</v>
      </c>
      <c r="S233" s="54" t="n">
        <f aca="true">RAND()</f>
        <v>0.253039159724672</v>
      </c>
      <c r="T233" s="54" t="n">
        <f aca="true">RAND()</f>
        <v>0.331481472334917</v>
      </c>
      <c r="U233" s="54" t="n">
        <f aca="true">RAND()</f>
        <v>0.806261447846364</v>
      </c>
    </row>
    <row r="234" customFormat="false" ht="15" hidden="false" customHeight="false" outlineLevel="0" collapsed="false">
      <c r="A234" s="50" t="n">
        <v>154</v>
      </c>
      <c r="B234" s="51" t="n">
        <f aca="false">1+IF($G$6=$E$6,$F$6,IF(P234&lt;($F$6-$E$6)/($G$6-$E$6),$E$6+SQRT(P234*($G$6-$E$6)*($F$6-$E$6)),$G$6-SQRT((1-P234)*($G$6-$E$6)*($G$6-$F$6))))</f>
        <v>0.994989498417926</v>
      </c>
      <c r="C234" s="51" t="n">
        <f aca="false">1+IF($G$7=$E$7,$F$7,IF(Q234&lt;($F$7-$E$7)/($G$7-$E$7),$E$7+SQRT(Q234*($G$7-$E$7)*($F$7-$E$7)),$G$7-SQRT((1-Q234)*($G$7-$E$7)*($G$7-$F$7))))</f>
        <v>0.865239325374894</v>
      </c>
      <c r="D234" s="51" t="n">
        <f aca="false">1+IF($G$8=$E$8,$F$8,IF(R234&lt;($F$8-$E$8)/($G$8-$E$8),$E$8+SQRT(R234*($G$8-$E$8)*($F$8-$E$8)),$G$8-SQRT((1-R234)*($G$8-$E$8)*($G$8-$F$8))))</f>
        <v>0.991083153102518</v>
      </c>
      <c r="E234" s="51" t="n">
        <f aca="false">1+IF($G$9=$E$9,$F$9,IF(S234&lt;($F$9-$E$9)/($G$9-$E$9),$E$9+SQRT(S234*($G$9-$E$9)*($F$9-$E$9)),$G$9-SQRT((1-S234)*($G$9-$E$9)*($G$9-$F$9))))</f>
        <v>1.00281684117862</v>
      </c>
      <c r="F234" s="51" t="n">
        <f aca="false">1+IF($G$10=$E$10,$F$10,IF(T234&lt;($F$10-$E$10)/($G$10-$E$10),$E$10+SQRT(T234*($G$10-$E$10)*($F$10-$E$10)),$G$10-SQRT((1-T234)*($G$10-$E$10)*($G$10-$F$10))))</f>
        <v>1.11200573303439</v>
      </c>
      <c r="G234" s="52" t="n">
        <f aca="false">IF($G$11=$E$11,$F$11,IF(U234&lt;($F$11-$E$11)/($G$11-$E$11),$E$11+SQRT(U234*($G$11-$E$11)*($F$11-$E$11)),$G$11-SQRT((1-U234)*($G$11-$E$11)*($G$11-$F$11))))</f>
        <v>0.104910409286991</v>
      </c>
      <c r="H234" s="53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-2224011466.06879</v>
      </c>
      <c r="I234" s="53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-32271744.7726019</v>
      </c>
      <c r="J234" s="53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233886904.130101</v>
      </c>
      <c r="K234" s="53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555645839.684523</v>
      </c>
      <c r="L234" s="53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674118233.022934</v>
      </c>
      <c r="M234" s="53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837758873.395907</v>
      </c>
      <c r="N234" s="53" t="n">
        <f aca="false">IF(COUNT('Business Case'!B11:G11)=0,"",H234+NPV(G234,I234:M234))</f>
        <v>-688687521.63732</v>
      </c>
      <c r="P234" s="54" t="n">
        <f aca="true">RAND()</f>
        <v>0.585773424267933</v>
      </c>
      <c r="Q234" s="54" t="n">
        <f aca="true">RAND()</f>
        <v>0.0608024225053033</v>
      </c>
      <c r="R234" s="54" t="n">
        <f aca="true">RAND()</f>
        <v>0.259665456745376</v>
      </c>
      <c r="S234" s="54" t="n">
        <f aca="true">RAND()</f>
        <v>0.370362242766574</v>
      </c>
      <c r="T234" s="54" t="n">
        <f aca="true">RAND()</f>
        <v>0.845140179623711</v>
      </c>
      <c r="U234" s="54" t="n">
        <f aca="true">RAND()</f>
        <v>0.62050708685644</v>
      </c>
    </row>
    <row r="235" customFormat="false" ht="15" hidden="false" customHeight="false" outlineLevel="0" collapsed="false">
      <c r="A235" s="50" t="n">
        <v>155</v>
      </c>
      <c r="B235" s="51" t="n">
        <f aca="false">1+IF($G$6=$E$6,$F$6,IF(P235&lt;($F$6-$E$6)/($G$6-$E$6),$E$6+SQRT(P235*($G$6-$E$6)*($F$6-$E$6)),$G$6-SQRT((1-P235)*($G$6-$E$6)*($G$6-$F$6))))</f>
        <v>0.994276815011515</v>
      </c>
      <c r="C235" s="51" t="n">
        <f aca="false">1+IF($G$7=$E$7,$F$7,IF(Q235&lt;($F$7-$E$7)/($G$7-$E$7),$E$7+SQRT(Q235*($G$7-$E$7)*($F$7-$E$7)),$G$7-SQRT((1-Q235)*($G$7-$E$7)*($G$7-$F$7))))</f>
        <v>0.992260548758681</v>
      </c>
      <c r="D235" s="51" t="n">
        <f aca="false">1+IF($G$8=$E$8,$F$8,IF(R235&lt;($F$8-$E$8)/($G$8-$E$8),$E$8+SQRT(R235*($G$8-$E$8)*($F$8-$E$8)),$G$8-SQRT((1-R235)*($G$8-$E$8)*($G$8-$F$8))))</f>
        <v>0.986221752808343</v>
      </c>
      <c r="E235" s="51" t="n">
        <f aca="false">1+IF($G$9=$E$9,$F$9,IF(S235&lt;($F$9-$E$9)/($G$9-$E$9),$E$9+SQRT(S235*($G$9-$E$9)*($F$9-$E$9)),$G$9-SQRT((1-S235)*($G$9-$E$9)*($G$9-$F$9))))</f>
        <v>0.983789362568607</v>
      </c>
      <c r="F235" s="51" t="n">
        <f aca="false">1+IF($G$10=$E$10,$F$10,IF(T235&lt;($F$10-$E$10)/($G$10-$E$10),$E$10+SQRT(T235*($G$10-$E$10)*($F$10-$E$10)),$G$10-SQRT((1-T235)*($G$10-$E$10)*($G$10-$F$10))))</f>
        <v>0.956633257769082</v>
      </c>
      <c r="G235" s="52" t="n">
        <f aca="false">IF($G$11=$E$11,$F$11,IF(U235&lt;($F$11-$E$11)/($G$11-$E$11),$E$11+SQRT(U235*($G$11-$E$11)*($F$11-$E$11)),$G$11-SQRT((1-U235)*($G$11-$E$11)*($G$11-$F$11))))</f>
        <v>0.117283251752543</v>
      </c>
      <c r="H235" s="53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-1913266515.53816</v>
      </c>
      <c r="I235" s="53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20419596.6025753</v>
      </c>
      <c r="J235" s="53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327541759.494252</v>
      </c>
      <c r="K235" s="53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682495585.274384</v>
      </c>
      <c r="L235" s="53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818965901.674901</v>
      </c>
      <c r="M235" s="53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1006495343.24301</v>
      </c>
      <c r="N235" s="53" t="n">
        <f aca="false">IF(COUNT('Business Case'!B11:G11)=0,"",H235+NPV(G235,I235:M235))</f>
        <v>-39627406.826678</v>
      </c>
      <c r="P235" s="54" t="n">
        <f aca="true">RAND()</f>
        <v>0.574692213359881</v>
      </c>
      <c r="Q235" s="54" t="n">
        <f aca="true">RAND()</f>
        <v>0.528058837271275</v>
      </c>
      <c r="R235" s="54" t="n">
        <f aca="true">RAND()</f>
        <v>0.201848519462877</v>
      </c>
      <c r="S235" s="54" t="n">
        <f aca="true">RAND()</f>
        <v>0.152229469705706</v>
      </c>
      <c r="T235" s="54" t="n">
        <f aca="true">RAND()</f>
        <v>0.0035200086904873</v>
      </c>
      <c r="U235" s="54" t="n">
        <f aca="true">RAND()</f>
        <v>0.98769879826657</v>
      </c>
    </row>
    <row r="236" customFormat="false" ht="15" hidden="false" customHeight="false" outlineLevel="0" collapsed="false">
      <c r="A236" s="50" t="n">
        <v>156</v>
      </c>
      <c r="B236" s="51" t="n">
        <f aca="false">1+IF($G$6=$E$6,$F$6,IF(P236&lt;($F$6-$E$6)/($G$6-$E$6),$E$6+SQRT(P236*($G$6-$E$6)*($F$6-$E$6)),$G$6-SQRT((1-P236)*($G$6-$E$6)*($G$6-$F$6))))</f>
        <v>1.01555721255818</v>
      </c>
      <c r="C236" s="51" t="n">
        <f aca="false">1+IF($G$7=$E$7,$F$7,IF(Q236&lt;($F$7-$E$7)/($G$7-$E$7),$E$7+SQRT(Q236*($G$7-$E$7)*($F$7-$E$7)),$G$7-SQRT((1-Q236)*($G$7-$E$7)*($G$7-$F$7))))</f>
        <v>1.0359118241521</v>
      </c>
      <c r="D236" s="51" t="n">
        <f aca="false">1+IF($G$8=$E$8,$F$8,IF(R236&lt;($F$8-$E$8)/($G$8-$E$8),$E$8+SQRT(R236*($G$8-$E$8)*($F$8-$E$8)),$G$8-SQRT((1-R236)*($G$8-$E$8)*($G$8-$F$8))))</f>
        <v>0.985992158017589</v>
      </c>
      <c r="E236" s="51" t="n">
        <f aca="false">1+IF($G$9=$E$9,$F$9,IF(S236&lt;($F$9-$E$9)/($G$9-$E$9),$E$9+SQRT(S236*($G$9-$E$9)*($F$9-$E$9)),$G$9-SQRT((1-S236)*($G$9-$E$9)*($G$9-$F$9))))</f>
        <v>1.04014692792978</v>
      </c>
      <c r="F236" s="51" t="n">
        <f aca="false">1+IF($G$10=$E$10,$F$10,IF(T236&lt;($F$10-$E$10)/($G$10-$E$10),$E$10+SQRT(T236*($G$10-$E$10)*($F$10-$E$10)),$G$10-SQRT((1-T236)*($G$10-$E$10)*($G$10-$F$10))))</f>
        <v>1.03667385181902</v>
      </c>
      <c r="G236" s="52" t="n">
        <f aca="false">IF($G$11=$E$11,$F$11,IF(U236&lt;($F$11-$E$11)/($G$11-$E$11),$E$11+SQRT(U236*($G$11-$E$11)*($F$11-$E$11)),$G$11-SQRT((1-U236)*($G$11-$E$11)*($G$11-$F$11))))</f>
        <v>0.10834811754406</v>
      </c>
      <c r="H236" s="53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-2073347703.63803</v>
      </c>
      <c r="I236" s="53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32697490.2094537</v>
      </c>
      <c r="J236" s="53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371508375.995272</v>
      </c>
      <c r="K236" s="53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762152954.372041</v>
      </c>
      <c r="L236" s="53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911447994.462545</v>
      </c>
      <c r="M236" s="53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1111417424.35299</v>
      </c>
      <c r="N236" s="53" t="n">
        <f aca="false">IF(COUNT('Business Case'!B11:G11)=0,"",H236+NPV(G236,I236:M236))</f>
        <v>86840807.8848693</v>
      </c>
      <c r="P236" s="54" t="n">
        <f aca="true">RAND()</f>
        <v>0.875531279598738</v>
      </c>
      <c r="Q236" s="54" t="n">
        <f aca="true">RAND()</f>
        <v>0.752074059651408</v>
      </c>
      <c r="R236" s="54" t="n">
        <f aca="true">RAND()</f>
        <v>0.199297759809703</v>
      </c>
      <c r="S236" s="54" t="n">
        <f aca="true">RAND()</f>
        <v>0.761173984250505</v>
      </c>
      <c r="T236" s="54" t="n">
        <f aca="true">RAND()</f>
        <v>0.466491386407274</v>
      </c>
      <c r="U236" s="54" t="n">
        <f aca="true">RAND()</f>
        <v>0.773722725388279</v>
      </c>
    </row>
    <row r="237" customFormat="false" ht="15" hidden="false" customHeight="false" outlineLevel="0" collapsed="false">
      <c r="A237" s="50" t="n">
        <v>157</v>
      </c>
      <c r="B237" s="51" t="n">
        <f aca="false">1+IF($G$6=$E$6,$F$6,IF(P237&lt;($F$6-$E$6)/($G$6-$E$6),$E$6+SQRT(P237*($G$6-$E$6)*($F$6-$E$6)),$G$6-SQRT((1-P237)*($G$6-$E$6)*($G$6-$F$6))))</f>
        <v>0.961174029269925</v>
      </c>
      <c r="C237" s="51" t="n">
        <f aca="false">1+IF($G$7=$E$7,$F$7,IF(Q237&lt;($F$7-$E$7)/($G$7-$E$7),$E$7+SQRT(Q237*($G$7-$E$7)*($F$7-$E$7)),$G$7-SQRT((1-Q237)*($G$7-$E$7)*($G$7-$F$7))))</f>
        <v>0.97803011437278</v>
      </c>
      <c r="D237" s="51" t="n">
        <f aca="false">1+IF($G$8=$E$8,$F$8,IF(R237&lt;($F$8-$E$8)/($G$8-$E$8),$E$8+SQRT(R237*($G$8-$E$8)*($F$8-$E$8)),$G$8-SQRT((1-R237)*($G$8-$E$8)*($G$8-$F$8))))</f>
        <v>1.01303928135467</v>
      </c>
      <c r="E237" s="51" t="n">
        <f aca="false">1+IF($G$9=$E$9,$F$9,IF(S237&lt;($F$9-$E$9)/($G$9-$E$9),$E$9+SQRT(S237*($G$9-$E$9)*($F$9-$E$9)),$G$9-SQRT((1-S237)*($G$9-$E$9)*($G$9-$F$9))))</f>
        <v>1.03223420319108</v>
      </c>
      <c r="F237" s="51" t="n">
        <f aca="false">1+IF($G$10=$E$10,$F$10,IF(T237&lt;($F$10-$E$10)/($G$10-$E$10),$E$10+SQRT(T237*($G$10-$E$10)*($F$10-$E$10)),$G$10-SQRT((1-T237)*($G$10-$E$10)*($G$10-$F$10))))</f>
        <v>1.0828833308767</v>
      </c>
      <c r="G237" s="52" t="n">
        <f aca="false">IF($G$11=$E$11,$F$11,IF(U237&lt;($F$11-$E$11)/($G$11-$E$11),$E$11+SQRT(U237*($G$11-$E$11)*($F$11-$E$11)),$G$11-SQRT((1-U237)*($G$11-$E$11)*($G$11-$F$11))))</f>
        <v>0.102675006864482</v>
      </c>
      <c r="H237" s="53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-2165766661.75339</v>
      </c>
      <c r="I237" s="53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-41031707.2713878</v>
      </c>
      <c r="J237" s="53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221741184.67585</v>
      </c>
      <c r="K237" s="53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538658243.166922</v>
      </c>
      <c r="L237" s="53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658737582.107457</v>
      </c>
      <c r="M237" s="53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837423644.377132</v>
      </c>
      <c r="N237" s="53" t="n">
        <f aca="false">IF(COUNT('Business Case'!B11:G11)=0,"",H237+NPV(G237,I237:M237))</f>
        <v>-659570710.098902</v>
      </c>
      <c r="P237" s="54" t="n">
        <f aca="true">RAND()</f>
        <v>0.176593821491735</v>
      </c>
      <c r="Q237" s="54" t="n">
        <f aca="true">RAND()</f>
        <v>0.452781737479785</v>
      </c>
      <c r="R237" s="54" t="n">
        <f aca="true">RAND()</f>
        <v>0.568871361394378</v>
      </c>
      <c r="S237" s="54" t="n">
        <f aca="true">RAND()</f>
        <v>0.693853118856836</v>
      </c>
      <c r="T237" s="54" t="n">
        <f aca="true">RAND()</f>
        <v>0.72567371626925</v>
      </c>
      <c r="U237" s="54" t="n">
        <f aca="true">RAND()</f>
        <v>0.499741021423738</v>
      </c>
    </row>
    <row r="238" customFormat="false" ht="15" hidden="false" customHeight="false" outlineLevel="0" collapsed="false">
      <c r="A238" s="50" t="n">
        <v>158</v>
      </c>
      <c r="B238" s="51" t="n">
        <f aca="false">1+IF($G$6=$E$6,$F$6,IF(P238&lt;($F$6-$E$6)/($G$6-$E$6),$E$6+SQRT(P238*($G$6-$E$6)*($F$6-$E$6)),$G$6-SQRT((1-P238)*($G$6-$E$6)*($G$6-$F$6))))</f>
        <v>0.966015481127209</v>
      </c>
      <c r="C238" s="51" t="n">
        <f aca="false">1+IF($G$7=$E$7,$F$7,IF(Q238&lt;($F$7-$E$7)/($G$7-$E$7),$E$7+SQRT(Q238*($G$7-$E$7)*($F$7-$E$7)),$G$7-SQRT((1-Q238)*($G$7-$E$7)*($G$7-$F$7))))</f>
        <v>1.04217253054044</v>
      </c>
      <c r="D238" s="51" t="n">
        <f aca="false">1+IF($G$8=$E$8,$F$8,IF(R238&lt;($F$8-$E$8)/($G$8-$E$8),$E$8+SQRT(R238*($G$8-$E$8)*($F$8-$E$8)),$G$8-SQRT((1-R238)*($G$8-$E$8)*($G$8-$F$8))))</f>
        <v>1.01251798051658</v>
      </c>
      <c r="E238" s="51" t="n">
        <f aca="false">1+IF($G$9=$E$9,$F$9,IF(S238&lt;($F$9-$E$9)/($G$9-$E$9),$E$9+SQRT(S238*($G$9-$E$9)*($F$9-$E$9)),$G$9-SQRT((1-S238)*($G$9-$E$9)*($G$9-$F$9))))</f>
        <v>1.0539116461694</v>
      </c>
      <c r="F238" s="51" t="n">
        <f aca="false">1+IF($G$10=$E$10,$F$10,IF(T238&lt;($F$10-$E$10)/($G$10-$E$10),$E$10+SQRT(T238*($G$10-$E$10)*($F$10-$E$10)),$G$10-SQRT((1-T238)*($G$10-$E$10)*($G$10-$F$10))))</f>
        <v>1.1144631057213</v>
      </c>
      <c r="G238" s="52" t="n">
        <f aca="false">IF($G$11=$E$11,$F$11,IF(U238&lt;($F$11-$E$11)/($G$11-$E$11),$E$11+SQRT(U238*($G$11-$E$11)*($F$11-$E$11)),$G$11-SQRT((1-U238)*($G$11-$E$11)*($G$11-$F$11))))</f>
        <v>0.100436665323623</v>
      </c>
      <c r="H238" s="53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-2228926211.44261</v>
      </c>
      <c r="I238" s="53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-29085465.7127692</v>
      </c>
      <c r="J238" s="53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255331783.986514</v>
      </c>
      <c r="K238" s="53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595472188.971862</v>
      </c>
      <c r="L238" s="53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725071384.708046</v>
      </c>
      <c r="M238" s="53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916435336.808368</v>
      </c>
      <c r="N238" s="53" t="n">
        <f aca="false">IF(COUNT('Business Case'!B11:G11)=0,"",H238+NPV(G238,I238:M238))</f>
        <v>-535297721.909558</v>
      </c>
      <c r="P238" s="54" t="n">
        <f aca="true">RAND()</f>
        <v>0.220565052434218</v>
      </c>
      <c r="Q238" s="54" t="n">
        <f aca="true">RAND()</f>
        <v>0.778537844379971</v>
      </c>
      <c r="R238" s="54" t="n">
        <f aca="true">RAND()</f>
        <v>0.562132408311408</v>
      </c>
      <c r="S238" s="54" t="n">
        <f aca="true">RAND()</f>
        <v>0.858390909412354</v>
      </c>
      <c r="T238" s="54" t="n">
        <f aca="true">RAND()</f>
        <v>0.853668794343104</v>
      </c>
      <c r="U238" s="54" t="n">
        <f aca="true">RAND()</f>
        <v>0.362126560566764</v>
      </c>
    </row>
    <row r="239" customFormat="false" ht="15" hidden="false" customHeight="false" outlineLevel="0" collapsed="false">
      <c r="A239" s="50" t="n">
        <v>159</v>
      </c>
      <c r="B239" s="51" t="n">
        <f aca="false">1+IF($G$6=$E$6,$F$6,IF(P239&lt;($F$6-$E$6)/($G$6-$E$6),$E$6+SQRT(P239*($G$6-$E$6)*($F$6-$E$6)),$G$6-SQRT((1-P239)*($G$6-$E$6)*($G$6-$F$6))))</f>
        <v>0.964200161058362</v>
      </c>
      <c r="C239" s="51" t="n">
        <f aca="false">1+IF($G$7=$E$7,$F$7,IF(Q239&lt;($F$7-$E$7)/($G$7-$E$7),$E$7+SQRT(Q239*($G$7-$E$7)*($F$7-$E$7)),$G$7-SQRT((1-Q239)*($G$7-$E$7)*($G$7-$F$7))))</f>
        <v>0.958308392562358</v>
      </c>
      <c r="D239" s="51" t="n">
        <f aca="false">1+IF($G$8=$E$8,$F$8,IF(R239&lt;($F$8-$E$8)/($G$8-$E$8),$E$8+SQRT(R239*($G$8-$E$8)*($F$8-$E$8)),$G$8-SQRT((1-R239)*($G$8-$E$8)*($G$8-$F$8))))</f>
        <v>1.04162703308666</v>
      </c>
      <c r="E239" s="51" t="n">
        <f aca="false">1+IF($G$9=$E$9,$F$9,IF(S239&lt;($F$9-$E$9)/($G$9-$E$9),$E$9+SQRT(S239*($G$9-$E$9)*($F$9-$E$9)),$G$9-SQRT((1-S239)*($G$9-$E$9)*($G$9-$F$9))))</f>
        <v>1.0029847080013</v>
      </c>
      <c r="F239" s="51" t="n">
        <f aca="false">1+IF($G$10=$E$10,$F$10,IF(T239&lt;($F$10-$E$10)/($G$10-$E$10),$E$10+SQRT(T239*($G$10-$E$10)*($F$10-$E$10)),$G$10-SQRT((1-T239)*($G$10-$E$10)*($G$10-$F$10))))</f>
        <v>1.01778753176423</v>
      </c>
      <c r="G239" s="52" t="n">
        <f aca="false">IF($G$11=$E$11,$F$11,IF(U239&lt;($F$11-$E$11)/($G$11-$E$11),$E$11+SQRT(U239*($G$11-$E$11)*($F$11-$E$11)),$G$11-SQRT((1-U239)*($G$11-$E$11)*($G$11-$F$11))))</f>
        <v>0.0998150967313106</v>
      </c>
      <c r="H239" s="53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-2035575063.52847</v>
      </c>
      <c r="I239" s="53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-46478468.7505581</v>
      </c>
      <c r="J239" s="53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199346458.511574</v>
      </c>
      <c r="K239" s="53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496060762.361918</v>
      </c>
      <c r="L239" s="53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609935883.021617</v>
      </c>
      <c r="M239" s="53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785570013.336052</v>
      </c>
      <c r="N239" s="53" t="n">
        <f aca="false">IF(COUNT('Business Case'!B11:G11)=0,"",H239+NPV(G239,I239:M239))</f>
        <v>-635082998.689864</v>
      </c>
      <c r="P239" s="54" t="n">
        <f aca="true">RAND()</f>
        <v>0.203505649748454</v>
      </c>
      <c r="Q239" s="54" t="n">
        <f aca="true">RAND()</f>
        <v>0.358022102223966</v>
      </c>
      <c r="R239" s="54" t="n">
        <f aca="true">RAND()</f>
        <v>0.858414943294945</v>
      </c>
      <c r="S239" s="54" t="n">
        <f aca="true">RAND()</f>
        <v>0.372535541227086</v>
      </c>
      <c r="T239" s="54" t="n">
        <f aca="true">RAND()</f>
        <v>0.335972328388598</v>
      </c>
      <c r="U239" s="54" t="n">
        <f aca="true">RAND()</f>
        <v>0.321120412816616</v>
      </c>
    </row>
    <row r="240" customFormat="false" ht="15" hidden="false" customHeight="false" outlineLevel="0" collapsed="false">
      <c r="A240" s="50" t="n">
        <v>160</v>
      </c>
      <c r="B240" s="51" t="n">
        <f aca="false">1+IF($G$6=$E$6,$F$6,IF(P240&lt;($F$6-$E$6)/($G$6-$E$6),$E$6+SQRT(P240*($G$6-$E$6)*($F$6-$E$6)),$G$6-SQRT((1-P240)*($G$6-$E$6)*($G$6-$F$6))))</f>
        <v>0.993038057071304</v>
      </c>
      <c r="C240" s="51" t="n">
        <f aca="false">1+IF($G$7=$E$7,$F$7,IF(Q240&lt;($F$7-$E$7)/($G$7-$E$7),$E$7+SQRT(Q240*($G$7-$E$7)*($F$7-$E$7)),$G$7-SQRT((1-Q240)*($G$7-$E$7)*($G$7-$F$7))))</f>
        <v>1.00310701861404</v>
      </c>
      <c r="D240" s="51" t="n">
        <f aca="false">1+IF($G$8=$E$8,$F$8,IF(R240&lt;($F$8-$E$8)/($G$8-$E$8),$E$8+SQRT(R240*($G$8-$E$8)*($F$8-$E$8)),$G$8-SQRT((1-R240)*($G$8-$E$8)*($G$8-$F$8))))</f>
        <v>0.978657223464092</v>
      </c>
      <c r="E240" s="51" t="n">
        <f aca="false">1+IF($G$9=$E$9,$F$9,IF(S240&lt;($F$9-$E$9)/($G$9-$E$9),$E$9+SQRT(S240*($G$9-$E$9)*($F$9-$E$9)),$G$9-SQRT((1-S240)*($G$9-$E$9)*($G$9-$F$9))))</f>
        <v>1.00161094086031</v>
      </c>
      <c r="F240" s="51" t="n">
        <f aca="false">1+IF($G$10=$E$10,$F$10,IF(T240&lt;($F$10-$E$10)/($G$10-$E$10),$E$10+SQRT(T240*($G$10-$E$10)*($F$10-$E$10)),$G$10-SQRT((1-T240)*($G$10-$E$10)*($G$10-$F$10))))</f>
        <v>1.02016609606949</v>
      </c>
      <c r="G240" s="52" t="n">
        <f aca="false">IF($G$11=$E$11,$F$11,IF(U240&lt;($F$11-$E$11)/($G$11-$E$11),$E$11+SQRT(U240*($G$11-$E$11)*($F$11-$E$11)),$G$11-SQRT((1-U240)*($G$11-$E$11)*($G$11-$F$11))))</f>
        <v>0.103358304303984</v>
      </c>
      <c r="H240" s="53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-2040332192.13898</v>
      </c>
      <c r="I240" s="53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17261293.2440042</v>
      </c>
      <c r="J240" s="53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330607311.263677</v>
      </c>
      <c r="K240" s="53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694961634.086824</v>
      </c>
      <c r="L240" s="53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833836333.012304</v>
      </c>
      <c r="M240" s="53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1023179477.39971</v>
      </c>
      <c r="N240" s="53" t="n">
        <f aca="false">IF(COUNT('Business Case'!B11:G11)=0,"",H240+NPV(G240,I240:M240))</f>
        <v>-47414380.1607659</v>
      </c>
      <c r="P240" s="54" t="n">
        <f aca="true">RAND()</f>
        <v>0.555683102161576</v>
      </c>
      <c r="Q240" s="54" t="n">
        <f aca="true">RAND()</f>
        <v>0.588999086086559</v>
      </c>
      <c r="R240" s="54" t="n">
        <f aca="true">RAND()</f>
        <v>0.126344070257063</v>
      </c>
      <c r="S240" s="54" t="n">
        <f aca="true">RAND()</f>
        <v>0.35463953610705</v>
      </c>
      <c r="T240" s="54" t="n">
        <f aca="true">RAND()</f>
        <v>0.353195339942227</v>
      </c>
      <c r="U240" s="54" t="n">
        <f aca="true">RAND()</f>
        <v>0.538423273935358</v>
      </c>
    </row>
    <row r="241" customFormat="false" ht="15" hidden="false" customHeight="false" outlineLevel="0" collapsed="false">
      <c r="A241" s="50" t="n">
        <v>161</v>
      </c>
      <c r="B241" s="51" t="n">
        <f aca="false">1+IF($G$6=$E$6,$F$6,IF(P241&lt;($F$6-$E$6)/($G$6-$E$6),$E$6+SQRT(P241*($G$6-$E$6)*($F$6-$E$6)),$G$6-SQRT((1-P241)*($G$6-$E$6)*($G$6-$F$6))))</f>
        <v>0.94893193249074</v>
      </c>
      <c r="C241" s="51" t="n">
        <f aca="false">1+IF($G$7=$E$7,$F$7,IF(Q241&lt;($F$7-$E$7)/($G$7-$E$7),$E$7+SQRT(Q241*($G$7-$E$7)*($F$7-$E$7)),$G$7-SQRT((1-Q241)*($G$7-$E$7)*($G$7-$F$7))))</f>
        <v>0.956483968997322</v>
      </c>
      <c r="D241" s="51" t="n">
        <f aca="false">1+IF($G$8=$E$8,$F$8,IF(R241&lt;($F$8-$E$8)/($G$8-$E$8),$E$8+SQRT(R241*($G$8-$E$8)*($F$8-$E$8)),$G$8-SQRT((1-R241)*($G$8-$E$8)*($G$8-$F$8))))</f>
        <v>0.991721107902237</v>
      </c>
      <c r="E241" s="51" t="n">
        <f aca="false">1+IF($G$9=$E$9,$F$9,IF(S241&lt;($F$9-$E$9)/($G$9-$E$9),$E$9+SQRT(S241*($G$9-$E$9)*($F$9-$E$9)),$G$9-SQRT((1-S241)*($G$9-$E$9)*($G$9-$F$9))))</f>
        <v>1.04762170822889</v>
      </c>
      <c r="F241" s="51" t="n">
        <f aca="false">1+IF($G$10=$E$10,$F$10,IF(T241&lt;($F$10-$E$10)/($G$10-$E$10),$E$10+SQRT(T241*($G$10-$E$10)*($F$10-$E$10)),$G$10-SQRT((1-T241)*($G$10-$E$10)*($G$10-$F$10))))</f>
        <v>1.0104412619369</v>
      </c>
      <c r="G241" s="52" t="n">
        <f aca="false">IF($G$11=$E$11,$F$11,IF(U241&lt;($F$11-$E$11)/($G$11-$E$11),$E$11+SQRT(U241*($G$11-$E$11)*($F$11-$E$11)),$G$11-SQRT((1-U241)*($G$11-$E$11)*($G$11-$F$11))))</f>
        <v>0.0997202630517459</v>
      </c>
      <c r="H241" s="53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-2020882523.8738</v>
      </c>
      <c r="I241" s="53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-39236445.7265521</v>
      </c>
      <c r="J241" s="53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218595004.958805</v>
      </c>
      <c r="K241" s="53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526948518.741006</v>
      </c>
      <c r="L241" s="53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644260311.174839</v>
      </c>
      <c r="M241" s="53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816784176.637765</v>
      </c>
      <c r="N241" s="53" t="n">
        <f aca="false">IF(COUNT('Business Case'!B11:G11)=0,"",H241+NPV(G241,I241:M241))</f>
        <v>-531315290.447813</v>
      </c>
      <c r="P241" s="54" t="n">
        <f aca="true">RAND()</f>
        <v>0.0871934080884122</v>
      </c>
      <c r="Q241" s="54" t="n">
        <f aca="true">RAND()</f>
        <v>0.349817607902212</v>
      </c>
      <c r="R241" s="54" t="n">
        <f aca="true">RAND()</f>
        <v>0.267792437629252</v>
      </c>
      <c r="S241" s="54" t="n">
        <f aca="true">RAND()</f>
        <v>0.81710097007604</v>
      </c>
      <c r="T241" s="54" t="n">
        <f aca="true">RAND()</f>
        <v>0.281349696478487</v>
      </c>
      <c r="U241" s="54" t="n">
        <f aca="true">RAND()</f>
        <v>0.314945045983788</v>
      </c>
    </row>
    <row r="242" customFormat="false" ht="15" hidden="false" customHeight="false" outlineLevel="0" collapsed="false">
      <c r="A242" s="50" t="n">
        <v>162</v>
      </c>
      <c r="B242" s="51" t="n">
        <f aca="false">1+IF($G$6=$E$6,$F$6,IF(P242&lt;($F$6-$E$6)/($G$6-$E$6),$E$6+SQRT(P242*($G$6-$E$6)*($F$6-$E$6)),$G$6-SQRT((1-P242)*($G$6-$E$6)*($G$6-$F$6))))</f>
        <v>1.01127611347745</v>
      </c>
      <c r="C242" s="51" t="n">
        <f aca="false">1+IF($G$7=$E$7,$F$7,IF(Q242&lt;($F$7-$E$7)/($G$7-$E$7),$E$7+SQRT(Q242*($G$7-$E$7)*($F$7-$E$7)),$G$7-SQRT((1-Q242)*($G$7-$E$7)*($G$7-$F$7))))</f>
        <v>1.05691501636747</v>
      </c>
      <c r="D242" s="51" t="n">
        <f aca="false">1+IF($G$8=$E$8,$F$8,IF(R242&lt;($F$8-$E$8)/($G$8-$E$8),$E$8+SQRT(R242*($G$8-$E$8)*($F$8-$E$8)),$G$8-SQRT((1-R242)*($G$8-$E$8)*($G$8-$F$8))))</f>
        <v>1.00060875826983</v>
      </c>
      <c r="E242" s="51" t="n">
        <f aca="false">1+IF($G$9=$E$9,$F$9,IF(S242&lt;($F$9-$E$9)/($G$9-$E$9),$E$9+SQRT(S242*($G$9-$E$9)*($F$9-$E$9)),$G$9-SQRT((1-S242)*($G$9-$E$9)*($G$9-$F$9))))</f>
        <v>1.04007611362613</v>
      </c>
      <c r="F242" s="51" t="n">
        <f aca="false">1+IF($G$10=$E$10,$F$10,IF(T242&lt;($F$10-$E$10)/($G$10-$E$10),$E$10+SQRT(T242*($G$10-$E$10)*($F$10-$E$10)),$G$10-SQRT((1-T242)*($G$10-$E$10)*($G$10-$F$10))))</f>
        <v>1.00552738324876</v>
      </c>
      <c r="G242" s="52" t="n">
        <f aca="false">IF($G$11=$E$11,$F$11,IF(U242&lt;($F$11-$E$11)/($G$11-$E$11),$E$11+SQRT(U242*($G$11-$E$11)*($F$11-$E$11)),$G$11-SQRT((1-U242)*($G$11-$E$11)*($G$11-$F$11))))</f>
        <v>0.107253962384697</v>
      </c>
      <c r="H242" s="53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-2011054766.49753</v>
      </c>
      <c r="I242" s="53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30205942.0903161</v>
      </c>
      <c r="J242" s="53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364271743.918999</v>
      </c>
      <c r="K242" s="53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748613914.910121</v>
      </c>
      <c r="L242" s="53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896908047.556918</v>
      </c>
      <c r="M242" s="53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1100071807.09505</v>
      </c>
      <c r="N242" s="53" t="n">
        <f aca="false">IF(COUNT('Business Case'!B11:G11)=0,"",H242+NPV(G242,I242:M242))</f>
        <v>122486076.821261</v>
      </c>
      <c r="P242" s="54" t="n">
        <f aca="true">RAND()</f>
        <v>0.828112154799954</v>
      </c>
      <c r="Q242" s="54" t="n">
        <f aca="true">RAND()</f>
        <v>0.83495592042157</v>
      </c>
      <c r="R242" s="54" t="n">
        <f aca="true">RAND()</f>
        <v>0.393945263128992</v>
      </c>
      <c r="S242" s="54" t="n">
        <f aca="true">RAND()</f>
        <v>0.760608522790135</v>
      </c>
      <c r="T242" s="54" t="n">
        <f aca="true">RAND()</f>
        <v>0.243608026678526</v>
      </c>
      <c r="U242" s="54" t="n">
        <f aca="true">RAND()</f>
        <v>0.729230875182145</v>
      </c>
    </row>
    <row r="243" customFormat="false" ht="15" hidden="false" customHeight="false" outlineLevel="0" collapsed="false">
      <c r="A243" s="50" t="n">
        <v>163</v>
      </c>
      <c r="B243" s="51" t="n">
        <f aca="false">1+IF($G$6=$E$6,$F$6,IF(P243&lt;($F$6-$E$6)/($G$6-$E$6),$E$6+SQRT(P243*($G$6-$E$6)*($F$6-$E$6)),$G$6-SQRT((1-P243)*($G$6-$E$6)*($G$6-$F$6))))</f>
        <v>0.995416016480666</v>
      </c>
      <c r="C243" s="51" t="n">
        <f aca="false">1+IF($G$7=$E$7,$F$7,IF(Q243&lt;($F$7-$E$7)/($G$7-$E$7),$E$7+SQRT(Q243*($G$7-$E$7)*($F$7-$E$7)),$G$7-SQRT((1-Q243)*($G$7-$E$7)*($G$7-$F$7))))</f>
        <v>0.978039065876368</v>
      </c>
      <c r="D243" s="51" t="n">
        <f aca="false">1+IF($G$8=$E$8,$F$8,IF(R243&lt;($F$8-$E$8)/($G$8-$E$8),$E$8+SQRT(R243*($G$8-$E$8)*($F$8-$E$8)),$G$8-SQRT((1-R243)*($G$8-$E$8)*($G$8-$F$8))))</f>
        <v>1.02002181540903</v>
      </c>
      <c r="E243" s="51" t="n">
        <f aca="false">1+IF($G$9=$E$9,$F$9,IF(S243&lt;($F$9-$E$9)/($G$9-$E$9),$E$9+SQRT(S243*($G$9-$E$9)*($F$9-$E$9)),$G$9-SQRT((1-S243)*($G$9-$E$9)*($G$9-$F$9))))</f>
        <v>0.985651628034865</v>
      </c>
      <c r="F243" s="51" t="n">
        <f aca="false">1+IF($G$10=$E$10,$F$10,IF(T243&lt;($F$10-$E$10)/($G$10-$E$10),$E$10+SQRT(T243*($G$10-$E$10)*($F$10-$E$10)),$G$10-SQRT((1-T243)*($G$10-$E$10)*($G$10-$F$10))))</f>
        <v>1.02183373343504</v>
      </c>
      <c r="G243" s="52" t="n">
        <f aca="false">IF($G$11=$E$11,$F$11,IF(U243&lt;($F$11-$E$11)/($G$11-$E$11),$E$11+SQRT(U243*($G$11-$E$11)*($F$11-$E$11)),$G$11-SQRT((1-U243)*($G$11-$E$11)*($G$11-$F$11))))</f>
        <v>0.0989026783027748</v>
      </c>
      <c r="H243" s="53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-2043667466.87007</v>
      </c>
      <c r="I243" s="53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-6102145.22801016</v>
      </c>
      <c r="J243" s="53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280607874.521585</v>
      </c>
      <c r="K243" s="53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618409580.942931</v>
      </c>
      <c r="L243" s="53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747625674.277826</v>
      </c>
      <c r="M243" s="53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932679151.412153</v>
      </c>
      <c r="N243" s="53" t="n">
        <f aca="false">IF(COUNT('Business Case'!B11:G11)=0,"",H243+NPV(G243,I243:M243))</f>
        <v>-256137524.996907</v>
      </c>
      <c r="P243" s="54" t="n">
        <f aca="true">RAND()</f>
        <v>0.59245578560543</v>
      </c>
      <c r="Q243" s="54" t="n">
        <f aca="true">RAND()</f>
        <v>0.452827271116139</v>
      </c>
      <c r="R243" s="54" t="n">
        <f aca="true">RAND()</f>
        <v>0.654097824343473</v>
      </c>
      <c r="S243" s="54" t="n">
        <f aca="true">RAND()</f>
        <v>0.169471810871516</v>
      </c>
      <c r="T243" s="54" t="n">
        <f aca="true">RAND()</f>
        <v>0.365135629166038</v>
      </c>
      <c r="U243" s="54" t="n">
        <f aca="true">RAND()</f>
        <v>0.264192269875657</v>
      </c>
    </row>
    <row r="244" customFormat="false" ht="15" hidden="false" customHeight="false" outlineLevel="0" collapsed="false">
      <c r="A244" s="50" t="n">
        <v>164</v>
      </c>
      <c r="B244" s="51" t="n">
        <f aca="false">1+IF($G$6=$E$6,$F$6,IF(P244&lt;($F$6-$E$6)/($G$6-$E$6),$E$6+SQRT(P244*($G$6-$E$6)*($F$6-$E$6)),$G$6-SQRT((1-P244)*($G$6-$E$6)*($G$6-$F$6))))</f>
        <v>1.00729185499721</v>
      </c>
      <c r="C244" s="51" t="n">
        <f aca="false">1+IF($G$7=$E$7,$F$7,IF(Q244&lt;($F$7-$E$7)/($G$7-$E$7),$E$7+SQRT(Q244*($G$7-$E$7)*($F$7-$E$7)),$G$7-SQRT((1-Q244)*($G$7-$E$7)*($G$7-$F$7))))</f>
        <v>1.09105999468844</v>
      </c>
      <c r="D244" s="51" t="n">
        <f aca="false">1+IF($G$8=$E$8,$F$8,IF(R244&lt;($F$8-$E$8)/($G$8-$E$8),$E$8+SQRT(R244*($G$8-$E$8)*($F$8-$E$8)),$G$8-SQRT((1-R244)*($G$8-$E$8)*($G$8-$F$8))))</f>
        <v>1.06057972753355</v>
      </c>
      <c r="E244" s="51" t="n">
        <f aca="false">1+IF($G$9=$E$9,$F$9,IF(S244&lt;($F$9-$E$9)/($G$9-$E$9),$E$9+SQRT(S244*($G$9-$E$9)*($F$9-$E$9)),$G$9-SQRT((1-S244)*($G$9-$E$9)*($G$9-$F$9))))</f>
        <v>0.97361049724134</v>
      </c>
      <c r="F244" s="51" t="n">
        <f aca="false">1+IF($G$10=$E$10,$F$10,IF(T244&lt;($F$10-$E$10)/($G$10-$E$10),$E$10+SQRT(T244*($G$10-$E$10)*($F$10-$E$10)),$G$10-SQRT((1-T244)*($G$10-$E$10)*($G$10-$F$10))))</f>
        <v>0.979984779779285</v>
      </c>
      <c r="G244" s="52" t="n">
        <f aca="false">IF($G$11=$E$11,$F$11,IF(U244&lt;($F$11-$E$11)/($G$11-$E$11),$E$11+SQRT(U244*($G$11-$E$11)*($F$11-$E$11)),$G$11-SQRT((1-U244)*($G$11-$E$11)*($G$11-$F$11))))</f>
        <v>0.09526275012956</v>
      </c>
      <c r="H244" s="53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-1959969559.55857</v>
      </c>
      <c r="I244" s="53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14382878.0457752</v>
      </c>
      <c r="J244" s="53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322184628.231918</v>
      </c>
      <c r="K244" s="53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678985617.407024</v>
      </c>
      <c r="L244" s="53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819568188.438886</v>
      </c>
      <c r="M244" s="53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1028469120.43953</v>
      </c>
      <c r="N244" s="53" t="n">
        <f aca="false">IF(COUNT('Business Case'!B11:G11)=0,"",H244+NPV(G244,I244:M244))</f>
        <v>60571358.0729106</v>
      </c>
      <c r="P244" s="54" t="n">
        <f aca="true">RAND()</f>
        <v>0.777120260515915</v>
      </c>
      <c r="Q244" s="54" t="n">
        <f aca="true">RAND()</f>
        <v>0.933830014740448</v>
      </c>
      <c r="R244" s="54" t="n">
        <f aca="true">RAND()</f>
        <v>0.963735867050862</v>
      </c>
      <c r="S244" s="54" t="n">
        <f aca="true">RAND()</f>
        <v>0.0743274106644435</v>
      </c>
      <c r="T244" s="54" t="n">
        <f aca="true">RAND()</f>
        <v>0.0719269614729783</v>
      </c>
      <c r="U244" s="54" t="n">
        <f aca="true">RAND()</f>
        <v>0.0923217964206121</v>
      </c>
    </row>
    <row r="245" customFormat="false" ht="15" hidden="false" customHeight="false" outlineLevel="0" collapsed="false">
      <c r="A245" s="50" t="n">
        <v>165</v>
      </c>
      <c r="B245" s="51" t="n">
        <f aca="false">1+IF($G$6=$E$6,$F$6,IF(P245&lt;($F$6-$E$6)/($G$6-$E$6),$E$6+SQRT(P245*($G$6-$E$6)*($F$6-$E$6)),$G$6-SQRT((1-P245)*($G$6-$E$6)*($G$6-$F$6))))</f>
        <v>1.00702453889777</v>
      </c>
      <c r="C245" s="51" t="n">
        <f aca="false">1+IF($G$7=$E$7,$F$7,IF(Q245&lt;($F$7-$E$7)/($G$7-$E$7),$E$7+SQRT(Q245*($G$7-$E$7)*($F$7-$E$7)),$G$7-SQRT((1-Q245)*($G$7-$E$7)*($G$7-$F$7))))</f>
        <v>0.955940173584951</v>
      </c>
      <c r="D245" s="51" t="n">
        <f aca="false">1+IF($G$8=$E$8,$F$8,IF(R245&lt;($F$8-$E$8)/($G$8-$E$8),$E$8+SQRT(R245*($G$8-$E$8)*($F$8-$E$8)),$G$8-SQRT((1-R245)*($G$8-$E$8)*($G$8-$F$8))))</f>
        <v>1.02533086309006</v>
      </c>
      <c r="E245" s="51" t="n">
        <f aca="false">1+IF($G$9=$E$9,$F$9,IF(S245&lt;($F$9-$E$9)/($G$9-$E$9),$E$9+SQRT(S245*($G$9-$E$9)*($F$9-$E$9)),$G$9-SQRT((1-S245)*($G$9-$E$9)*($G$9-$F$9))))</f>
        <v>1.03705069686411</v>
      </c>
      <c r="F245" s="51" t="n">
        <f aca="false">1+IF($G$10=$E$10,$F$10,IF(T245&lt;($F$10-$E$10)/($G$10-$E$10),$E$10+SQRT(T245*($G$10-$E$10)*($F$10-$E$10)),$G$10-SQRT((1-T245)*($G$10-$E$10)*($G$10-$F$10))))</f>
        <v>1.03901244796454</v>
      </c>
      <c r="G245" s="52" t="n">
        <f aca="false">IF($G$11=$E$11,$F$11,IF(U245&lt;($F$11-$E$11)/($G$11-$E$11),$E$11+SQRT(U245*($G$11-$E$11)*($F$11-$E$11)),$G$11-SQRT((1-U245)*($G$11-$E$11)*($G$11-$F$11))))</f>
        <v>0.106431042836643</v>
      </c>
      <c r="H245" s="53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-2078024895.92907</v>
      </c>
      <c r="I245" s="53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-14550898.6637626</v>
      </c>
      <c r="J245" s="53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272172102.77995</v>
      </c>
      <c r="K245" s="53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610845726.621889</v>
      </c>
      <c r="L245" s="53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739689424.581091</v>
      </c>
      <c r="M245" s="53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922670927.376558</v>
      </c>
      <c r="N245" s="53" t="n">
        <f aca="false">IF(COUNT('Business Case'!B11:G11)=0,"",H245+NPV(G245,I245:M245))</f>
        <v>-367844153.427375</v>
      </c>
      <c r="P245" s="54" t="n">
        <f aca="true">RAND()</f>
        <v>0.773462284394923</v>
      </c>
      <c r="Q245" s="54" t="n">
        <f aca="true">RAND()</f>
        <v>0.347390539110065</v>
      </c>
      <c r="R245" s="54" t="n">
        <f aca="true">RAND()</f>
        <v>0.712623602838642</v>
      </c>
      <c r="S245" s="54" t="n">
        <f aca="true">RAND()</f>
        <v>0.735825682313682</v>
      </c>
      <c r="T245" s="54" t="n">
        <f aca="true">RAND()</f>
        <v>0.481660161792583</v>
      </c>
      <c r="U245" s="54" t="n">
        <f aca="true">RAND()</f>
        <v>0.693139002498285</v>
      </c>
    </row>
    <row r="246" customFormat="false" ht="15" hidden="false" customHeight="false" outlineLevel="0" collapsed="false">
      <c r="A246" s="50" t="n">
        <v>166</v>
      </c>
      <c r="B246" s="51" t="n">
        <f aca="false">1+IF($G$6=$E$6,$F$6,IF(P246&lt;($F$6-$E$6)/($G$6-$E$6),$E$6+SQRT(P246*($G$6-$E$6)*($F$6-$E$6)),$G$6-SQRT((1-P246)*($G$6-$E$6)*($G$6-$F$6))))</f>
        <v>0.948507595666346</v>
      </c>
      <c r="C246" s="51" t="n">
        <f aca="false">1+IF($G$7=$E$7,$F$7,IF(Q246&lt;($F$7-$E$7)/($G$7-$E$7),$E$7+SQRT(Q246*($G$7-$E$7)*($F$7-$E$7)),$G$7-SQRT((1-Q246)*($G$7-$E$7)*($G$7-$F$7))))</f>
        <v>1.07965069012118</v>
      </c>
      <c r="D246" s="51" t="n">
        <f aca="false">1+IF($G$8=$E$8,$F$8,IF(R246&lt;($F$8-$E$8)/($G$8-$E$8),$E$8+SQRT(R246*($G$8-$E$8)*($F$8-$E$8)),$G$8-SQRT((1-R246)*($G$8-$E$8)*($G$8-$F$8))))</f>
        <v>1.00617990599205</v>
      </c>
      <c r="E246" s="51" t="n">
        <f aca="false">1+IF($G$9=$E$9,$F$9,IF(S246&lt;($F$9-$E$9)/($G$9-$E$9),$E$9+SQRT(S246*($G$9-$E$9)*($F$9-$E$9)),$G$9-SQRT((1-S246)*($G$9-$E$9)*($G$9-$F$9))))</f>
        <v>1.0212790206957</v>
      </c>
      <c r="F246" s="51" t="n">
        <f aca="false">1+IF($G$10=$E$10,$F$10,IF(T246&lt;($F$10-$E$10)/($G$10-$E$10),$E$10+SQRT(T246*($G$10-$E$10)*($F$10-$E$10)),$G$10-SQRT((1-T246)*($G$10-$E$10)*($G$10-$F$10))))</f>
        <v>1.09946314918589</v>
      </c>
      <c r="G246" s="52" t="n">
        <f aca="false">IF($G$11=$E$11,$F$11,IF(U246&lt;($F$11-$E$11)/($G$11-$E$11),$E$11+SQRT(U246*($G$11-$E$11)*($F$11-$E$11)),$G$11-SQRT((1-U246)*($G$11-$E$11)*($G$11-$F$11))))</f>
        <v>0.10379397878096</v>
      </c>
      <c r="H246" s="53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-2198926298.37178</v>
      </c>
      <c r="I246" s="53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-25593366.3938321</v>
      </c>
      <c r="J246" s="53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257072567.545824</v>
      </c>
      <c r="K246" s="53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594711658.944775</v>
      </c>
      <c r="L246" s="53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724325042.705974</v>
      </c>
      <c r="M246" s="53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918977774.5032</v>
      </c>
      <c r="N246" s="53" t="n">
        <f aca="false">IF(COUNT('Business Case'!B11:G11)=0,"",H246+NPV(G246,I246:M246))</f>
        <v>-520059952.438876</v>
      </c>
      <c r="P246" s="54" t="n">
        <f aca="true">RAND()</f>
        <v>0.0846544802787367</v>
      </c>
      <c r="Q246" s="54" t="n">
        <f aca="true">RAND()</f>
        <v>0.905732849515682</v>
      </c>
      <c r="R246" s="54" t="n">
        <f aca="true">RAND()</f>
        <v>0.476018626986263</v>
      </c>
      <c r="S246" s="54" t="n">
        <f aca="true">RAND()</f>
        <v>0.586867161158145</v>
      </c>
      <c r="T246" s="54" t="n">
        <f aca="true">RAND()</f>
        <v>0.797846832567628</v>
      </c>
      <c r="U246" s="54" t="n">
        <f aca="true">RAND()</f>
        <v>0.562274793746723</v>
      </c>
    </row>
    <row r="247" customFormat="false" ht="15" hidden="false" customHeight="false" outlineLevel="0" collapsed="false">
      <c r="A247" s="50" t="n">
        <v>167</v>
      </c>
      <c r="B247" s="51" t="n">
        <f aca="false">1+IF($G$6=$E$6,$F$6,IF(P247&lt;($F$6-$E$6)/($G$6-$E$6),$E$6+SQRT(P247*($G$6-$E$6)*($F$6-$E$6)),$G$6-SQRT((1-P247)*($G$6-$E$6)*($G$6-$F$6))))</f>
        <v>0.969713983162137</v>
      </c>
      <c r="C247" s="51" t="n">
        <f aca="false">1+IF($G$7=$E$7,$F$7,IF(Q247&lt;($F$7-$E$7)/($G$7-$E$7),$E$7+SQRT(Q247*($G$7-$E$7)*($F$7-$E$7)),$G$7-SQRT((1-Q247)*($G$7-$E$7)*($G$7-$F$7))))</f>
        <v>1.02498684178529</v>
      </c>
      <c r="D247" s="51" t="n">
        <f aca="false">1+IF($G$8=$E$8,$F$8,IF(R247&lt;($F$8-$E$8)/($G$8-$E$8),$E$8+SQRT(R247*($G$8-$E$8)*($F$8-$E$8)),$G$8-SQRT((1-R247)*($G$8-$E$8)*($G$8-$F$8))))</f>
        <v>1.01089395014659</v>
      </c>
      <c r="E247" s="51" t="n">
        <f aca="false">1+IF($G$9=$E$9,$F$9,IF(S247&lt;($F$9-$E$9)/($G$9-$E$9),$E$9+SQRT(S247*($G$9-$E$9)*($F$9-$E$9)),$G$9-SQRT((1-S247)*($G$9-$E$9)*($G$9-$F$9))))</f>
        <v>1.00571308426622</v>
      </c>
      <c r="F247" s="51" t="n">
        <f aca="false">1+IF($G$10=$E$10,$F$10,IF(T247&lt;($F$10-$E$10)/($G$10-$E$10),$E$10+SQRT(T247*($G$10-$E$10)*($F$10-$E$10)),$G$10-SQRT((1-T247)*($G$10-$E$10)*($G$10-$F$10))))</f>
        <v>1.0310480994985</v>
      </c>
      <c r="G247" s="52" t="n">
        <f aca="false">IF($G$11=$E$11,$F$11,IF(U247&lt;($F$11-$E$11)/($G$11-$E$11),$E$11+SQRT(U247*($G$11-$E$11)*($F$11-$E$11)),$G$11-SQRT((1-U247)*($G$11-$E$11)*($G$11-$F$11))))</f>
        <v>0.10182619197864</v>
      </c>
      <c r="H247" s="53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-2062096198.997</v>
      </c>
      <c r="I247" s="53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-13958953.8872542</v>
      </c>
      <c r="J247" s="53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269725363.504204</v>
      </c>
      <c r="K247" s="53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604962085.870588</v>
      </c>
      <c r="L247" s="53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733874232.165212</v>
      </c>
      <c r="M247" s="53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922803121.567969</v>
      </c>
      <c r="N247" s="53" t="n">
        <f aca="false">IF(COUNT('Business Case'!B11:G11)=0,"",H247+NPV(G247,I247:M247))</f>
        <v>-334142627.779573</v>
      </c>
      <c r="P247" s="54" t="n">
        <f aca="true">RAND()</f>
        <v>0.257445846025547</v>
      </c>
      <c r="Q247" s="54" t="n">
        <f aca="true">RAND()</f>
        <v>0.702318290917773</v>
      </c>
      <c r="R247" s="54" t="n">
        <f aca="true">RAND()</f>
        <v>0.540803257082503</v>
      </c>
      <c r="S247" s="54" t="n">
        <f aca="true">RAND()</f>
        <v>0.407331834760709</v>
      </c>
      <c r="T247" s="54" t="n">
        <f aca="true">RAND()</f>
        <v>0.42910510633863</v>
      </c>
      <c r="U247" s="54" t="n">
        <f aca="true">RAND()</f>
        <v>0.44952117000458</v>
      </c>
    </row>
    <row r="248" customFormat="false" ht="15" hidden="false" customHeight="false" outlineLevel="0" collapsed="false">
      <c r="A248" s="50" t="n">
        <v>168</v>
      </c>
      <c r="B248" s="51" t="n">
        <f aca="false">1+IF($G$6=$E$6,$F$6,IF(P248&lt;($F$6-$E$6)/($G$6-$E$6),$E$6+SQRT(P248*($G$6-$E$6)*($F$6-$E$6)),$G$6-SQRT((1-P248)*($G$6-$E$6)*($G$6-$F$6))))</f>
        <v>0.994228582587906</v>
      </c>
      <c r="C248" s="51" t="n">
        <f aca="false">1+IF($G$7=$E$7,$F$7,IF(Q248&lt;($F$7-$E$7)/($G$7-$E$7),$E$7+SQRT(Q248*($G$7-$E$7)*($F$7-$E$7)),$G$7-SQRT((1-Q248)*($G$7-$E$7)*($G$7-$F$7))))</f>
        <v>1.0122803285508</v>
      </c>
      <c r="D248" s="51" t="n">
        <f aca="false">1+IF($G$8=$E$8,$F$8,IF(R248&lt;($F$8-$E$8)/($G$8-$E$8),$E$8+SQRT(R248*($G$8-$E$8)*($F$8-$E$8)),$G$8-SQRT((1-R248)*($G$8-$E$8)*($G$8-$F$8))))</f>
        <v>1.01372241908282</v>
      </c>
      <c r="E248" s="51" t="n">
        <f aca="false">1+IF($G$9=$E$9,$F$9,IF(S248&lt;($F$9-$E$9)/($G$9-$E$9),$E$9+SQRT(S248*($G$9-$E$9)*($F$9-$E$9)),$G$9-SQRT((1-S248)*($G$9-$E$9)*($G$9-$F$9))))</f>
        <v>1.06876220766088</v>
      </c>
      <c r="F248" s="51" t="n">
        <f aca="false">1+IF($G$10=$E$10,$F$10,IF(T248&lt;($F$10-$E$10)/($G$10-$E$10),$E$10+SQRT(T248*($G$10-$E$10)*($F$10-$E$10)),$G$10-SQRT((1-T248)*($G$10-$E$10)*($G$10-$F$10))))</f>
        <v>1.01485535422009</v>
      </c>
      <c r="G248" s="52" t="n">
        <f aca="false">IF($G$11=$E$11,$F$11,IF(U248&lt;($F$11-$E$11)/($G$11-$E$11),$E$11+SQRT(U248*($G$11-$E$11)*($F$11-$E$11)),$G$11-SQRT((1-U248)*($G$11-$E$11)*($G$11-$F$11))))</f>
        <v>0.100452705750021</v>
      </c>
      <c r="H248" s="53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-2029710708.44018</v>
      </c>
      <c r="I248" s="53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-6609647.11798553</v>
      </c>
      <c r="J248" s="53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292417974.913925</v>
      </c>
      <c r="K248" s="53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642188364.65684</v>
      </c>
      <c r="L248" s="53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776646737.199816</v>
      </c>
      <c r="M248" s="53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967950479.127686</v>
      </c>
      <c r="N248" s="53" t="n">
        <f aca="false">IF(COUNT('Business Case'!B11:G11)=0,"",H248+NPV(G248,I248:M248))</f>
        <v>-182983952.890299</v>
      </c>
      <c r="P248" s="54" t="n">
        <f aca="true">RAND()</f>
        <v>0.573946090938501</v>
      </c>
      <c r="Q248" s="54" t="n">
        <f aca="true">RAND()</f>
        <v>0.638729373255727</v>
      </c>
      <c r="R248" s="54" t="n">
        <f aca="true">RAND()</f>
        <v>0.577623294977617</v>
      </c>
      <c r="S248" s="54" t="n">
        <f aca="true">RAND()</f>
        <v>0.934946688651872</v>
      </c>
      <c r="T248" s="54" t="n">
        <f aca="true">RAND()</f>
        <v>0.314429202780629</v>
      </c>
      <c r="U248" s="54" t="n">
        <f aca="true">RAND()</f>
        <v>0.363172145841204</v>
      </c>
    </row>
    <row r="249" customFormat="false" ht="15" hidden="false" customHeight="false" outlineLevel="0" collapsed="false">
      <c r="A249" s="50" t="n">
        <v>169</v>
      </c>
      <c r="B249" s="51" t="n">
        <f aca="false">1+IF($G$6=$E$6,$F$6,IF(P249&lt;($F$6-$E$6)/($G$6-$E$6),$E$6+SQRT(P249*($G$6-$E$6)*($F$6-$E$6)),$G$6-SQRT((1-P249)*($G$6-$E$6)*($G$6-$F$6))))</f>
        <v>0.994381701061574</v>
      </c>
      <c r="C249" s="51" t="n">
        <f aca="false">1+IF($G$7=$E$7,$F$7,IF(Q249&lt;($F$7-$E$7)/($G$7-$E$7),$E$7+SQRT(Q249*($G$7-$E$7)*($F$7-$E$7)),$G$7-SQRT((1-Q249)*($G$7-$E$7)*($G$7-$F$7))))</f>
        <v>0.824429773214733</v>
      </c>
      <c r="D249" s="51" t="n">
        <f aca="false">1+IF($G$8=$E$8,$F$8,IF(R249&lt;($F$8-$E$8)/($G$8-$E$8),$E$8+SQRT(R249*($G$8-$E$8)*($F$8-$E$8)),$G$8-SQRT((1-R249)*($G$8-$E$8)*($G$8-$F$8))))</f>
        <v>0.959359471310939</v>
      </c>
      <c r="E249" s="51" t="n">
        <f aca="false">1+IF($G$9=$E$9,$F$9,IF(S249&lt;($F$9-$E$9)/($G$9-$E$9),$E$9+SQRT(S249*($G$9-$E$9)*($F$9-$E$9)),$G$9-SQRT((1-S249)*($G$9-$E$9)*($G$9-$F$9))))</f>
        <v>1.05897713219332</v>
      </c>
      <c r="F249" s="51" t="n">
        <f aca="false">1+IF($G$10=$E$10,$F$10,IF(T249&lt;($F$10-$E$10)/($G$10-$E$10),$E$10+SQRT(T249*($G$10-$E$10)*($F$10-$E$10)),$G$10-SQRT((1-T249)*($G$10-$E$10)*($G$10-$F$10))))</f>
        <v>1.08781736033415</v>
      </c>
      <c r="G249" s="52" t="n">
        <f aca="false">IF($G$11=$E$11,$F$11,IF(U249&lt;($F$11-$E$11)/($G$11-$E$11),$E$11+SQRT(U249*($G$11-$E$11)*($F$11-$E$11)),$G$11-SQRT((1-U249)*($G$11-$E$11)*($G$11-$F$11))))</f>
        <v>0.102217402966217</v>
      </c>
      <c r="H249" s="53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-2175634720.6683</v>
      </c>
      <c r="I249" s="53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-35283192.7943584</v>
      </c>
      <c r="J249" s="53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231300220.757085</v>
      </c>
      <c r="K249" s="53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552274502.325235</v>
      </c>
      <c r="L249" s="53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669467854.918714</v>
      </c>
      <c r="M249" s="53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825295036.005202</v>
      </c>
      <c r="N249" s="53" t="n">
        <f aca="false">IF(COUNT('Business Case'!B11:G11)=0,"",H249+NPV(G249,I249:M249))</f>
        <v>-643927680.600966</v>
      </c>
      <c r="P249" s="54" t="n">
        <f aca="true">RAND()</f>
        <v>0.576316401334731</v>
      </c>
      <c r="Q249" s="54" t="n">
        <f aca="true">RAND()</f>
        <v>0.00852591170461855</v>
      </c>
      <c r="R249" s="54" t="n">
        <f aca="true">RAND()</f>
        <v>0.0134768774185063</v>
      </c>
      <c r="S249" s="54" t="n">
        <f aca="true">RAND()</f>
        <v>0.887808287794364</v>
      </c>
      <c r="T249" s="54" t="n">
        <f aca="true">RAND()</f>
        <v>0.748301107152043</v>
      </c>
      <c r="U249" s="54" t="n">
        <f aca="true">RAND()</f>
        <v>0.472965404556815</v>
      </c>
    </row>
    <row r="250" customFormat="false" ht="15" hidden="false" customHeight="false" outlineLevel="0" collapsed="false">
      <c r="A250" s="50" t="n">
        <v>170</v>
      </c>
      <c r="B250" s="51" t="n">
        <f aca="false">1+IF($G$6=$E$6,$F$6,IF(P250&lt;($F$6-$E$6)/($G$6-$E$6),$E$6+SQRT(P250*($G$6-$E$6)*($F$6-$E$6)),$G$6-SQRT((1-P250)*($G$6-$E$6)*($G$6-$F$6))))</f>
        <v>0.978784194859719</v>
      </c>
      <c r="C250" s="51" t="n">
        <f aca="false">1+IF($G$7=$E$7,$F$7,IF(Q250&lt;($F$7-$E$7)/($G$7-$E$7),$E$7+SQRT(Q250*($G$7-$E$7)*($F$7-$E$7)),$G$7-SQRT((1-Q250)*($G$7-$E$7)*($G$7-$F$7))))</f>
        <v>1.085913840325</v>
      </c>
      <c r="D250" s="51" t="n">
        <f aca="false">1+IF($G$8=$E$8,$F$8,IF(R250&lt;($F$8-$E$8)/($G$8-$E$8),$E$8+SQRT(R250*($G$8-$E$8)*($F$8-$E$8)),$G$8-SQRT((1-R250)*($G$8-$E$8)*($G$8-$F$8))))</f>
        <v>1.00235523169163</v>
      </c>
      <c r="E250" s="51" t="n">
        <f aca="false">1+IF($G$9=$E$9,$F$9,IF(S250&lt;($F$9-$E$9)/($G$9-$E$9),$E$9+SQRT(S250*($G$9-$E$9)*($F$9-$E$9)),$G$9-SQRT((1-S250)*($G$9-$E$9)*($G$9-$F$9))))</f>
        <v>0.964825415516353</v>
      </c>
      <c r="F250" s="51" t="n">
        <f aca="false">1+IF($G$10=$E$10,$F$10,IF(T250&lt;($F$10-$E$10)/($G$10-$E$10),$E$10+SQRT(T250*($G$10-$E$10)*($F$10-$E$10)),$G$10-SQRT((1-T250)*($G$10-$E$10)*($G$10-$F$10))))</f>
        <v>1.0674047758772</v>
      </c>
      <c r="G250" s="52" t="n">
        <f aca="false">IF($G$11=$E$11,$F$11,IF(U250&lt;($F$11-$E$11)/($G$11-$E$11),$E$11+SQRT(U250*($G$11-$E$11)*($F$11-$E$11)),$G$11-SQRT((1-U250)*($G$11-$E$11)*($G$11-$F$11))))</f>
        <v>0.117296066950846</v>
      </c>
      <c r="H250" s="53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-2134809551.7544</v>
      </c>
      <c r="I250" s="53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14323004.6569004</v>
      </c>
      <c r="J250" s="53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327684116.741579</v>
      </c>
      <c r="K250" s="53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694415467.620118</v>
      </c>
      <c r="L250" s="53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835602142.150766</v>
      </c>
      <c r="M250" s="53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1037633479.91409</v>
      </c>
      <c r="N250" s="53" t="n">
        <f aca="false">IF(COUNT('Business Case'!B11:G11)=0,"",H250+NPV(G250,I250:M250))</f>
        <v>-229488413.441764</v>
      </c>
      <c r="P250" s="54" t="n">
        <f aca="true">RAND()</f>
        <v>0.359956413052643</v>
      </c>
      <c r="Q250" s="54" t="n">
        <f aca="true">RAND()</f>
        <v>0.921770745487815</v>
      </c>
      <c r="R250" s="54" t="n">
        <f aca="true">RAND()</f>
        <v>0.420316341763355</v>
      </c>
      <c r="S250" s="54" t="n">
        <f aca="true">RAND()</f>
        <v>0.0293057260310017</v>
      </c>
      <c r="T250" s="54" t="n">
        <f aca="true">RAND()</f>
        <v>0.648370130796476</v>
      </c>
      <c r="U250" s="54" t="n">
        <f aca="true">RAND()</f>
        <v>0.987814576776155</v>
      </c>
    </row>
    <row r="251" customFormat="false" ht="15" hidden="false" customHeight="false" outlineLevel="0" collapsed="false">
      <c r="A251" s="50" t="n">
        <v>171</v>
      </c>
      <c r="B251" s="51" t="n">
        <f aca="false">1+IF($G$6=$E$6,$F$6,IF(P251&lt;($F$6-$E$6)/($G$6-$E$6),$E$6+SQRT(P251*($G$6-$E$6)*($F$6-$E$6)),$G$6-SQRT((1-P251)*($G$6-$E$6)*($G$6-$F$6))))</f>
        <v>0.964833871903302</v>
      </c>
      <c r="C251" s="51" t="n">
        <f aca="false">1+IF($G$7=$E$7,$F$7,IF(Q251&lt;($F$7-$E$7)/($G$7-$E$7),$E$7+SQRT(Q251*($G$7-$E$7)*($F$7-$E$7)),$G$7-SQRT((1-Q251)*($G$7-$E$7)*($G$7-$F$7))))</f>
        <v>0.935995939152409</v>
      </c>
      <c r="D251" s="51" t="n">
        <f aca="false">1+IF($G$8=$E$8,$F$8,IF(R251&lt;($F$8-$E$8)/($G$8-$E$8),$E$8+SQRT(R251*($G$8-$E$8)*($F$8-$E$8)),$G$8-SQRT((1-R251)*($G$8-$E$8)*($G$8-$F$8))))</f>
        <v>0.960720643893863</v>
      </c>
      <c r="E251" s="51" t="n">
        <f aca="false">1+IF($G$9=$E$9,$F$9,IF(S251&lt;($F$9-$E$9)/($G$9-$E$9),$E$9+SQRT(S251*($G$9-$E$9)*($F$9-$E$9)),$G$9-SQRT((1-S251)*($G$9-$E$9)*($G$9-$F$9))))</f>
        <v>1.09072783620196</v>
      </c>
      <c r="F251" s="51" t="n">
        <f aca="false">1+IF($G$10=$E$10,$F$10,IF(T251&lt;($F$10-$E$10)/($G$10-$E$10),$E$10+SQRT(T251*($G$10-$E$10)*($F$10-$E$10)),$G$10-SQRT((1-T251)*($G$10-$E$10)*($G$10-$F$10))))</f>
        <v>1.01985760260835</v>
      </c>
      <c r="G251" s="52" t="n">
        <f aca="false">IF($G$11=$E$11,$F$11,IF(U251&lt;($F$11-$E$11)/($G$11-$E$11),$E$11+SQRT(U251*($G$11-$E$11)*($F$11-$E$11)),$G$11-SQRT((1-U251)*($G$11-$E$11)*($G$11-$F$11))))</f>
        <v>0.111659068354847</v>
      </c>
      <c r="H251" s="53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-2039715205.21671</v>
      </c>
      <c r="I251" s="53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-24549074.044858</v>
      </c>
      <c r="J251" s="53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254804808.060294</v>
      </c>
      <c r="K251" s="53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585151570.295864</v>
      </c>
      <c r="L251" s="53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709479996.051752</v>
      </c>
      <c r="M251" s="53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881137553.849692</v>
      </c>
      <c r="N251" s="53" t="n">
        <f aca="false">IF(COUNT('Business Case'!B11:G11)=0,"",H251+NPV(G251,I251:M251))</f>
        <v>-446070447.472456</v>
      </c>
      <c r="P251" s="54" t="n">
        <f aca="true">RAND()</f>
        <v>0.209382923941844</v>
      </c>
      <c r="Q251" s="54" t="n">
        <f aca="true">RAND()</f>
        <v>0.264212792370652</v>
      </c>
      <c r="R251" s="54" t="n">
        <f aca="true">RAND()</f>
        <v>0.0176818777690808</v>
      </c>
      <c r="S251" s="54" t="n">
        <f aca="true">RAND()</f>
        <v>0.994268465233486</v>
      </c>
      <c r="T251" s="54" t="n">
        <f aca="true">RAND()</f>
        <v>0.350974333239796</v>
      </c>
      <c r="U251" s="54" t="n">
        <f aca="true">RAND()</f>
        <v>0.884048098818137</v>
      </c>
    </row>
    <row r="252" customFormat="false" ht="15" hidden="false" customHeight="false" outlineLevel="0" collapsed="false">
      <c r="A252" s="50" t="n">
        <v>172</v>
      </c>
      <c r="B252" s="51" t="n">
        <f aca="false">1+IF($G$6=$E$6,$F$6,IF(P252&lt;($F$6-$E$6)/($G$6-$E$6),$E$6+SQRT(P252*($G$6-$E$6)*($F$6-$E$6)),$G$6-SQRT((1-P252)*($G$6-$E$6)*($G$6-$F$6))))</f>
        <v>0.954969518939115</v>
      </c>
      <c r="C252" s="51" t="n">
        <f aca="false">1+IF($G$7=$E$7,$F$7,IF(Q252&lt;($F$7-$E$7)/($G$7-$E$7),$E$7+SQRT(Q252*($G$7-$E$7)*($F$7-$E$7)),$G$7-SQRT((1-Q252)*($G$7-$E$7)*($G$7-$F$7))))</f>
        <v>0.99832114126486</v>
      </c>
      <c r="D252" s="51" t="n">
        <f aca="false">1+IF($G$8=$E$8,$F$8,IF(R252&lt;($F$8-$E$8)/($G$8-$E$8),$E$8+SQRT(R252*($G$8-$E$8)*($F$8-$E$8)),$G$8-SQRT((1-R252)*($G$8-$E$8)*($G$8-$F$8))))</f>
        <v>1.0101672076225</v>
      </c>
      <c r="E252" s="51" t="n">
        <f aca="false">1+IF($G$9=$E$9,$F$9,IF(S252&lt;($F$9-$E$9)/($G$9-$E$9),$E$9+SQRT(S252*($G$9-$E$9)*($F$9-$E$9)),$G$9-SQRT((1-S252)*($G$9-$E$9)*($G$9-$F$9))))</f>
        <v>1.03386719353977</v>
      </c>
      <c r="F252" s="51" t="n">
        <f aca="false">1+IF($G$10=$E$10,$F$10,IF(T252&lt;($F$10-$E$10)/($G$10-$E$10),$E$10+SQRT(T252*($G$10-$E$10)*($F$10-$E$10)),$G$10-SQRT((1-T252)*($G$10-$E$10)*($G$10-$F$10))))</f>
        <v>1.03229963569072</v>
      </c>
      <c r="G252" s="52" t="n">
        <f aca="false">IF($G$11=$E$11,$F$11,IF(U252&lt;($F$11-$E$11)/($G$11-$E$11),$E$11+SQRT(U252*($G$11-$E$11)*($F$11-$E$11)),$G$11-SQRT((1-U252)*($G$11-$E$11)*($G$11-$F$11))))</f>
        <v>0.107222271974657</v>
      </c>
      <c r="H252" s="53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-2064599271.38144</v>
      </c>
      <c r="I252" s="53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-35049393.526049</v>
      </c>
      <c r="J252" s="53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229569598.357789</v>
      </c>
      <c r="K252" s="53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545803572.026163</v>
      </c>
      <c r="L252" s="53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666958240.600415</v>
      </c>
      <c r="M252" s="53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848174099.305103</v>
      </c>
      <c r="N252" s="53" t="n">
        <f aca="false">IF(COUNT('Business Case'!B11:G11)=0,"",H252+NPV(G252,I252:M252))</f>
        <v>-553429466.018542</v>
      </c>
      <c r="P252" s="54" t="n">
        <f aca="true">RAND()</f>
        <v>0.127382005711783</v>
      </c>
      <c r="Q252" s="54" t="n">
        <f aca="true">RAND()</f>
        <v>0.561875358179951</v>
      </c>
      <c r="R252" s="54" t="n">
        <f aca="true">RAND()</f>
        <v>0.531094337380866</v>
      </c>
      <c r="S252" s="54" t="n">
        <f aca="true">RAND()</f>
        <v>0.708430127312898</v>
      </c>
      <c r="T252" s="54" t="n">
        <f aca="true">RAND()</f>
        <v>0.437531756210691</v>
      </c>
      <c r="U252" s="54" t="n">
        <f aca="true">RAND()</f>
        <v>0.727882777517294</v>
      </c>
    </row>
    <row r="253" customFormat="false" ht="15" hidden="false" customHeight="false" outlineLevel="0" collapsed="false">
      <c r="A253" s="50" t="n">
        <v>173</v>
      </c>
      <c r="B253" s="51" t="n">
        <f aca="false">1+IF($G$6=$E$6,$F$6,IF(P253&lt;($F$6-$E$6)/($G$6-$E$6),$E$6+SQRT(P253*($G$6-$E$6)*($F$6-$E$6)),$G$6-SQRT((1-P253)*($G$6-$E$6)*($G$6-$F$6))))</f>
        <v>0.943233979044684</v>
      </c>
      <c r="C253" s="51" t="n">
        <f aca="false">1+IF($G$7=$E$7,$F$7,IF(Q253&lt;($F$7-$E$7)/($G$7-$E$7),$E$7+SQRT(Q253*($G$7-$E$7)*($F$7-$E$7)),$G$7-SQRT((1-Q253)*($G$7-$E$7)*($G$7-$F$7))))</f>
        <v>0.949771099035909</v>
      </c>
      <c r="D253" s="51" t="n">
        <f aca="false">1+IF($G$8=$E$8,$F$8,IF(R253&lt;($F$8-$E$8)/($G$8-$E$8),$E$8+SQRT(R253*($G$8-$E$8)*($F$8-$E$8)),$G$8-SQRT((1-R253)*($G$8-$E$8)*($G$8-$F$8))))</f>
        <v>1.03616997618197</v>
      </c>
      <c r="E253" s="51" t="n">
        <f aca="false">1+IF($G$9=$E$9,$F$9,IF(S253&lt;($F$9-$E$9)/($G$9-$E$9),$E$9+SQRT(S253*($G$9-$E$9)*($F$9-$E$9)),$G$9-SQRT((1-S253)*($G$9-$E$9)*($G$9-$F$9))))</f>
        <v>1.02104562000541</v>
      </c>
      <c r="F253" s="51" t="n">
        <f aca="false">1+IF($G$10=$E$10,$F$10,IF(T253&lt;($F$10-$E$10)/($G$10-$E$10),$E$10+SQRT(T253*($G$10-$E$10)*($F$10-$E$10)),$G$10-SQRT((1-T253)*($G$10-$E$10)*($G$10-$F$10))))</f>
        <v>1.11005757441697</v>
      </c>
      <c r="G253" s="52" t="n">
        <f aca="false">IF($G$11=$E$11,$F$11,IF(U253&lt;($F$11-$E$11)/($G$11-$E$11),$E$11+SQRT(U253*($G$11-$E$11)*($F$11-$E$11)),$G$11-SQRT((1-U253)*($G$11-$E$11)*($G$11-$F$11))))</f>
        <v>0.108521580744748</v>
      </c>
      <c r="H253" s="53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-2220115148.83394</v>
      </c>
      <c r="I253" s="53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-72661678.0484676</v>
      </c>
      <c r="J253" s="53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157316282.881977</v>
      </c>
      <c r="K253" s="53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442797122.533271</v>
      </c>
      <c r="L253" s="53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550417239.091717</v>
      </c>
      <c r="M253" s="53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720701618.457354</v>
      </c>
      <c r="N253" s="53" t="n">
        <f aca="false">IF(COUNT('Business Case'!B11:G11)=0,"",H253+NPV(G253,I253:M253))</f>
        <v>-1037498554.0278</v>
      </c>
      <c r="P253" s="54" t="n">
        <f aca="true">RAND()</f>
        <v>0.0562310189842501</v>
      </c>
      <c r="Q253" s="54" t="n">
        <f aca="true">RAND()</f>
        <v>0.320448315806059</v>
      </c>
      <c r="R253" s="54" t="n">
        <f aca="true">RAND()</f>
        <v>0.815281635779911</v>
      </c>
      <c r="S253" s="54" t="n">
        <f aca="true">RAND()</f>
        <v>0.584413725311278</v>
      </c>
      <c r="T253" s="54" t="n">
        <f aca="true">RAND()</f>
        <v>0.838207201604824</v>
      </c>
      <c r="U253" s="54" t="n">
        <f aca="true">RAND()</f>
        <v>0.78040981900111</v>
      </c>
    </row>
    <row r="254" customFormat="false" ht="15" hidden="false" customHeight="false" outlineLevel="0" collapsed="false">
      <c r="A254" s="50" t="n">
        <v>174</v>
      </c>
      <c r="B254" s="51" t="n">
        <f aca="false">1+IF($G$6=$E$6,$F$6,IF(P254&lt;($F$6-$E$6)/($G$6-$E$6),$E$6+SQRT(P254*($G$6-$E$6)*($F$6-$E$6)),$G$6-SQRT((1-P254)*($G$6-$E$6)*($G$6-$F$6))))</f>
        <v>0.958447619588505</v>
      </c>
      <c r="C254" s="51" t="n">
        <f aca="false">1+IF($G$7=$E$7,$F$7,IF(Q254&lt;($F$7-$E$7)/($G$7-$E$7),$E$7+SQRT(Q254*($G$7-$E$7)*($F$7-$E$7)),$G$7-SQRT((1-Q254)*($G$7-$E$7)*($G$7-$F$7))))</f>
        <v>1.06607293992908</v>
      </c>
      <c r="D254" s="51" t="n">
        <f aca="false">1+IF($G$8=$E$8,$F$8,IF(R254&lt;($F$8-$E$8)/($G$8-$E$8),$E$8+SQRT(R254*($G$8-$E$8)*($F$8-$E$8)),$G$8-SQRT((1-R254)*($G$8-$E$8)*($G$8-$F$8))))</f>
        <v>1.00176360771115</v>
      </c>
      <c r="E254" s="51" t="n">
        <f aca="false">1+IF($G$9=$E$9,$F$9,IF(S254&lt;($F$9-$E$9)/($G$9-$E$9),$E$9+SQRT(S254*($G$9-$E$9)*($F$9-$E$9)),$G$9-SQRT((1-S254)*($G$9-$E$9)*($G$9-$F$9))))</f>
        <v>1.02410319582427</v>
      </c>
      <c r="F254" s="51" t="n">
        <f aca="false">1+IF($G$10=$E$10,$F$10,IF(T254&lt;($F$10-$E$10)/($G$10-$E$10),$E$10+SQRT(T254*($G$10-$E$10)*($F$10-$E$10)),$G$10-SQRT((1-T254)*($G$10-$E$10)*($G$10-$F$10))))</f>
        <v>0.999021127292615</v>
      </c>
      <c r="G254" s="52" t="n">
        <f aca="false">IF($G$11=$E$11,$F$11,IF(U254&lt;($F$11-$E$11)/($G$11-$E$11),$E$11+SQRT(U254*($G$11-$E$11)*($F$11-$E$11)),$G$11-SQRT((1-U254)*($G$11-$E$11)*($G$11-$F$11))))</f>
        <v>0.0955626137750624</v>
      </c>
      <c r="H254" s="53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-1998042254.58523</v>
      </c>
      <c r="I254" s="53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-8297593.29488052</v>
      </c>
      <c r="J254" s="53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281903220.296561</v>
      </c>
      <c r="K254" s="53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622055090.252633</v>
      </c>
      <c r="L254" s="53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754101241.257014</v>
      </c>
      <c r="M254" s="53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948320246.863463</v>
      </c>
      <c r="N254" s="53" t="n">
        <f aca="false">IF(COUNT('Business Case'!B11:G11)=0,"",H254+NPV(G254,I254:M254))</f>
        <v>-173375147.878503</v>
      </c>
      <c r="P254" s="54" t="n">
        <f aca="true">RAND()</f>
        <v>0.153981192919001</v>
      </c>
      <c r="Q254" s="54" t="n">
        <f aca="true">RAND()</f>
        <v>0.865833306435291</v>
      </c>
      <c r="R254" s="54" t="n">
        <f aca="true">RAND()</f>
        <v>0.411448742463987</v>
      </c>
      <c r="S254" s="54" t="n">
        <f aca="true">RAND()</f>
        <v>0.61597834106069</v>
      </c>
      <c r="T254" s="54" t="n">
        <f aca="true">RAND()</f>
        <v>0.192245673683104</v>
      </c>
      <c r="U254" s="54" t="n">
        <f aca="true">RAND()</f>
        <v>0.103142240035046</v>
      </c>
    </row>
    <row r="255" customFormat="false" ht="15" hidden="false" customHeight="false" outlineLevel="0" collapsed="false">
      <c r="A255" s="50" t="n">
        <v>175</v>
      </c>
      <c r="B255" s="51" t="n">
        <f aca="false">1+IF($G$6=$E$6,$F$6,IF(P255&lt;($F$6-$E$6)/($G$6-$E$6),$E$6+SQRT(P255*($G$6-$E$6)*($F$6-$E$6)),$G$6-SQRT((1-P255)*($G$6-$E$6)*($G$6-$F$6))))</f>
        <v>1.00750172409443</v>
      </c>
      <c r="C255" s="51" t="n">
        <f aca="false">1+IF($G$7=$E$7,$F$7,IF(Q255&lt;($F$7-$E$7)/($G$7-$E$7),$E$7+SQRT(Q255*($G$7-$E$7)*($F$7-$E$7)),$G$7-SQRT((1-Q255)*($G$7-$E$7)*($G$7-$F$7))))</f>
        <v>1.02815159178376</v>
      </c>
      <c r="D255" s="51" t="n">
        <f aca="false">1+IF($G$8=$E$8,$F$8,IF(R255&lt;($F$8-$E$8)/($G$8-$E$8),$E$8+SQRT(R255*($G$8-$E$8)*($F$8-$E$8)),$G$8-SQRT((1-R255)*($G$8-$E$8)*($G$8-$F$8))))</f>
        <v>0.994099745698162</v>
      </c>
      <c r="E255" s="51" t="n">
        <f aca="false">1+IF($G$9=$E$9,$F$9,IF(S255&lt;($F$9-$E$9)/($G$9-$E$9),$E$9+SQRT(S255*($G$9-$E$9)*($F$9-$E$9)),$G$9-SQRT((1-S255)*($G$9-$E$9)*($G$9-$F$9))))</f>
        <v>1.03859770140409</v>
      </c>
      <c r="F255" s="51" t="n">
        <f aca="false">1+IF($G$10=$E$10,$F$10,IF(T255&lt;($F$10-$E$10)/($G$10-$E$10),$E$10+SQRT(T255*($G$10-$E$10)*($F$10-$E$10)),$G$10-SQRT((1-T255)*($G$10-$E$10)*($G$10-$F$10))))</f>
        <v>1.04324551010153</v>
      </c>
      <c r="G255" s="52" t="n">
        <f aca="false">IF($G$11=$E$11,$F$11,IF(U255&lt;($F$11-$E$11)/($G$11-$E$11),$E$11+SQRT(U255*($G$11-$E$11)*($F$11-$E$11)),$G$11-SQRT((1-U255)*($G$11-$E$11)*($G$11-$F$11))))</f>
        <v>0.100780653269726</v>
      </c>
      <c r="H255" s="53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-2086491020.20307</v>
      </c>
      <c r="I255" s="53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19509374.9739242</v>
      </c>
      <c r="J255" s="53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344731109.847781</v>
      </c>
      <c r="K255" s="53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722115120.226714</v>
      </c>
      <c r="L255" s="53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866321842.351411</v>
      </c>
      <c r="M255" s="53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1063218966.76851</v>
      </c>
      <c r="N255" s="53" t="n">
        <f aca="false">IF(COUNT('Business Case'!B11:G11)=0,"",H255+NPV(G255,I255:M255))</f>
        <v>4982784.29279375</v>
      </c>
      <c r="P255" s="54" t="n">
        <f aca="true">RAND()</f>
        <v>0.779971263159535</v>
      </c>
      <c r="Q255" s="54" t="n">
        <f aca="true">RAND()</f>
        <v>0.717199341241303</v>
      </c>
      <c r="R255" s="54" t="n">
        <f aca="true">RAND()</f>
        <v>0.299198087791158</v>
      </c>
      <c r="S255" s="54" t="n">
        <f aca="true">RAND()</f>
        <v>0.748650515142571</v>
      </c>
      <c r="T255" s="54" t="n">
        <f aca="true">RAND()</f>
        <v>0.508560597933436</v>
      </c>
      <c r="U255" s="54" t="n">
        <f aca="true">RAND()</f>
        <v>0.384361185435862</v>
      </c>
    </row>
    <row r="256" customFormat="false" ht="15" hidden="false" customHeight="false" outlineLevel="0" collapsed="false">
      <c r="A256" s="50" t="n">
        <v>176</v>
      </c>
      <c r="B256" s="51" t="n">
        <f aca="false">1+IF($G$6=$E$6,$F$6,IF(P256&lt;($F$6-$E$6)/($G$6-$E$6),$E$6+SQRT(P256*($G$6-$E$6)*($F$6-$E$6)),$G$6-SQRT((1-P256)*($G$6-$E$6)*($G$6-$F$6))))</f>
        <v>1.01339162662793</v>
      </c>
      <c r="C256" s="51" t="n">
        <f aca="false">1+IF($G$7=$E$7,$F$7,IF(Q256&lt;($F$7-$E$7)/($G$7-$E$7),$E$7+SQRT(Q256*($G$7-$E$7)*($F$7-$E$7)),$G$7-SQRT((1-Q256)*($G$7-$E$7)*($G$7-$F$7))))</f>
        <v>0.993641134324862</v>
      </c>
      <c r="D256" s="51" t="n">
        <f aca="false">1+IF($G$8=$E$8,$F$8,IF(R256&lt;($F$8-$E$8)/($G$8-$E$8),$E$8+SQRT(R256*($G$8-$E$8)*($F$8-$E$8)),$G$8-SQRT((1-R256)*($G$8-$E$8)*($G$8-$F$8))))</f>
        <v>0.973463069307705</v>
      </c>
      <c r="E256" s="51" t="n">
        <f aca="false">1+IF($G$9=$E$9,$F$9,IF(S256&lt;($F$9-$E$9)/($G$9-$E$9),$E$9+SQRT(S256*($G$9-$E$9)*($F$9-$E$9)),$G$9-SQRT((1-S256)*($G$9-$E$9)*($G$9-$F$9))))</f>
        <v>0.971654168119872</v>
      </c>
      <c r="F256" s="51" t="n">
        <f aca="false">1+IF($G$10=$E$10,$F$10,IF(T256&lt;($F$10-$E$10)/($G$10-$E$10),$E$10+SQRT(T256*($G$10-$E$10)*($F$10-$E$10)),$G$10-SQRT((1-T256)*($G$10-$E$10)*($G$10-$F$10))))</f>
        <v>1.03615627869742</v>
      </c>
      <c r="G256" s="52" t="n">
        <f aca="false">IF($G$11=$E$11,$F$11,IF(U256&lt;($F$11-$E$11)/($G$11-$E$11),$E$11+SQRT(U256*($G$11-$E$11)*($F$11-$E$11)),$G$11-SQRT((1-U256)*($G$11-$E$11)*($G$11-$F$11))))</f>
        <v>0.112840360293956</v>
      </c>
      <c r="H256" s="53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-2072312557.39484</v>
      </c>
      <c r="I256" s="53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35611206.8580657</v>
      </c>
      <c r="J256" s="53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365207428.156346</v>
      </c>
      <c r="K256" s="53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746611463.389497</v>
      </c>
      <c r="L256" s="53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891276979.731476</v>
      </c>
      <c r="M256" s="53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1082677580.56551</v>
      </c>
      <c r="N256" s="53" t="n">
        <f aca="false">IF(COUNT('Business Case'!B11:G11)=0,"",H256+NPV(G256,I256:M256))</f>
        <v>11832685.840637</v>
      </c>
      <c r="P256" s="54" t="n">
        <f aca="true">RAND()</f>
        <v>0.852498847185974</v>
      </c>
      <c r="Q256" s="54" t="n">
        <f aca="true">RAND()</f>
        <v>0.535669841465987</v>
      </c>
      <c r="R256" s="54" t="n">
        <f aca="true">RAND()</f>
        <v>0.0846947109751039</v>
      </c>
      <c r="S256" s="54" t="n">
        <f aca="true">RAND()</f>
        <v>0.0625203995951543</v>
      </c>
      <c r="T256" s="54" t="n">
        <f aca="true">RAND()</f>
        <v>0.463104699794449</v>
      </c>
      <c r="U256" s="54" t="n">
        <f aca="true">RAND()</f>
        <v>0.914565932132741</v>
      </c>
    </row>
    <row r="257" customFormat="false" ht="15" hidden="false" customHeight="false" outlineLevel="0" collapsed="false">
      <c r="A257" s="50" t="n">
        <v>177</v>
      </c>
      <c r="B257" s="51" t="n">
        <f aca="false">1+IF($G$6=$E$6,$F$6,IF(P257&lt;($F$6-$E$6)/($G$6-$E$6),$E$6+SQRT(P257*($G$6-$E$6)*($F$6-$E$6)),$G$6-SQRT((1-P257)*($G$6-$E$6)*($G$6-$F$6))))</f>
        <v>1.0073211642399</v>
      </c>
      <c r="C257" s="51" t="n">
        <f aca="false">1+IF($G$7=$E$7,$F$7,IF(Q257&lt;($F$7-$E$7)/($G$7-$E$7),$E$7+SQRT(Q257*($G$7-$E$7)*($F$7-$E$7)),$G$7-SQRT((1-Q257)*($G$7-$E$7)*($G$7-$F$7))))</f>
        <v>0.827015824434191</v>
      </c>
      <c r="D257" s="51" t="n">
        <f aca="false">1+IF($G$8=$E$8,$F$8,IF(R257&lt;($F$8-$E$8)/($G$8-$E$8),$E$8+SQRT(R257*($G$8-$E$8)*($F$8-$E$8)),$G$8-SQRT((1-R257)*($G$8-$E$8)*($G$8-$F$8))))</f>
        <v>0.996445044897308</v>
      </c>
      <c r="E257" s="51" t="n">
        <f aca="false">1+IF($G$9=$E$9,$F$9,IF(S257&lt;($F$9-$E$9)/($G$9-$E$9),$E$9+SQRT(S257*($G$9-$E$9)*($F$9-$E$9)),$G$9-SQRT((1-S257)*($G$9-$E$9)*($G$9-$F$9))))</f>
        <v>0.973203334635383</v>
      </c>
      <c r="F257" s="51" t="n">
        <f aca="false">1+IF($G$10=$E$10,$F$10,IF(T257&lt;($F$10-$E$10)/($G$10-$E$10),$E$10+SQRT(T257*($G$10-$E$10)*($F$10-$E$10)),$G$10-SQRT((1-T257)*($G$10-$E$10)*($G$10-$F$10))))</f>
        <v>0.974494660852973</v>
      </c>
      <c r="G257" s="52" t="n">
        <f aca="false">IF($G$11=$E$11,$F$11,IF(U257&lt;($F$11-$E$11)/($G$11-$E$11),$E$11+SQRT(U257*($G$11-$E$11)*($F$11-$E$11)),$G$11-SQRT((1-U257)*($G$11-$E$11)*($G$11-$F$11))))</f>
        <v>0.0923627106618119</v>
      </c>
      <c r="H257" s="53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-1948989321.70595</v>
      </c>
      <c r="I257" s="53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-18541495.2687516</v>
      </c>
      <c r="J257" s="53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241942366.687969</v>
      </c>
      <c r="K257" s="53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551150961.687337</v>
      </c>
      <c r="L257" s="53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666769833.642926</v>
      </c>
      <c r="M257" s="53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825119882.47801</v>
      </c>
      <c r="N257" s="53" t="n">
        <f aca="false">IF(COUNT('Business Case'!B11:G11)=0,"",H257+NPV(G257,I257:M257))</f>
        <v>-341591085.846034</v>
      </c>
      <c r="P257" s="54" t="n">
        <f aca="true">RAND()</f>
        <v>0.777519519450853</v>
      </c>
      <c r="Q257" s="54" t="n">
        <f aca="true">RAND()</f>
        <v>0.0104264967122718</v>
      </c>
      <c r="R257" s="54" t="n">
        <f aca="true">RAND()</f>
        <v>0.331868030078916</v>
      </c>
      <c r="S257" s="54" t="n">
        <f aca="true">RAND()</f>
        <v>0.0717859650935417</v>
      </c>
      <c r="T257" s="54" t="n">
        <f aca="true">RAND()</f>
        <v>0.047999072824175</v>
      </c>
      <c r="U257" s="54" t="n">
        <f aca="true">RAND()</f>
        <v>0.0186080055714649</v>
      </c>
    </row>
    <row r="258" customFormat="false" ht="15" hidden="false" customHeight="false" outlineLevel="0" collapsed="false">
      <c r="A258" s="50" t="n">
        <v>178</v>
      </c>
      <c r="B258" s="51" t="n">
        <f aca="false">1+IF($G$6=$E$6,$F$6,IF(P258&lt;($F$6-$E$6)/($G$6-$E$6),$E$6+SQRT(P258*($G$6-$E$6)*($F$6-$E$6)),$G$6-SQRT((1-P258)*($G$6-$E$6)*($G$6-$F$6))))</f>
        <v>0.931487348077059</v>
      </c>
      <c r="C258" s="51" t="n">
        <f aca="false">1+IF($G$7=$E$7,$F$7,IF(Q258&lt;($F$7-$E$7)/($G$7-$E$7),$E$7+SQRT(Q258*($G$7-$E$7)*($F$7-$E$7)),$G$7-SQRT((1-Q258)*($G$7-$E$7)*($G$7-$F$7))))</f>
        <v>1.05270081659665</v>
      </c>
      <c r="D258" s="51" t="n">
        <f aca="false">1+IF($G$8=$E$8,$F$8,IF(R258&lt;($F$8-$E$8)/($G$8-$E$8),$E$8+SQRT(R258*($G$8-$E$8)*($F$8-$E$8)),$G$8-SQRT((1-R258)*($G$8-$E$8)*($G$8-$F$8))))</f>
        <v>0.981136149334616</v>
      </c>
      <c r="E258" s="51" t="n">
        <f aca="false">1+IF($G$9=$E$9,$F$9,IF(S258&lt;($F$9-$E$9)/($G$9-$E$9),$E$9+SQRT(S258*($G$9-$E$9)*($F$9-$E$9)),$G$9-SQRT((1-S258)*($G$9-$E$9)*($G$9-$F$9))))</f>
        <v>0.986325355719131</v>
      </c>
      <c r="F258" s="51" t="n">
        <f aca="false">1+IF($G$10=$E$10,$F$10,IF(T258&lt;($F$10-$E$10)/($G$10-$E$10),$E$10+SQRT(T258*($G$10-$E$10)*($F$10-$E$10)),$G$10-SQRT((1-T258)*($G$10-$E$10)*($G$10-$F$10))))</f>
        <v>1.00161754491159</v>
      </c>
      <c r="G258" s="52" t="n">
        <f aca="false">IF($G$11=$E$11,$F$11,IF(U258&lt;($F$11-$E$11)/($G$11-$E$11),$E$11+SQRT(U258*($G$11-$E$11)*($F$11-$E$11)),$G$11-SQRT((1-U258)*($G$11-$E$11)*($G$11-$F$11))))</f>
        <v>0.104716919911822</v>
      </c>
      <c r="H258" s="53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-2003235089.82318</v>
      </c>
      <c r="I258" s="53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-16819689.0348008</v>
      </c>
      <c r="J258" s="53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257610979.188552</v>
      </c>
      <c r="K258" s="53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582122524.657484</v>
      </c>
      <c r="L258" s="53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707488172.187757</v>
      </c>
      <c r="M258" s="53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893876341.861447</v>
      </c>
      <c r="N258" s="53" t="n">
        <f aca="false">IF(COUNT('Business Case'!B11:G11)=0,"",H258+NPV(G258,I258:M258))</f>
        <v>-357292192.791697</v>
      </c>
      <c r="P258" s="54" t="n">
        <f aca="true">RAND()</f>
        <v>0.0137457464420329</v>
      </c>
      <c r="Q258" s="54" t="n">
        <f aca="true">RAND()</f>
        <v>0.819673693505562</v>
      </c>
      <c r="R258" s="54" t="n">
        <f aca="true">RAND()</f>
        <v>0.149147660828848</v>
      </c>
      <c r="S258" s="54" t="n">
        <f aca="true">RAND()</f>
        <v>0.175937529082851</v>
      </c>
      <c r="T258" s="54" t="n">
        <f aca="true">RAND()</f>
        <v>0.212888030261904</v>
      </c>
      <c r="U258" s="54" t="n">
        <f aca="true">RAND()</f>
        <v>0.610712438363888</v>
      </c>
    </row>
    <row r="259" customFormat="false" ht="15" hidden="false" customHeight="false" outlineLevel="0" collapsed="false">
      <c r="A259" s="50" t="n">
        <v>179</v>
      </c>
      <c r="B259" s="51" t="n">
        <f aca="false">1+IF($G$6=$E$6,$F$6,IF(P259&lt;($F$6-$E$6)/($G$6-$E$6),$E$6+SQRT(P259*($G$6-$E$6)*($F$6-$E$6)),$G$6-SQRT((1-P259)*($G$6-$E$6)*($G$6-$F$6))))</f>
        <v>1.00162049335778</v>
      </c>
      <c r="C259" s="51" t="n">
        <f aca="false">1+IF($G$7=$E$7,$F$7,IF(Q259&lt;($F$7-$E$7)/($G$7-$E$7),$E$7+SQRT(Q259*($G$7-$E$7)*($F$7-$E$7)),$G$7-SQRT((1-Q259)*($G$7-$E$7)*($G$7-$F$7))))</f>
        <v>1.04480862824117</v>
      </c>
      <c r="D259" s="51" t="n">
        <f aca="false">1+IF($G$8=$E$8,$F$8,IF(R259&lt;($F$8-$E$8)/($G$8-$E$8),$E$8+SQRT(R259*($G$8-$E$8)*($F$8-$E$8)),$G$8-SQRT((1-R259)*($G$8-$E$8)*($G$8-$F$8))))</f>
        <v>0.987513943494601</v>
      </c>
      <c r="E259" s="51" t="n">
        <f aca="false">1+IF($G$9=$E$9,$F$9,IF(S259&lt;($F$9-$E$9)/($G$9-$E$9),$E$9+SQRT(S259*($G$9-$E$9)*($F$9-$E$9)),$G$9-SQRT((1-S259)*($G$9-$E$9)*($G$9-$F$9))))</f>
        <v>1.07219587876444</v>
      </c>
      <c r="F259" s="51" t="n">
        <f aca="false">1+IF($G$10=$E$10,$F$10,IF(T259&lt;($F$10-$E$10)/($G$10-$E$10),$E$10+SQRT(T259*($G$10-$E$10)*($F$10-$E$10)),$G$10-SQRT((1-T259)*($G$10-$E$10)*($G$10-$F$10))))</f>
        <v>1.0209414316801</v>
      </c>
      <c r="G259" s="52" t="n">
        <f aca="false">IF($G$11=$E$11,$F$11,IF(U259&lt;($F$11-$E$11)/($G$11-$E$11),$E$11+SQRT(U259*($G$11-$E$11)*($F$11-$E$11)),$G$11-SQRT((1-U259)*($G$11-$E$11)*($G$11-$F$11))))</f>
        <v>0.0960777432688089</v>
      </c>
      <c r="H259" s="53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-2041882863.36021</v>
      </c>
      <c r="I259" s="53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20169060.65628</v>
      </c>
      <c r="J259" s="53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349149168.31502</v>
      </c>
      <c r="K259" s="53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729176347.557765</v>
      </c>
      <c r="L259" s="53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875003483.360109</v>
      </c>
      <c r="M259" s="53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1073922532.89865</v>
      </c>
      <c r="N259" s="53" t="n">
        <f aca="false">IF(COUNT('Business Case'!B11:G11)=0,"",H259+NPV(G259,I259:M259))</f>
        <v>105961126.36331</v>
      </c>
      <c r="P259" s="54" t="n">
        <f aca="true">RAND()</f>
        <v>0.69312780622908</v>
      </c>
      <c r="Q259" s="54" t="n">
        <f aca="true">RAND()</f>
        <v>0.789233815380881</v>
      </c>
      <c r="R259" s="54" t="n">
        <f aca="true">RAND()</f>
        <v>0.216507070233253</v>
      </c>
      <c r="S259" s="54" t="n">
        <f aca="true">RAND()</f>
        <v>0.948462056154539</v>
      </c>
      <c r="T259" s="54" t="n">
        <f aca="true">RAND()</f>
        <v>0.358760582224586</v>
      </c>
      <c r="U259" s="54" t="n">
        <f aca="true">RAND()</f>
        <v>0.123129877471841</v>
      </c>
    </row>
    <row r="260" customFormat="false" ht="15" hidden="false" customHeight="false" outlineLevel="0" collapsed="false">
      <c r="A260" s="50" t="n">
        <v>180</v>
      </c>
      <c r="B260" s="51" t="n">
        <f aca="false">1+IF($G$6=$E$6,$F$6,IF(P260&lt;($F$6-$E$6)/($G$6-$E$6),$E$6+SQRT(P260*($G$6-$E$6)*($F$6-$E$6)),$G$6-SQRT((1-P260)*($G$6-$E$6)*($G$6-$F$6))))</f>
        <v>0.935867607552019</v>
      </c>
      <c r="C260" s="51" t="n">
        <f aca="false">1+IF($G$7=$E$7,$F$7,IF(Q260&lt;($F$7-$E$7)/($G$7-$E$7),$E$7+SQRT(Q260*($G$7-$E$7)*($F$7-$E$7)),$G$7-SQRT((1-Q260)*($G$7-$E$7)*($G$7-$F$7))))</f>
        <v>0.898756590644189</v>
      </c>
      <c r="D260" s="51" t="n">
        <f aca="false">1+IF($G$8=$E$8,$F$8,IF(R260&lt;($F$8-$E$8)/($G$8-$E$8),$E$8+SQRT(R260*($G$8-$E$8)*($F$8-$E$8)),$G$8-SQRT((1-R260)*($G$8-$E$8)*($G$8-$F$8))))</f>
        <v>0.970234570584939</v>
      </c>
      <c r="E260" s="51" t="n">
        <f aca="false">1+IF($G$9=$E$9,$F$9,IF(S260&lt;($F$9-$E$9)/($G$9-$E$9),$E$9+SQRT(S260*($G$9-$E$9)*($F$9-$E$9)),$G$9-SQRT((1-S260)*($G$9-$E$9)*($G$9-$F$9))))</f>
        <v>1.05254114545046</v>
      </c>
      <c r="F260" s="51" t="n">
        <f aca="false">1+IF($G$10=$E$10,$F$10,IF(T260&lt;($F$10-$E$10)/($G$10-$E$10),$E$10+SQRT(T260*($G$10-$E$10)*($F$10-$E$10)),$G$10-SQRT((1-T260)*($G$10-$E$10)*($G$10-$F$10))))</f>
        <v>0.9967798555461</v>
      </c>
      <c r="G260" s="52" t="n">
        <f aca="false">IF($G$11=$E$11,$F$11,IF(U260&lt;($F$11-$E$11)/($G$11-$E$11),$E$11+SQRT(U260*($G$11-$E$11)*($F$11-$E$11)),$G$11-SQRT((1-U260)*($G$11-$E$11)*($G$11-$F$11))))</f>
        <v>0.100610359026654</v>
      </c>
      <c r="H260" s="53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-1993559711.0922</v>
      </c>
      <c r="I260" s="53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-50413973.5863736</v>
      </c>
      <c r="J260" s="53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192124903.889482</v>
      </c>
      <c r="K260" s="53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484502774.142642</v>
      </c>
      <c r="L260" s="53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594418076.384303</v>
      </c>
      <c r="M260" s="53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754297630.007703</v>
      </c>
      <c r="N260" s="53" t="n">
        <f aca="false">IF(COUNT('Business Case'!B11:G11)=0,"",H260+NPV(G260,I260:M260))</f>
        <v>-645193557.621212</v>
      </c>
      <c r="P260" s="54" t="n">
        <f aca="true">RAND()</f>
        <v>0.0262271843150925</v>
      </c>
      <c r="Q260" s="54" t="n">
        <f aca="true">RAND()</f>
        <v>0.139326631366626</v>
      </c>
      <c r="R260" s="54" t="n">
        <f aca="true">RAND()</f>
        <v>0.0629904379625988</v>
      </c>
      <c r="S260" s="54" t="n">
        <f aca="true">RAND()</f>
        <v>0.849843808323027</v>
      </c>
      <c r="T260" s="54" t="n">
        <f aca="true">RAND()</f>
        <v>0.175068390793121</v>
      </c>
      <c r="U260" s="54" t="n">
        <f aca="true">RAND()</f>
        <v>0.37340303820788</v>
      </c>
    </row>
    <row r="261" customFormat="false" ht="15" hidden="false" customHeight="false" outlineLevel="0" collapsed="false">
      <c r="A261" s="50" t="n">
        <v>181</v>
      </c>
      <c r="B261" s="51" t="n">
        <f aca="false">1+IF($G$6=$E$6,$F$6,IF(P261&lt;($F$6-$E$6)/($G$6-$E$6),$E$6+SQRT(P261*($G$6-$E$6)*($F$6-$E$6)),$G$6-SQRT((1-P261)*($G$6-$E$6)*($G$6-$F$6))))</f>
        <v>1.01546855710447</v>
      </c>
      <c r="C261" s="51" t="n">
        <f aca="false">1+IF($G$7=$E$7,$F$7,IF(Q261&lt;($F$7-$E$7)/($G$7-$E$7),$E$7+SQRT(Q261*($G$7-$E$7)*($F$7-$E$7)),$G$7-SQRT((1-Q261)*($G$7-$E$7)*($G$7-$F$7))))</f>
        <v>1.06511298788523</v>
      </c>
      <c r="D261" s="51" t="n">
        <f aca="false">1+IF($G$8=$E$8,$F$8,IF(R261&lt;($F$8-$E$8)/($G$8-$E$8),$E$8+SQRT(R261*($G$8-$E$8)*($F$8-$E$8)),$G$8-SQRT((1-R261)*($G$8-$E$8)*($G$8-$F$8))))</f>
        <v>0.99671137086188</v>
      </c>
      <c r="E261" s="51" t="n">
        <f aca="false">1+IF($G$9=$E$9,$F$9,IF(S261&lt;($F$9-$E$9)/($G$9-$E$9),$E$9+SQRT(S261*($G$9-$E$9)*($F$9-$E$9)),$G$9-SQRT((1-S261)*($G$9-$E$9)*($G$9-$F$9))))</f>
        <v>1.06195369298292</v>
      </c>
      <c r="F261" s="51" t="n">
        <f aca="false">1+IF($G$10=$E$10,$F$10,IF(T261&lt;($F$10-$E$10)/($G$10-$E$10),$E$10+SQRT(T261*($G$10-$E$10)*($F$10-$E$10)),$G$10-SQRT((1-T261)*($G$10-$E$10)*($G$10-$F$10))))</f>
        <v>1.07451528645693</v>
      </c>
      <c r="G261" s="52" t="n">
        <f aca="false">IF($G$11=$E$11,$F$11,IF(U261&lt;($F$11-$E$11)/($G$11-$E$11),$E$11+SQRT(U261*($G$11-$E$11)*($F$11-$E$11)),$G$11-SQRT((1-U261)*($G$11-$E$11)*($G$11-$F$11))))</f>
        <v>0.104377254184534</v>
      </c>
      <c r="H261" s="53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-2149030572.91386</v>
      </c>
      <c r="I261" s="53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27908648.2188434</v>
      </c>
      <c r="J261" s="53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370348200.971691</v>
      </c>
      <c r="K261" s="53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766513518.047386</v>
      </c>
      <c r="L261" s="53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918039742.795762</v>
      </c>
      <c r="M261" s="53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1123628132.19828</v>
      </c>
      <c r="N261" s="53" t="n">
        <f aca="false">IF(COUNT('Business Case'!B11:G11)=0,"",H261+NPV(G261,I261:M261))</f>
        <v>50082739.3493142</v>
      </c>
      <c r="P261" s="54" t="n">
        <f aca="true">RAND()</f>
        <v>0.874626731138205</v>
      </c>
      <c r="Q261" s="54" t="n">
        <f aca="true">RAND()</f>
        <v>0.862746574747167</v>
      </c>
      <c r="R261" s="54" t="n">
        <f aca="true">RAND()</f>
        <v>0.335684948891709</v>
      </c>
      <c r="S261" s="54" t="n">
        <f aca="true">RAND()</f>
        <v>0.903498568157464</v>
      </c>
      <c r="T261" s="54" t="n">
        <f aca="true">RAND()</f>
        <v>0.685071733340285</v>
      </c>
      <c r="U261" s="54" t="n">
        <f aca="true">RAND()</f>
        <v>0.593216355308919</v>
      </c>
    </row>
    <row r="262" customFormat="false" ht="15" hidden="false" customHeight="false" outlineLevel="0" collapsed="false">
      <c r="A262" s="50" t="n">
        <v>182</v>
      </c>
      <c r="B262" s="51" t="n">
        <f aca="false">1+IF($G$6=$E$6,$F$6,IF(P262&lt;($F$6-$E$6)/($G$6-$E$6),$E$6+SQRT(P262*($G$6-$E$6)*($F$6-$E$6)),$G$6-SQRT((1-P262)*($G$6-$E$6)*($G$6-$F$6))))</f>
        <v>1.00949715084747</v>
      </c>
      <c r="C262" s="51" t="n">
        <f aca="false">1+IF($G$7=$E$7,$F$7,IF(Q262&lt;($F$7-$E$7)/($G$7-$E$7),$E$7+SQRT(Q262*($G$7-$E$7)*($F$7-$E$7)),$G$7-SQRT((1-Q262)*($G$7-$E$7)*($G$7-$F$7))))</f>
        <v>0.83710869534133</v>
      </c>
      <c r="D262" s="51" t="n">
        <f aca="false">1+IF($G$8=$E$8,$F$8,IF(R262&lt;($F$8-$E$8)/($G$8-$E$8),$E$8+SQRT(R262*($G$8-$E$8)*($F$8-$E$8)),$G$8-SQRT((1-R262)*($G$8-$E$8)*($G$8-$F$8))))</f>
        <v>1.02433434010597</v>
      </c>
      <c r="E262" s="51" t="n">
        <f aca="false">1+IF($G$9=$E$9,$F$9,IF(S262&lt;($F$9-$E$9)/($G$9-$E$9),$E$9+SQRT(S262*($G$9-$E$9)*($F$9-$E$9)),$G$9-SQRT((1-S262)*($G$9-$E$9)*($G$9-$F$9))))</f>
        <v>1.02107508564136</v>
      </c>
      <c r="F262" s="51" t="n">
        <f aca="false">1+IF($G$10=$E$10,$F$10,IF(T262&lt;($F$10-$E$10)/($G$10-$E$10),$E$10+SQRT(T262*($G$10-$E$10)*($F$10-$E$10)),$G$10-SQRT((1-T262)*($G$10-$E$10)*($G$10-$F$10))))</f>
        <v>1.00657959393897</v>
      </c>
      <c r="G262" s="52" t="n">
        <f aca="false">IF($G$11=$E$11,$F$11,IF(U262&lt;($F$11-$E$11)/($G$11-$E$11),$E$11+SQRT(U262*($G$11-$E$11)*($F$11-$E$11)),$G$11-SQRT((1-U262)*($G$11-$E$11)*($G$11-$F$11))))</f>
        <v>0.0986118853805307</v>
      </c>
      <c r="H262" s="53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-2013159187.87793</v>
      </c>
      <c r="I262" s="53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-36459393.8003122</v>
      </c>
      <c r="J262" s="53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216743899.38724</v>
      </c>
      <c r="K262" s="53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520276172.27174</v>
      </c>
      <c r="L262" s="53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633882503.611434</v>
      </c>
      <c r="M262" s="53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794511288.469241</v>
      </c>
      <c r="N262" s="53" t="n">
        <f aca="false">IF(COUNT('Business Case'!B11:G11)=0,"",H262+NPV(G262,I262:M262))</f>
        <v>-542794956.591165</v>
      </c>
      <c r="P262" s="54" t="n">
        <f aca="true">RAND()</f>
        <v>0.80616170699543</v>
      </c>
      <c r="Q262" s="54" t="n">
        <f aca="true">RAND()</f>
        <v>0.0196722181419375</v>
      </c>
      <c r="R262" s="54" t="n">
        <f aca="true">RAND()</f>
        <v>0.702051375823337</v>
      </c>
      <c r="S262" s="54" t="n">
        <f aca="true">RAND()</f>
        <v>0.584723859565441</v>
      </c>
      <c r="T262" s="54" t="n">
        <f aca="true">RAND()</f>
        <v>0.251770930383687</v>
      </c>
      <c r="U262" s="54" t="n">
        <f aca="true">RAND()</f>
        <v>0.247215232691327</v>
      </c>
    </row>
    <row r="263" customFormat="false" ht="15" hidden="false" customHeight="false" outlineLevel="0" collapsed="false">
      <c r="A263" s="50" t="n">
        <v>183</v>
      </c>
      <c r="B263" s="51" t="n">
        <f aca="false">1+IF($G$6=$E$6,$F$6,IF(P263&lt;($F$6-$E$6)/($G$6-$E$6),$E$6+SQRT(P263*($G$6-$E$6)*($F$6-$E$6)),$G$6-SQRT((1-P263)*($G$6-$E$6)*($G$6-$F$6))))</f>
        <v>0.951794297432152</v>
      </c>
      <c r="C263" s="51" t="n">
        <f aca="false">1+IF($G$7=$E$7,$F$7,IF(Q263&lt;($F$7-$E$7)/($G$7-$E$7),$E$7+SQRT(Q263*($G$7-$E$7)*($F$7-$E$7)),$G$7-SQRT((1-Q263)*($G$7-$E$7)*($G$7-$F$7))))</f>
        <v>1.03408294957786</v>
      </c>
      <c r="D263" s="51" t="n">
        <f aca="false">1+IF($G$8=$E$8,$F$8,IF(R263&lt;($F$8-$E$8)/($G$8-$E$8),$E$8+SQRT(R263*($G$8-$E$8)*($F$8-$E$8)),$G$8-SQRT((1-R263)*($G$8-$E$8)*($G$8-$F$8))))</f>
        <v>1.01403830439039</v>
      </c>
      <c r="E263" s="51" t="n">
        <f aca="false">1+IF($G$9=$E$9,$F$9,IF(S263&lt;($F$9-$E$9)/($G$9-$E$9),$E$9+SQRT(S263*($G$9-$E$9)*($F$9-$E$9)),$G$9-SQRT((1-S263)*($G$9-$E$9)*($G$9-$F$9))))</f>
        <v>1.0258927174177</v>
      </c>
      <c r="F263" s="51" t="n">
        <f aca="false">1+IF($G$10=$E$10,$F$10,IF(T263&lt;($F$10-$E$10)/($G$10-$E$10),$E$10+SQRT(T263*($G$10-$E$10)*($F$10-$E$10)),$G$10-SQRT((1-T263)*($G$10-$E$10)*($G$10-$F$10))))</f>
        <v>1.13207302743768</v>
      </c>
      <c r="G263" s="52" t="n">
        <f aca="false">IF($G$11=$E$11,$F$11,IF(U263&lt;($F$11-$E$11)/($G$11-$E$11),$E$11+SQRT(U263*($G$11-$E$11)*($F$11-$E$11)),$G$11-SQRT((1-U263)*($G$11-$E$11)*($G$11-$F$11))))</f>
        <v>0.0939082601383087</v>
      </c>
      <c r="H263" s="53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-2264146054.87536</v>
      </c>
      <c r="I263" s="53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-40752400.6936222</v>
      </c>
      <c r="J263" s="53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228607149.525565</v>
      </c>
      <c r="K263" s="53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554570351.116636</v>
      </c>
      <c r="L263" s="53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678372003.691195</v>
      </c>
      <c r="M263" s="53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865455250.782758</v>
      </c>
      <c r="N263" s="53" t="n">
        <f aca="false">IF(COUNT('Business Case'!B11:G11)=0,"",H263+NPV(G263,I263:M263))</f>
        <v>-660447213.504892</v>
      </c>
      <c r="P263" s="54" t="n">
        <f aca="true">RAND()</f>
        <v>0.105299723875431</v>
      </c>
      <c r="Q263" s="54" t="n">
        <f aca="true">RAND()</f>
        <v>0.744061665170097</v>
      </c>
      <c r="R263" s="54" t="n">
        <f aca="true">RAND()</f>
        <v>0.581639876183148</v>
      </c>
      <c r="S263" s="54" t="n">
        <f aca="true">RAND()</f>
        <v>0.633874044551162</v>
      </c>
      <c r="T263" s="54" t="n">
        <f aca="true">RAND()</f>
        <v>0.907718527970357</v>
      </c>
      <c r="U263" s="54" t="n">
        <f aca="true">RAND()</f>
        <v>0.0509149910289765</v>
      </c>
    </row>
    <row r="264" customFormat="false" ht="15" hidden="false" customHeight="false" outlineLevel="0" collapsed="false">
      <c r="A264" s="50" t="n">
        <v>184</v>
      </c>
      <c r="B264" s="51" t="n">
        <f aca="false">1+IF($G$6=$E$6,$F$6,IF(P264&lt;($F$6-$E$6)/($G$6-$E$6),$E$6+SQRT(P264*($G$6-$E$6)*($F$6-$E$6)),$G$6-SQRT((1-P264)*($G$6-$E$6)*($G$6-$F$6))))</f>
        <v>0.975008089385182</v>
      </c>
      <c r="C264" s="51" t="n">
        <f aca="false">1+IF($G$7=$E$7,$F$7,IF(Q264&lt;($F$7-$E$7)/($G$7-$E$7),$E$7+SQRT(Q264*($G$7-$E$7)*($F$7-$E$7)),$G$7-SQRT((1-Q264)*($G$7-$E$7)*($G$7-$F$7))))</f>
        <v>1.07725809480991</v>
      </c>
      <c r="D264" s="51" t="n">
        <f aca="false">1+IF($G$8=$E$8,$F$8,IF(R264&lt;($F$8-$E$8)/($G$8-$E$8),$E$8+SQRT(R264*($G$8-$E$8)*($F$8-$E$8)),$G$8-SQRT((1-R264)*($G$8-$E$8)*($G$8-$F$8))))</f>
        <v>0.987596301820902</v>
      </c>
      <c r="E264" s="51" t="n">
        <f aca="false">1+IF($G$9=$E$9,$F$9,IF(S264&lt;($F$9-$E$9)/($G$9-$E$9),$E$9+SQRT(S264*($G$9-$E$9)*($F$9-$E$9)),$G$9-SQRT((1-S264)*($G$9-$E$9)*($G$9-$F$9))))</f>
        <v>1.02290762296036</v>
      </c>
      <c r="F264" s="51" t="n">
        <f aca="false">1+IF($G$10=$E$10,$F$10,IF(T264&lt;($F$10-$E$10)/($G$10-$E$10),$E$10+SQRT(T264*($G$10-$E$10)*($F$10-$E$10)),$G$10-SQRT((1-T264)*($G$10-$E$10)*($G$10-$F$10))))</f>
        <v>1.00407511640469</v>
      </c>
      <c r="G264" s="52" t="n">
        <f aca="false">IF($G$11=$E$11,$F$11,IF(U264&lt;($F$11-$E$11)/($G$11-$E$11),$E$11+SQRT(U264*($G$11-$E$11)*($F$11-$E$11)),$G$11-SQRT((1-U264)*($G$11-$E$11)*($G$11-$F$11))))</f>
        <v>0.0928863458510785</v>
      </c>
      <c r="H264" s="53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-2008150232.80938</v>
      </c>
      <c r="I264" s="53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15356223.9312684</v>
      </c>
      <c r="J264" s="53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331026808.384239</v>
      </c>
      <c r="K264" s="53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696901148.657445</v>
      </c>
      <c r="L264" s="53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838424266.739282</v>
      </c>
      <c r="M264" s="53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1038072011.35894</v>
      </c>
      <c r="N264" s="53" t="n">
        <f aca="false">IF(COUNT('Business Case'!B11:G11)=0,"",H264+NPV(G264,I264:M264))</f>
        <v>70457201.750823</v>
      </c>
      <c r="P264" s="54" t="n">
        <f aca="true">RAND()</f>
        <v>0.31519686435502</v>
      </c>
      <c r="Q264" s="54" t="n">
        <f aca="true">RAND()</f>
        <v>0.899211718653647</v>
      </c>
      <c r="R264" s="54" t="n">
        <f aca="true">RAND()</f>
        <v>0.217458755478203</v>
      </c>
      <c r="S264" s="54" t="n">
        <f aca="true">RAND()</f>
        <v>0.603784360158528</v>
      </c>
      <c r="T264" s="54" t="n">
        <f aca="true">RAND()</f>
        <v>0.232268799763301</v>
      </c>
      <c r="U264" s="54" t="n">
        <f aca="true">RAND()</f>
        <v>0.0277699745734606</v>
      </c>
    </row>
    <row r="265" customFormat="false" ht="15" hidden="false" customHeight="false" outlineLevel="0" collapsed="false">
      <c r="A265" s="50" t="n">
        <v>185</v>
      </c>
      <c r="B265" s="51" t="n">
        <f aca="false">1+IF($G$6=$E$6,$F$6,IF(P265&lt;($F$6-$E$6)/($G$6-$E$6),$E$6+SQRT(P265*($G$6-$E$6)*($F$6-$E$6)),$G$6-SQRT((1-P265)*($G$6-$E$6)*($G$6-$F$6))))</f>
        <v>0.947051747342714</v>
      </c>
      <c r="C265" s="51" t="n">
        <f aca="false">1+IF($G$7=$E$7,$F$7,IF(Q265&lt;($F$7-$E$7)/($G$7-$E$7),$E$7+SQRT(Q265*($G$7-$E$7)*($F$7-$E$7)),$G$7-SQRT((1-Q265)*($G$7-$E$7)*($G$7-$F$7))))</f>
        <v>1.04862489208531</v>
      </c>
      <c r="D265" s="51" t="n">
        <f aca="false">1+IF($G$8=$E$8,$F$8,IF(R265&lt;($F$8-$E$8)/($G$8-$E$8),$E$8+SQRT(R265*($G$8-$E$8)*($F$8-$E$8)),$G$8-SQRT((1-R265)*($G$8-$E$8)*($G$8-$F$8))))</f>
        <v>1.00255919125041</v>
      </c>
      <c r="E265" s="51" t="n">
        <f aca="false">1+IF($G$9=$E$9,$F$9,IF(S265&lt;($F$9-$E$9)/($G$9-$E$9),$E$9+SQRT(S265*($G$9-$E$9)*($F$9-$E$9)),$G$9-SQRT((1-S265)*($G$9-$E$9)*($G$9-$F$9))))</f>
        <v>1.0133141973203</v>
      </c>
      <c r="F265" s="51" t="n">
        <f aca="false">1+IF($G$10=$E$10,$F$10,IF(T265&lt;($F$10-$E$10)/($G$10-$E$10),$E$10+SQRT(T265*($G$10-$E$10)*($F$10-$E$10)),$G$10-SQRT((1-T265)*($G$10-$E$10)*($G$10-$F$10))))</f>
        <v>1.06017192426491</v>
      </c>
      <c r="G265" s="52" t="n">
        <f aca="false">IF($G$11=$E$11,$F$11,IF(U265&lt;($F$11-$E$11)/($G$11-$E$11),$E$11+SQRT(U265*($G$11-$E$11)*($F$11-$E$11)),$G$11-SQRT((1-U265)*($G$11-$E$11)*($G$11-$F$11))))</f>
        <v>0.0999430766995684</v>
      </c>
      <c r="H265" s="53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-2120343848.52982</v>
      </c>
      <c r="I265" s="53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-26356669.1975593</v>
      </c>
      <c r="J265" s="53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248879542.455037</v>
      </c>
      <c r="K265" s="53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577124350.320879</v>
      </c>
      <c r="L265" s="53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703191360.581556</v>
      </c>
      <c r="M265" s="53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891960195.652191</v>
      </c>
      <c r="N265" s="53" t="n">
        <f aca="false">IF(COUNT('Business Case'!B11:G11)=0,"",H265+NPV(G265,I265:M265))</f>
        <v>-470560428.247105</v>
      </c>
      <c r="P265" s="54" t="n">
        <f aca="true">RAND()</f>
        <v>0.0762288577389621</v>
      </c>
      <c r="Q265" s="54" t="n">
        <f aca="true">RAND()</f>
        <v>0.804249285624458</v>
      </c>
      <c r="R265" s="54" t="n">
        <f aca="true">RAND()</f>
        <v>0.423357801943218</v>
      </c>
      <c r="S265" s="54" t="n">
        <f aca="true">RAND()</f>
        <v>0.499038107585051</v>
      </c>
      <c r="T265" s="54" t="n">
        <f aca="true">RAND()</f>
        <v>0.608962184724427</v>
      </c>
      <c r="U265" s="54" t="n">
        <f aca="true">RAND()</f>
        <v>0.329549247511668</v>
      </c>
    </row>
    <row r="266" customFormat="false" ht="15" hidden="false" customHeight="false" outlineLevel="0" collapsed="false">
      <c r="A266" s="50" t="n">
        <v>186</v>
      </c>
      <c r="B266" s="51" t="n">
        <f aca="false">1+IF($G$6=$E$6,$F$6,IF(P266&lt;($F$6-$E$6)/($G$6-$E$6),$E$6+SQRT(P266*($G$6-$E$6)*($F$6-$E$6)),$G$6-SQRT((1-P266)*($G$6-$E$6)*($G$6-$F$6))))</f>
        <v>1.00958703154174</v>
      </c>
      <c r="C266" s="51" t="n">
        <f aca="false">1+IF($G$7=$E$7,$F$7,IF(Q266&lt;($F$7-$E$7)/($G$7-$E$7),$E$7+SQRT(Q266*($G$7-$E$7)*($F$7-$E$7)),$G$7-SQRT((1-Q266)*($G$7-$E$7)*($G$7-$F$7))))</f>
        <v>0.99903527705843</v>
      </c>
      <c r="D266" s="51" t="n">
        <f aca="false">1+IF($G$8=$E$8,$F$8,IF(R266&lt;($F$8-$E$8)/($G$8-$E$8),$E$8+SQRT(R266*($G$8-$E$8)*($F$8-$E$8)),$G$8-SQRT((1-R266)*($G$8-$E$8)*($G$8-$F$8))))</f>
        <v>0.968447219778668</v>
      </c>
      <c r="E266" s="51" t="n">
        <f aca="false">1+IF($G$9=$E$9,$F$9,IF(S266&lt;($F$9-$E$9)/($G$9-$E$9),$E$9+SQRT(S266*($G$9-$E$9)*($F$9-$E$9)),$G$9-SQRT((1-S266)*($G$9-$E$9)*($G$9-$F$9))))</f>
        <v>1.07437147429336</v>
      </c>
      <c r="F266" s="51" t="n">
        <f aca="false">1+IF($G$10=$E$10,$F$10,IF(T266&lt;($F$10-$E$10)/($G$10-$E$10),$E$10+SQRT(T266*($G$10-$E$10)*($F$10-$E$10)),$G$10-SQRT((1-T266)*($G$10-$E$10)*($G$10-$F$10))))</f>
        <v>1.03721049223118</v>
      </c>
      <c r="G266" s="52" t="n">
        <f aca="false">IF($G$11=$E$11,$F$11,IF(U266&lt;($F$11-$E$11)/($G$11-$E$11),$E$11+SQRT(U266*($G$11-$E$11)*($F$11-$E$11)),$G$11-SQRT((1-U266)*($G$11-$E$11)*($G$11-$F$11))))</f>
        <v>0.0944707352330888</v>
      </c>
      <c r="H266" s="53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-2074420984.46236</v>
      </c>
      <c r="I266" s="53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22054319.7390762</v>
      </c>
      <c r="J266" s="53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352891813.36431</v>
      </c>
      <c r="K266" s="53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735589831.601102</v>
      </c>
      <c r="L266" s="53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880726663.488529</v>
      </c>
      <c r="M266" s="53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1072443833.88978</v>
      </c>
      <c r="N266" s="53" t="n">
        <f aca="false">IF(COUNT('Business Case'!B11:G11)=0,"",H266+NPV(G266,I266:M266))</f>
        <v>98099516.0194976</v>
      </c>
      <c r="P266" s="54" t="n">
        <f aca="true">RAND()</f>
        <v>0.807302364491029</v>
      </c>
      <c r="Q266" s="54" t="n">
        <f aca="true">RAND()</f>
        <v>0.565929164481801</v>
      </c>
      <c r="R266" s="54" t="n">
        <f aca="true">RAND()</f>
        <v>0.0523538334711497</v>
      </c>
      <c r="S266" s="54" t="n">
        <f aca="true">RAND()</f>
        <v>0.956211911340271</v>
      </c>
      <c r="T266" s="54" t="n">
        <f aca="true">RAND()</f>
        <v>0.469991523207718</v>
      </c>
      <c r="U266" s="54" t="n">
        <f aca="true">RAND()</f>
        <v>0.0666249117479388</v>
      </c>
    </row>
    <row r="267" customFormat="false" ht="15" hidden="false" customHeight="false" outlineLevel="0" collapsed="false">
      <c r="A267" s="50" t="n">
        <v>187</v>
      </c>
      <c r="B267" s="51" t="n">
        <f aca="false">1+IF($G$6=$E$6,$F$6,IF(P267&lt;($F$6-$E$6)/($G$6-$E$6),$E$6+SQRT(P267*($G$6-$E$6)*($F$6-$E$6)),$G$6-SQRT((1-P267)*($G$6-$E$6)*($G$6-$F$6))))</f>
        <v>0.99430692109518</v>
      </c>
      <c r="C267" s="51" t="n">
        <f aca="false">1+IF($G$7=$E$7,$F$7,IF(Q267&lt;($F$7-$E$7)/($G$7-$E$7),$E$7+SQRT(Q267*($G$7-$E$7)*($F$7-$E$7)),$G$7-SQRT((1-Q267)*($G$7-$E$7)*($G$7-$F$7))))</f>
        <v>0.97565267854726</v>
      </c>
      <c r="D267" s="51" t="n">
        <f aca="false">1+IF($G$8=$E$8,$F$8,IF(R267&lt;($F$8-$E$8)/($G$8-$E$8),$E$8+SQRT(R267*($G$8-$E$8)*($F$8-$E$8)),$G$8-SQRT((1-R267)*($G$8-$E$8)*($G$8-$F$8))))</f>
        <v>0.992862362288374</v>
      </c>
      <c r="E267" s="51" t="n">
        <f aca="false">1+IF($G$9=$E$9,$F$9,IF(S267&lt;($F$9-$E$9)/($G$9-$E$9),$E$9+SQRT(S267*($G$9-$E$9)*($F$9-$E$9)),$G$9-SQRT((1-S267)*($G$9-$E$9)*($G$9-$F$9))))</f>
        <v>1.06167001397396</v>
      </c>
      <c r="F267" s="51" t="n">
        <f aca="false">1+IF($G$10=$E$10,$F$10,IF(T267&lt;($F$10-$E$10)/($G$10-$E$10),$E$10+SQRT(T267*($G$10-$E$10)*($F$10-$E$10)),$G$10-SQRT((1-T267)*($G$10-$E$10)*($G$10-$F$10))))</f>
        <v>0.997232010036817</v>
      </c>
      <c r="G267" s="52" t="n">
        <f aca="false">IF($G$11=$E$11,$F$11,IF(U267&lt;($F$11-$E$11)/($G$11-$E$11),$E$11+SQRT(U267*($G$11-$E$11)*($F$11-$E$11)),$G$11-SQRT((1-U267)*($G$11-$E$11)*($G$11-$F$11))))</f>
        <v>0.112068625724329</v>
      </c>
      <c r="H267" s="53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-1994464020.07363</v>
      </c>
      <c r="I267" s="53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-2293468.8429122</v>
      </c>
      <c r="J267" s="53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296395630.556175</v>
      </c>
      <c r="K267" s="53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644946330.457103</v>
      </c>
      <c r="L267" s="53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778035957.757613</v>
      </c>
      <c r="M267" s="53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962432225.678754</v>
      </c>
      <c r="N267" s="53" t="n">
        <f aca="false">IF(COUNT('Business Case'!B11:G11)=0,"",H267+NPV(G267,I267:M267))</f>
        <v>-213328946.873746</v>
      </c>
      <c r="P267" s="54" t="n">
        <f aca="true">RAND()</f>
        <v>0.57515817944222</v>
      </c>
      <c r="Q267" s="54" t="n">
        <f aca="true">RAND()</f>
        <v>0.440769478297531</v>
      </c>
      <c r="R267" s="54" t="n">
        <f aca="true">RAND()</f>
        <v>0.282643400144593</v>
      </c>
      <c r="S267" s="54" t="n">
        <f aca="true">RAND()</f>
        <v>0.902054144749576</v>
      </c>
      <c r="T267" s="54" t="n">
        <f aca="true">RAND()</f>
        <v>0.17846902176944</v>
      </c>
      <c r="U267" s="54" t="n">
        <f aca="true">RAND()</f>
        <v>0.895155503498706</v>
      </c>
    </row>
    <row r="268" customFormat="false" ht="15" hidden="false" customHeight="false" outlineLevel="0" collapsed="false">
      <c r="A268" s="50" t="n">
        <v>188</v>
      </c>
      <c r="B268" s="51" t="n">
        <f aca="false">1+IF($G$6=$E$6,$F$6,IF(P268&lt;($F$6-$E$6)/($G$6-$E$6),$E$6+SQRT(P268*($G$6-$E$6)*($F$6-$E$6)),$G$6-SQRT((1-P268)*($G$6-$E$6)*($G$6-$F$6))))</f>
        <v>0.967540511425784</v>
      </c>
      <c r="C268" s="51" t="n">
        <f aca="false">1+IF($G$7=$E$7,$F$7,IF(Q268&lt;($F$7-$E$7)/($G$7-$E$7),$E$7+SQRT(Q268*($G$7-$E$7)*($F$7-$E$7)),$G$7-SQRT((1-Q268)*($G$7-$E$7)*($G$7-$F$7))))</f>
        <v>0.939118738266565</v>
      </c>
      <c r="D268" s="51" t="n">
        <f aca="false">1+IF($G$8=$E$8,$F$8,IF(R268&lt;($F$8-$E$8)/($G$8-$E$8),$E$8+SQRT(R268*($G$8-$E$8)*($F$8-$E$8)),$G$8-SQRT((1-R268)*($G$8-$E$8)*($G$8-$F$8))))</f>
        <v>0.986634619550084</v>
      </c>
      <c r="E268" s="51" t="n">
        <f aca="false">1+IF($G$9=$E$9,$F$9,IF(S268&lt;($F$9-$E$9)/($G$9-$E$9),$E$9+SQRT(S268*($G$9-$E$9)*($F$9-$E$9)),$G$9-SQRT((1-S268)*($G$9-$E$9)*($G$9-$F$9))))</f>
        <v>1.01869743383655</v>
      </c>
      <c r="F268" s="51" t="n">
        <f aca="false">1+IF($G$10=$E$10,$F$10,IF(T268&lt;($F$10-$E$10)/($G$10-$E$10),$E$10+SQRT(T268*($G$10-$E$10)*($F$10-$E$10)),$G$10-SQRT((1-T268)*($G$10-$E$10)*($G$10-$F$10))))</f>
        <v>1.05380467840409</v>
      </c>
      <c r="G268" s="52" t="n">
        <f aca="false">IF($G$11=$E$11,$F$11,IF(U268&lt;($F$11-$E$11)/($G$11-$E$11),$E$11+SQRT(U268*($G$11-$E$11)*($F$11-$E$11)),$G$11-SQRT((1-U268)*($G$11-$E$11)*($G$11-$F$11))))</f>
        <v>0.0987334421084434</v>
      </c>
      <c r="H268" s="53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-2107609356.80818</v>
      </c>
      <c r="I268" s="53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-27433277.9310199</v>
      </c>
      <c r="J268" s="53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242476347.466259</v>
      </c>
      <c r="K268" s="53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565076206.783743</v>
      </c>
      <c r="L268" s="53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686448522.180391</v>
      </c>
      <c r="M268" s="53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859161943.63361</v>
      </c>
      <c r="N268" s="53" t="n">
        <f aca="false">IF(COUNT('Business Case'!B11:G11)=0,"",H268+NPV(G268,I268:M268))</f>
        <v>-498128459.508928</v>
      </c>
      <c r="P268" s="54" t="n">
        <f aca="true">RAND()</f>
        <v>0.235427106940117</v>
      </c>
      <c r="Q268" s="54" t="n">
        <f aca="true">RAND()</f>
        <v>0.276486047669727</v>
      </c>
      <c r="R268" s="54" t="n">
        <f aca="true">RAND()</f>
        <v>0.206476207627598</v>
      </c>
      <c r="S268" s="54" t="n">
        <f aca="true">RAND()</f>
        <v>0.559326182349199</v>
      </c>
      <c r="T268" s="54" t="n">
        <f aca="true">RAND()</f>
        <v>0.57253855886938</v>
      </c>
      <c r="U268" s="54" t="n">
        <f aca="true">RAND()</f>
        <v>0.254243370205107</v>
      </c>
    </row>
    <row r="269" customFormat="false" ht="15" hidden="false" customHeight="false" outlineLevel="0" collapsed="false">
      <c r="A269" s="50" t="n">
        <v>189</v>
      </c>
      <c r="B269" s="51" t="n">
        <f aca="false">1+IF($G$6=$E$6,$F$6,IF(P269&lt;($F$6-$E$6)/($G$6-$E$6),$E$6+SQRT(P269*($G$6-$E$6)*($F$6-$E$6)),$G$6-SQRT((1-P269)*($G$6-$E$6)*($G$6-$F$6))))</f>
        <v>0.966749871328334</v>
      </c>
      <c r="C269" s="51" t="n">
        <f aca="false">1+IF($G$7=$E$7,$F$7,IF(Q269&lt;($F$7-$E$7)/($G$7-$E$7),$E$7+SQRT(Q269*($G$7-$E$7)*($F$7-$E$7)),$G$7-SQRT((1-Q269)*($G$7-$E$7)*($G$7-$F$7))))</f>
        <v>0.903437768047478</v>
      </c>
      <c r="D269" s="51" t="n">
        <f aca="false">1+IF($G$8=$E$8,$F$8,IF(R269&lt;($F$8-$E$8)/($G$8-$E$8),$E$8+SQRT(R269*($G$8-$E$8)*($F$8-$E$8)),$G$8-SQRT((1-R269)*($G$8-$E$8)*($G$8-$F$8))))</f>
        <v>0.981091823464433</v>
      </c>
      <c r="E269" s="51" t="n">
        <f aca="false">1+IF($G$9=$E$9,$F$9,IF(S269&lt;($F$9-$E$9)/($G$9-$E$9),$E$9+SQRT(S269*($G$9-$E$9)*($F$9-$E$9)),$G$9-SQRT((1-S269)*($G$9-$E$9)*($G$9-$F$9))))</f>
        <v>0.965104895100469</v>
      </c>
      <c r="F269" s="51" t="n">
        <f aca="false">1+IF($G$10=$E$10,$F$10,IF(T269&lt;($F$10-$E$10)/($G$10-$E$10),$E$10+SQRT(T269*($G$10-$E$10)*($F$10-$E$10)),$G$10-SQRT((1-T269)*($G$10-$E$10)*($G$10-$F$10))))</f>
        <v>1.07324057471101</v>
      </c>
      <c r="G269" s="52" t="n">
        <f aca="false">IF($G$11=$E$11,$F$11,IF(U269&lt;($F$11-$E$11)/($G$11-$E$11),$E$11+SQRT(U269*($G$11-$E$11)*($F$11-$E$11)),$G$11-SQRT((1-U269)*($G$11-$E$11)*($G$11-$F$11))))</f>
        <v>0.0960029553251884</v>
      </c>
      <c r="H269" s="53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-2146481149.42202</v>
      </c>
      <c r="I269" s="53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-28205873.8205716</v>
      </c>
      <c r="J269" s="53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233427196.170561</v>
      </c>
      <c r="K269" s="53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548722294.897244</v>
      </c>
      <c r="L269" s="53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666117965.065833</v>
      </c>
      <c r="M269" s="53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832133522.675994</v>
      </c>
      <c r="N269" s="53" t="n">
        <f aca="false">IF(COUNT('Business Case'!B11:G11)=0,"",H269+NPV(G269,I269:M269))</f>
        <v>-573280601.374152</v>
      </c>
      <c r="P269" s="54" t="n">
        <f aca="true">RAND()</f>
        <v>0.227661507209973</v>
      </c>
      <c r="Q269" s="54" t="n">
        <f aca="true">RAND()</f>
        <v>0.152848169409198</v>
      </c>
      <c r="R269" s="54" t="n">
        <f aca="true">RAND()</f>
        <v>0.148723305591298</v>
      </c>
      <c r="S269" s="54" t="n">
        <f aca="true">RAND()</f>
        <v>0.0304210474661569</v>
      </c>
      <c r="T269" s="54" t="n">
        <f aca="true">RAND()</f>
        <v>0.678640962008089</v>
      </c>
      <c r="U269" s="54" t="n">
        <f aca="true">RAND()</f>
        <v>0.120118242120691</v>
      </c>
    </row>
    <row r="270" customFormat="false" ht="15" hidden="false" customHeight="false" outlineLevel="0" collapsed="false">
      <c r="A270" s="50" t="n">
        <v>190</v>
      </c>
      <c r="B270" s="51" t="n">
        <f aca="false">1+IF($G$6=$E$6,$F$6,IF(P270&lt;($F$6-$E$6)/($G$6-$E$6),$E$6+SQRT(P270*($G$6-$E$6)*($F$6-$E$6)),$G$6-SQRT((1-P270)*($G$6-$E$6)*($G$6-$F$6))))</f>
        <v>1.00132064695329</v>
      </c>
      <c r="C270" s="51" t="n">
        <f aca="false">1+IF($G$7=$E$7,$F$7,IF(Q270&lt;($F$7-$E$7)/($G$7-$E$7),$E$7+SQRT(Q270*($G$7-$E$7)*($F$7-$E$7)),$G$7-SQRT((1-Q270)*($G$7-$E$7)*($G$7-$F$7))))</f>
        <v>1.00991783683947</v>
      </c>
      <c r="D270" s="51" t="n">
        <f aca="false">1+IF($G$8=$E$8,$F$8,IF(R270&lt;($F$8-$E$8)/($G$8-$E$8),$E$8+SQRT(R270*($G$8-$E$8)*($F$8-$E$8)),$G$8-SQRT((1-R270)*($G$8-$E$8)*($G$8-$F$8))))</f>
        <v>0.954185622499408</v>
      </c>
      <c r="E270" s="51" t="n">
        <f aca="false">1+IF($G$9=$E$9,$F$9,IF(S270&lt;($F$9-$E$9)/($G$9-$E$9),$E$9+SQRT(S270*($G$9-$E$9)*($F$9-$E$9)),$G$9-SQRT((1-S270)*($G$9-$E$9)*($G$9-$F$9))))</f>
        <v>0.99813398214754</v>
      </c>
      <c r="F270" s="51" t="n">
        <f aca="false">1+IF($G$10=$E$10,$F$10,IF(T270&lt;($F$10-$E$10)/($G$10-$E$10),$E$10+SQRT(T270*($G$10-$E$10)*($F$10-$E$10)),$G$10-SQRT((1-T270)*($G$10-$E$10)*($G$10-$F$10))))</f>
        <v>1.00884365015956</v>
      </c>
      <c r="G270" s="52" t="n">
        <f aca="false">IF($G$11=$E$11,$F$11,IF(U270&lt;($F$11-$E$11)/($G$11-$E$11),$E$11+SQRT(U270*($G$11-$E$11)*($F$11-$E$11)),$G$11-SQRT((1-U270)*($G$11-$E$11)*($G$11-$F$11))))</f>
        <v>0.0947522668066319</v>
      </c>
      <c r="H270" s="53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-2017687300.31912</v>
      </c>
      <c r="I270" s="53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39734319.354375</v>
      </c>
      <c r="J270" s="53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374710937.984201</v>
      </c>
      <c r="K270" s="53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760129739.122005</v>
      </c>
      <c r="L270" s="53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906737466.664024</v>
      </c>
      <c r="M270" s="53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1098956167.32378</v>
      </c>
      <c r="N270" s="53" t="n">
        <f aca="false">IF(COUNT('Business Case'!B11:G11)=0,"",H270+NPV(G270,I270:M270))</f>
        <v>240763249.601048</v>
      </c>
      <c r="P270" s="54" t="n">
        <f aca="true">RAND()</f>
        <v>0.688314093309932</v>
      </c>
      <c r="Q270" s="54" t="n">
        <f aca="true">RAND()</f>
        <v>0.626228334557484</v>
      </c>
      <c r="R270" s="54" t="n">
        <f aca="true">RAND()</f>
        <v>0.00269529780116146</v>
      </c>
      <c r="S270" s="54" t="n">
        <f aca="true">RAND()</f>
        <v>0.308917364983958</v>
      </c>
      <c r="T270" s="54" t="n">
        <f aca="true">RAND()</f>
        <v>0.269184998313574</v>
      </c>
      <c r="U270" s="54" t="n">
        <f aca="true">RAND()</f>
        <v>0.0752801326713833</v>
      </c>
    </row>
    <row r="271" customFormat="false" ht="15" hidden="false" customHeight="false" outlineLevel="0" collapsed="false">
      <c r="A271" s="50" t="n">
        <v>191</v>
      </c>
      <c r="B271" s="51" t="n">
        <f aca="false">1+IF($G$6=$E$6,$F$6,IF(P271&lt;($F$6-$E$6)/($G$6-$E$6),$E$6+SQRT(P271*($G$6-$E$6)*($F$6-$E$6)),$G$6-SQRT((1-P271)*($G$6-$E$6)*($G$6-$F$6))))</f>
        <v>0.981112738776015</v>
      </c>
      <c r="C271" s="51" t="n">
        <f aca="false">1+IF($G$7=$E$7,$F$7,IF(Q271&lt;($F$7-$E$7)/($G$7-$E$7),$E$7+SQRT(Q271*($G$7-$E$7)*($F$7-$E$7)),$G$7-SQRT((1-Q271)*($G$7-$E$7)*($G$7-$F$7))))</f>
        <v>0.982688008170367</v>
      </c>
      <c r="D271" s="51" t="n">
        <f aca="false">1+IF($G$8=$E$8,$F$8,IF(R271&lt;($F$8-$E$8)/($G$8-$E$8),$E$8+SQRT(R271*($G$8-$E$8)*($F$8-$E$8)),$G$8-SQRT((1-R271)*($G$8-$E$8)*($G$8-$F$8))))</f>
        <v>1.04908551454812</v>
      </c>
      <c r="E271" s="51" t="n">
        <f aca="false">1+IF($G$9=$E$9,$F$9,IF(S271&lt;($F$9-$E$9)/($G$9-$E$9),$E$9+SQRT(S271*($G$9-$E$9)*($F$9-$E$9)),$G$9-SQRT((1-S271)*($G$9-$E$9)*($G$9-$F$9))))</f>
        <v>1.04913079194831</v>
      </c>
      <c r="F271" s="51" t="n">
        <f aca="false">1+IF($G$10=$E$10,$F$10,IF(T271&lt;($F$10-$E$10)/($G$10-$E$10),$E$10+SQRT(T271*($G$10-$E$10)*($F$10-$E$10)),$G$10-SQRT((1-T271)*($G$10-$E$10)*($G$10-$F$10))))</f>
        <v>1.1267228727776</v>
      </c>
      <c r="G271" s="52" t="n">
        <f aca="false">IF($G$11=$E$11,$F$11,IF(U271&lt;($F$11-$E$11)/($G$11-$E$11),$E$11+SQRT(U271*($G$11-$E$11)*($F$11-$E$11)),$G$11-SQRT((1-U271)*($G$11-$E$11)*($G$11-$F$11))))</f>
        <v>0.102560083093993</v>
      </c>
      <c r="H271" s="53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-2253445745.5552</v>
      </c>
      <c r="I271" s="53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-49899533.1770489</v>
      </c>
      <c r="J271" s="53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212040000.702058</v>
      </c>
      <c r="K271" s="53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530315678.220046</v>
      </c>
      <c r="L271" s="53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650949110.288646</v>
      </c>
      <c r="M271" s="53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834210507.887582</v>
      </c>
      <c r="N271" s="53" t="n">
        <f aca="false">IF(COUNT('Business Case'!B11:G11)=0,"",H271+NPV(G271,I271:M271))</f>
        <v>-776126461.152813</v>
      </c>
      <c r="P271" s="54" t="n">
        <f aca="true">RAND()</f>
        <v>0.389038212573485</v>
      </c>
      <c r="Q271" s="54" t="n">
        <f aca="true">RAND()</f>
        <v>0.476784404703656</v>
      </c>
      <c r="R271" s="54" t="n">
        <f aca="true">RAND()</f>
        <v>0.908105248965907</v>
      </c>
      <c r="S271" s="54" t="n">
        <f aca="true">RAND()</f>
        <v>0.827488244812942</v>
      </c>
      <c r="T271" s="54" t="n">
        <f aca="true">RAND()</f>
        <v>0.892609252520647</v>
      </c>
      <c r="U271" s="54" t="n">
        <f aca="true">RAND()</f>
        <v>0.49308216385259</v>
      </c>
    </row>
    <row r="272" customFormat="false" ht="15" hidden="false" customHeight="false" outlineLevel="0" collapsed="false">
      <c r="A272" s="50" t="n">
        <v>192</v>
      </c>
      <c r="B272" s="51" t="n">
        <f aca="false">1+IF($G$6=$E$6,$F$6,IF(P272&lt;($F$6-$E$6)/($G$6-$E$6),$E$6+SQRT(P272*($G$6-$E$6)*($F$6-$E$6)),$G$6-SQRT((1-P272)*($G$6-$E$6)*($G$6-$F$6))))</f>
        <v>0.971632751849068</v>
      </c>
      <c r="C272" s="51" t="n">
        <f aca="false">1+IF($G$7=$E$7,$F$7,IF(Q272&lt;($F$7-$E$7)/($G$7-$E$7),$E$7+SQRT(Q272*($G$7-$E$7)*($F$7-$E$7)),$G$7-SQRT((1-Q272)*($G$7-$E$7)*($G$7-$F$7))))</f>
        <v>1.00734609493849</v>
      </c>
      <c r="D272" s="51" t="n">
        <f aca="false">1+IF($G$8=$E$8,$F$8,IF(R272&lt;($F$8-$E$8)/($G$8-$E$8),$E$8+SQRT(R272*($G$8-$E$8)*($F$8-$E$8)),$G$8-SQRT((1-R272)*($G$8-$E$8)*($G$8-$F$8))))</f>
        <v>1.01603940718507</v>
      </c>
      <c r="E272" s="51" t="n">
        <f aca="false">1+IF($G$9=$E$9,$F$9,IF(S272&lt;($F$9-$E$9)/($G$9-$E$9),$E$9+SQRT(S272*($G$9-$E$9)*($F$9-$E$9)),$G$9-SQRT((1-S272)*($G$9-$E$9)*($G$9-$F$9))))</f>
        <v>1.02161808852605</v>
      </c>
      <c r="F272" s="51" t="n">
        <f aca="false">1+IF($G$10=$E$10,$F$10,IF(T272&lt;($F$10-$E$10)/($G$10-$E$10),$E$10+SQRT(T272*($G$10-$E$10)*($F$10-$E$10)),$G$10-SQRT((1-T272)*($G$10-$E$10)*($G$10-$F$10))))</f>
        <v>1.02135018466937</v>
      </c>
      <c r="G272" s="52" t="n">
        <f aca="false">IF($G$11=$E$11,$F$11,IF(U272&lt;($F$11-$E$11)/($G$11-$E$11),$E$11+SQRT(U272*($G$11-$E$11)*($F$11-$E$11)),$G$11-SQRT((1-U272)*($G$11-$E$11)*($G$11-$F$11))))</f>
        <v>0.106093038346258</v>
      </c>
      <c r="H272" s="53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-2042700369.33874</v>
      </c>
      <c r="I272" s="53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-20416918.6499706</v>
      </c>
      <c r="J272" s="53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257314733.913128</v>
      </c>
      <c r="K272" s="53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586113895.709695</v>
      </c>
      <c r="L272" s="53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712517420.269212</v>
      </c>
      <c r="M272" s="53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898562108.98088</v>
      </c>
      <c r="N272" s="53" t="n">
        <f aca="false">IF(COUNT('Business Case'!B11:G11)=0,"",H272+NPV(G272,I272:M272))</f>
        <v>-398958311.472261</v>
      </c>
      <c r="P272" s="54" t="n">
        <f aca="true">RAND()</f>
        <v>0.277702194115361</v>
      </c>
      <c r="Q272" s="54" t="n">
        <f aca="true">RAND()</f>
        <v>0.612378349918115</v>
      </c>
      <c r="R272" s="54" t="n">
        <f aca="true">RAND()</f>
        <v>0.606638708342563</v>
      </c>
      <c r="S272" s="54" t="n">
        <f aca="true">RAND()</f>
        <v>0.590418396912694</v>
      </c>
      <c r="T272" s="54" t="n">
        <f aca="true">RAND()</f>
        <v>0.361684869646626</v>
      </c>
      <c r="U272" s="54" t="n">
        <f aca="true">RAND()</f>
        <v>0.677660695935597</v>
      </c>
    </row>
    <row r="273" customFormat="false" ht="15" hidden="false" customHeight="false" outlineLevel="0" collapsed="false">
      <c r="A273" s="50" t="n">
        <v>193</v>
      </c>
      <c r="B273" s="51" t="n">
        <f aca="false">1+IF($G$6=$E$6,$F$6,IF(P273&lt;($F$6-$E$6)/($G$6-$E$6),$E$6+SQRT(P273*($G$6-$E$6)*($F$6-$E$6)),$G$6-SQRT((1-P273)*($G$6-$E$6)*($G$6-$F$6))))</f>
        <v>1.00947876069284</v>
      </c>
      <c r="C273" s="51" t="n">
        <f aca="false">1+IF($G$7=$E$7,$F$7,IF(Q273&lt;($F$7-$E$7)/($G$7-$E$7),$E$7+SQRT(Q273*($G$7-$E$7)*($F$7-$E$7)),$G$7-SQRT((1-Q273)*($G$7-$E$7)*($G$7-$F$7))))</f>
        <v>0.887454013968711</v>
      </c>
      <c r="D273" s="51" t="n">
        <f aca="false">1+IF($G$8=$E$8,$F$8,IF(R273&lt;($F$8-$E$8)/($G$8-$E$8),$E$8+SQRT(R273*($G$8-$E$8)*($F$8-$E$8)),$G$8-SQRT((1-R273)*($G$8-$E$8)*($G$8-$F$8))))</f>
        <v>1.00890470030495</v>
      </c>
      <c r="E273" s="51" t="n">
        <f aca="false">1+IF($G$9=$E$9,$F$9,IF(S273&lt;($F$9-$E$9)/($G$9-$E$9),$E$9+SQRT(S273*($G$9-$E$9)*($F$9-$E$9)),$G$9-SQRT((1-S273)*($G$9-$E$9)*($G$9-$F$9))))</f>
        <v>0.960560819817677</v>
      </c>
      <c r="F273" s="51" t="n">
        <f aca="false">1+IF($G$10=$E$10,$F$10,IF(T273&lt;($F$10-$E$10)/($G$10-$E$10),$E$10+SQRT(T273*($G$10-$E$10)*($F$10-$E$10)),$G$10-SQRT((1-T273)*($G$10-$E$10)*($G$10-$F$10))))</f>
        <v>1.00766470501537</v>
      </c>
      <c r="G273" s="52" t="n">
        <f aca="false">IF($G$11=$E$11,$F$11,IF(U273&lt;($F$11-$E$11)/($G$11-$E$11),$E$11+SQRT(U273*($G$11-$E$11)*($F$11-$E$11)),$G$11-SQRT((1-U273)*($G$11-$E$11)*($G$11-$F$11))))</f>
        <v>0.103892814224339</v>
      </c>
      <c r="H273" s="53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-2015329410.03074</v>
      </c>
      <c r="I273" s="53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-8372085.68727398</v>
      </c>
      <c r="J273" s="53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267055740.014589</v>
      </c>
      <c r="K273" s="53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592866800.967221</v>
      </c>
      <c r="L273" s="53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715637204.407526</v>
      </c>
      <c r="M273" s="53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885923409.542456</v>
      </c>
      <c r="N273" s="53" t="n">
        <f aca="false">IF(COUNT('Business Case'!B11:G11)=0,"",H273+NPV(G273,I273:M273))</f>
        <v>-340637265.977633</v>
      </c>
      <c r="P273" s="54" t="n">
        <f aca="true">RAND()</f>
        <v>0.805927906490661</v>
      </c>
      <c r="Q273" s="54" t="n">
        <f aca="true">RAND()</f>
        <v>0.109260065131993</v>
      </c>
      <c r="R273" s="54" t="n">
        <f aca="true">RAND()</f>
        <v>0.513986380891379</v>
      </c>
      <c r="S273" s="54" t="n">
        <f aca="true">RAND()</f>
        <v>0.0148707886961925</v>
      </c>
      <c r="T273" s="54" t="n">
        <f aca="true">RAND()</f>
        <v>0.260142686063508</v>
      </c>
      <c r="U273" s="54" t="n">
        <f aca="true">RAND()</f>
        <v>0.567597610647221</v>
      </c>
    </row>
    <row r="274" customFormat="false" ht="15" hidden="false" customHeight="false" outlineLevel="0" collapsed="false">
      <c r="A274" s="50" t="n">
        <v>194</v>
      </c>
      <c r="B274" s="51" t="n">
        <f aca="false">1+IF($G$6=$E$6,$F$6,IF(P274&lt;($F$6-$E$6)/($G$6-$E$6),$E$6+SQRT(P274*($G$6-$E$6)*($F$6-$E$6)),$G$6-SQRT((1-P274)*($G$6-$E$6)*($G$6-$F$6))))</f>
        <v>0.97094380703828</v>
      </c>
      <c r="C274" s="51" t="n">
        <f aca="false">1+IF($G$7=$E$7,$F$7,IF(Q274&lt;($F$7-$E$7)/($G$7-$E$7),$E$7+SQRT(Q274*($G$7-$E$7)*($F$7-$E$7)),$G$7-SQRT((1-Q274)*($G$7-$E$7)*($G$7-$F$7))))</f>
        <v>0.826672002242701</v>
      </c>
      <c r="D274" s="51" t="n">
        <f aca="false">1+IF($G$8=$E$8,$F$8,IF(R274&lt;($F$8-$E$8)/($G$8-$E$8),$E$8+SQRT(R274*($G$8-$E$8)*($F$8-$E$8)),$G$8-SQRT((1-R274)*($G$8-$E$8)*($G$8-$F$8))))</f>
        <v>0.99765236360692</v>
      </c>
      <c r="E274" s="51" t="n">
        <f aca="false">1+IF($G$9=$E$9,$F$9,IF(S274&lt;($F$9-$E$9)/($G$9-$E$9),$E$9+SQRT(S274*($G$9-$E$9)*($F$9-$E$9)),$G$9-SQRT((1-S274)*($G$9-$E$9)*($G$9-$F$9))))</f>
        <v>0.9816474321698</v>
      </c>
      <c r="F274" s="51" t="n">
        <f aca="false">1+IF($G$10=$E$10,$F$10,IF(T274&lt;($F$10-$E$10)/($G$10-$E$10),$E$10+SQRT(T274*($G$10-$E$10)*($F$10-$E$10)),$G$10-SQRT((1-T274)*($G$10-$E$10)*($G$10-$F$10))))</f>
        <v>1.04296541204613</v>
      </c>
      <c r="G274" s="52" t="n">
        <f aca="false">IF($G$11=$E$11,$F$11,IF(U274&lt;($F$11-$E$11)/($G$11-$E$11),$E$11+SQRT(U274*($G$11-$E$11)*($F$11-$E$11)),$G$11-SQRT((1-U274)*($G$11-$E$11)*($G$11-$F$11))))</f>
        <v>0.101181399757034</v>
      </c>
      <c r="H274" s="53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-2085930824.09225</v>
      </c>
      <c r="I274" s="53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-50262895.2753561</v>
      </c>
      <c r="J274" s="53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184970498.352215</v>
      </c>
      <c r="K274" s="53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472352162.582092</v>
      </c>
      <c r="L274" s="53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578502949.020461</v>
      </c>
      <c r="M274" s="53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731071052.780946</v>
      </c>
      <c r="N274" s="53" t="n">
        <f aca="false">IF(COUNT('Business Case'!B11:G11)=0,"",H274+NPV(G274,I274:M274))</f>
        <v>-780350628.752715</v>
      </c>
      <c r="P274" s="54" t="n">
        <f aca="true">RAND()</f>
        <v>0.270340778703488</v>
      </c>
      <c r="Q274" s="54" t="n">
        <f aca="true">RAND()</f>
        <v>0.010162795766209</v>
      </c>
      <c r="R274" s="54" t="n">
        <f aca="true">RAND()</f>
        <v>0.349345808819405</v>
      </c>
      <c r="S274" s="54" t="n">
        <f aca="true">RAND()</f>
        <v>0.13354132839228</v>
      </c>
      <c r="T274" s="54" t="n">
        <f aca="true">RAND()</f>
        <v>0.506802763723148</v>
      </c>
      <c r="U274" s="54" t="n">
        <f aca="true">RAND()</f>
        <v>0.409767141492419</v>
      </c>
    </row>
    <row r="275" customFormat="false" ht="15" hidden="false" customHeight="false" outlineLevel="0" collapsed="false">
      <c r="A275" s="50" t="n">
        <v>195</v>
      </c>
      <c r="B275" s="51" t="n">
        <f aca="false">1+IF($G$6=$E$6,$F$6,IF(P275&lt;($F$6-$E$6)/($G$6-$E$6),$E$6+SQRT(P275*($G$6-$E$6)*($F$6-$E$6)),$G$6-SQRT((1-P275)*($G$6-$E$6)*($G$6-$F$6))))</f>
        <v>1.00566339134691</v>
      </c>
      <c r="C275" s="51" t="n">
        <f aca="false">1+IF($G$7=$E$7,$F$7,IF(Q275&lt;($F$7-$E$7)/($G$7-$E$7),$E$7+SQRT(Q275*($G$7-$E$7)*($F$7-$E$7)),$G$7-SQRT((1-Q275)*($G$7-$E$7)*($G$7-$F$7))))</f>
        <v>0.806505849801617</v>
      </c>
      <c r="D275" s="51" t="n">
        <f aca="false">1+IF($G$8=$E$8,$F$8,IF(R275&lt;($F$8-$E$8)/($G$8-$E$8),$E$8+SQRT(R275*($G$8-$E$8)*($F$8-$E$8)),$G$8-SQRT((1-R275)*($G$8-$E$8)*($G$8-$F$8))))</f>
        <v>1.03281226216371</v>
      </c>
      <c r="E275" s="51" t="n">
        <f aca="false">1+IF($G$9=$E$9,$F$9,IF(S275&lt;($F$9-$E$9)/($G$9-$E$9),$E$9+SQRT(S275*($G$9-$E$9)*($F$9-$E$9)),$G$9-SQRT((1-S275)*($G$9-$E$9)*($G$9-$F$9))))</f>
        <v>0.999581953325729</v>
      </c>
      <c r="F275" s="51" t="n">
        <f aca="false">1+IF($G$10=$E$10,$F$10,IF(T275&lt;($F$10-$E$10)/($G$10-$E$10),$E$10+SQRT(T275*($G$10-$E$10)*($F$10-$E$10)),$G$10-SQRT((1-T275)*($G$10-$E$10)*($G$10-$F$10))))</f>
        <v>1.01800827890667</v>
      </c>
      <c r="G275" s="52" t="n">
        <f aca="false">IF($G$11=$E$11,$F$11,IF(U275&lt;($F$11-$E$11)/($G$11-$E$11),$E$11+SQRT(U275*($G$11-$E$11)*($F$11-$E$11)),$G$11-SQRT((1-U275)*($G$11-$E$11)*($G$11-$F$11))))</f>
        <v>0.111273285847476</v>
      </c>
      <c r="H275" s="53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-2036016557.81334</v>
      </c>
      <c r="I275" s="53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-48073466.2811878</v>
      </c>
      <c r="J275" s="53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189840494.564658</v>
      </c>
      <c r="K275" s="53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478654869.355837</v>
      </c>
      <c r="L275" s="53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585990219.953417</v>
      </c>
      <c r="M275" s="53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740159053.356059</v>
      </c>
      <c r="N275" s="53" t="n">
        <f aca="false">IF(COUNT('Business Case'!B11:G11)=0,"",H275+NPV(G275,I275:M275))</f>
        <v>-755782284.595014</v>
      </c>
      <c r="P275" s="54" t="n">
        <f aca="true">RAND()</f>
        <v>0.754374438792596</v>
      </c>
      <c r="Q275" s="54" t="n">
        <f aca="true">RAND()</f>
        <v>0.000604658309160068</v>
      </c>
      <c r="R275" s="54" t="n">
        <f aca="true">RAND()</f>
        <v>0.785895903643637</v>
      </c>
      <c r="S275" s="54" t="n">
        <f aca="true">RAND()</f>
        <v>0.327782679412635</v>
      </c>
      <c r="T275" s="54" t="n">
        <f aca="true">RAND()</f>
        <v>0.337580269069766</v>
      </c>
      <c r="U275" s="54" t="n">
        <f aca="true">RAND()</f>
        <v>0.873074100166908</v>
      </c>
    </row>
    <row r="276" customFormat="false" ht="15" hidden="false" customHeight="false" outlineLevel="0" collapsed="false">
      <c r="A276" s="50" t="n">
        <v>196</v>
      </c>
      <c r="B276" s="51" t="n">
        <f aca="false">1+IF($G$6=$E$6,$F$6,IF(P276&lt;($F$6-$E$6)/($G$6-$E$6),$E$6+SQRT(P276*($G$6-$E$6)*($F$6-$E$6)),$G$6-SQRT((1-P276)*($G$6-$E$6)*($G$6-$F$6))))</f>
        <v>0.947129186208042</v>
      </c>
      <c r="C276" s="51" t="n">
        <f aca="false">1+IF($G$7=$E$7,$F$7,IF(Q276&lt;($F$7-$E$7)/($G$7-$E$7),$E$7+SQRT(Q276*($G$7-$E$7)*($F$7-$E$7)),$G$7-SQRT((1-Q276)*($G$7-$E$7)*($G$7-$F$7))))</f>
        <v>0.963497842090841</v>
      </c>
      <c r="D276" s="51" t="n">
        <f aca="false">1+IF($G$8=$E$8,$F$8,IF(R276&lt;($F$8-$E$8)/($G$8-$E$8),$E$8+SQRT(R276*($G$8-$E$8)*($F$8-$E$8)),$G$8-SQRT((1-R276)*($G$8-$E$8)*($G$8-$F$8))))</f>
        <v>1.02847681218619</v>
      </c>
      <c r="E276" s="51" t="n">
        <f aca="false">1+IF($G$9=$E$9,$F$9,IF(S276&lt;($F$9-$E$9)/($G$9-$E$9),$E$9+SQRT(S276*($G$9-$E$9)*($F$9-$E$9)),$G$9-SQRT((1-S276)*($G$9-$E$9)*($G$9-$F$9))))</f>
        <v>0.976224967876051</v>
      </c>
      <c r="F276" s="51" t="n">
        <f aca="false">1+IF($G$10=$E$10,$F$10,IF(T276&lt;($F$10-$E$10)/($G$10-$E$10),$E$10+SQRT(T276*($G$10-$E$10)*($F$10-$E$10)),$G$10-SQRT((1-T276)*($G$10-$E$10)*($G$10-$F$10))))</f>
        <v>1.11876508828523</v>
      </c>
      <c r="G276" s="52" t="n">
        <f aca="false">IF($G$11=$E$11,$F$11,IF(U276&lt;($F$11-$E$11)/($G$11-$E$11),$E$11+SQRT(U276*($G$11-$E$11)*($F$11-$E$11)),$G$11-SQRT((1-U276)*($G$11-$E$11)*($G$11-$F$11))))</f>
        <v>0.0982730151856806</v>
      </c>
      <c r="H276" s="53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-2237530176.57046</v>
      </c>
      <c r="I276" s="53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-57832365.0192849</v>
      </c>
      <c r="J276" s="53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182337920.322413</v>
      </c>
      <c r="K276" s="53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478446460.078373</v>
      </c>
      <c r="L276" s="53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590041189.259263</v>
      </c>
      <c r="M276" s="53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763500009.961044</v>
      </c>
      <c r="N276" s="53" t="n">
        <f aca="false">IF(COUNT('Business Case'!B11:G11)=0,"",H276+NPV(G276,I276:M276))</f>
        <v>-894499280.807698</v>
      </c>
      <c r="P276" s="54" t="n">
        <f aca="true">RAND()</f>
        <v>0.076665910865691</v>
      </c>
      <c r="Q276" s="54" t="n">
        <f aca="true">RAND()</f>
        <v>0.381879205262307</v>
      </c>
      <c r="R276" s="54" t="n">
        <f aca="true">RAND()</f>
        <v>0.744746261298309</v>
      </c>
      <c r="S276" s="54" t="n">
        <f aca="true">RAND()</f>
        <v>0.0916998586799856</v>
      </c>
      <c r="T276" s="54" t="n">
        <f aca="true">RAND()</f>
        <v>0.868017782373864</v>
      </c>
      <c r="U276" s="54" t="n">
        <f aca="true">RAND()</f>
        <v>0.228142600875007</v>
      </c>
    </row>
    <row r="277" customFormat="false" ht="15" hidden="false" customHeight="false" outlineLevel="0" collapsed="false">
      <c r="A277" s="50" t="n">
        <v>197</v>
      </c>
      <c r="B277" s="51" t="n">
        <f aca="false">1+IF($G$6=$E$6,$F$6,IF(P277&lt;($F$6-$E$6)/($G$6-$E$6),$E$6+SQRT(P277*($G$6-$E$6)*($F$6-$E$6)),$G$6-SQRT((1-P277)*($G$6-$E$6)*($G$6-$F$6))))</f>
        <v>1.00675639898844</v>
      </c>
      <c r="C277" s="51" t="n">
        <f aca="false">1+IF($G$7=$E$7,$F$7,IF(Q277&lt;($F$7-$E$7)/($G$7-$E$7),$E$7+SQRT(Q277*($G$7-$E$7)*($F$7-$E$7)),$G$7-SQRT((1-Q277)*($G$7-$E$7)*($G$7-$F$7))))</f>
        <v>0.948384640281823</v>
      </c>
      <c r="D277" s="51" t="n">
        <f aca="false">1+IF($G$8=$E$8,$F$8,IF(R277&lt;($F$8-$E$8)/($G$8-$E$8),$E$8+SQRT(R277*($G$8-$E$8)*($F$8-$E$8)),$G$8-SQRT((1-R277)*($G$8-$E$8)*($G$8-$F$8))))</f>
        <v>0.978735828375109</v>
      </c>
      <c r="E277" s="51" t="n">
        <f aca="false">1+IF($G$9=$E$9,$F$9,IF(S277&lt;($F$9-$E$9)/($G$9-$E$9),$E$9+SQRT(S277*($G$9-$E$9)*($F$9-$E$9)),$G$9-SQRT((1-S277)*($G$9-$E$9)*($G$9-$F$9))))</f>
        <v>1.03437446536208</v>
      </c>
      <c r="F277" s="51" t="n">
        <f aca="false">1+IF($G$10=$E$10,$F$10,IF(T277&lt;($F$10-$E$10)/($G$10-$E$10),$E$10+SQRT(T277*($G$10-$E$10)*($F$10-$E$10)),$G$10-SQRT((1-T277)*($G$10-$E$10)*($G$10-$F$10))))</f>
        <v>1.12834501117296</v>
      </c>
      <c r="G277" s="52" t="n">
        <f aca="false">IF($G$11=$E$11,$F$11,IF(U277&lt;($F$11-$E$11)/($G$11-$E$11),$E$11+SQRT(U277*($G$11-$E$11)*($F$11-$E$11)),$G$11-SQRT((1-U277)*($G$11-$E$11)*($G$11-$F$11))))</f>
        <v>0.111282283118104</v>
      </c>
      <c r="H277" s="53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-2256690022.34592</v>
      </c>
      <c r="I277" s="53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-2548712.2455976</v>
      </c>
      <c r="J277" s="53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304321558.707655</v>
      </c>
      <c r="K277" s="53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667609080.219556</v>
      </c>
      <c r="L277" s="53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802896792.608684</v>
      </c>
      <c r="M277" s="53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984383714.001262</v>
      </c>
      <c r="N277" s="53" t="n">
        <f aca="false">IF(COUNT('Business Case'!B11:G11)=0,"",H277+NPV(G277,I277:M277))</f>
        <v>-418819511.557648</v>
      </c>
      <c r="P277" s="54" t="n">
        <f aca="true">RAND()</f>
        <v>0.769763123288312</v>
      </c>
      <c r="Q277" s="54" t="n">
        <f aca="true">RAND()</f>
        <v>0.314542878165229</v>
      </c>
      <c r="R277" s="54" t="n">
        <f aca="true">RAND()</f>
        <v>0.127038128062107</v>
      </c>
      <c r="S277" s="54" t="n">
        <f aca="true">RAND()</f>
        <v>0.71288594689915</v>
      </c>
      <c r="T277" s="54" t="n">
        <f aca="true">RAND()</f>
        <v>0.89731125152393</v>
      </c>
      <c r="U277" s="54" t="n">
        <f aca="true">RAND()</f>
        <v>0.873335687278509</v>
      </c>
    </row>
    <row r="278" customFormat="false" ht="15" hidden="false" customHeight="false" outlineLevel="0" collapsed="false">
      <c r="A278" s="50" t="n">
        <v>198</v>
      </c>
      <c r="B278" s="51" t="n">
        <f aca="false">1+IF($G$6=$E$6,$F$6,IF(P278&lt;($F$6-$E$6)/($G$6-$E$6),$E$6+SQRT(P278*($G$6-$E$6)*($F$6-$E$6)),$G$6-SQRT((1-P278)*($G$6-$E$6)*($G$6-$F$6))))</f>
        <v>0.976108963163833</v>
      </c>
      <c r="C278" s="51" t="n">
        <f aca="false">1+IF($G$7=$E$7,$F$7,IF(Q278&lt;($F$7-$E$7)/($G$7-$E$7),$E$7+SQRT(Q278*($G$7-$E$7)*($F$7-$E$7)),$G$7-SQRT((1-Q278)*($G$7-$E$7)*($G$7-$F$7))))</f>
        <v>0.998261076411549</v>
      </c>
      <c r="D278" s="51" t="n">
        <f aca="false">1+IF($G$8=$E$8,$F$8,IF(R278&lt;($F$8-$E$8)/($G$8-$E$8),$E$8+SQRT(R278*($G$8-$E$8)*($F$8-$E$8)),$G$8-SQRT((1-R278)*($G$8-$E$8)*($G$8-$F$8))))</f>
        <v>0.997192125309601</v>
      </c>
      <c r="E278" s="51" t="n">
        <f aca="false">1+IF($G$9=$E$9,$F$9,IF(S278&lt;($F$9-$E$9)/($G$9-$E$9),$E$9+SQRT(S278*($G$9-$E$9)*($F$9-$E$9)),$G$9-SQRT((1-S278)*($G$9-$E$9)*($G$9-$F$9))))</f>
        <v>0.986074103104206</v>
      </c>
      <c r="F278" s="51" t="n">
        <f aca="false">1+IF($G$10=$E$10,$F$10,IF(T278&lt;($F$10-$E$10)/($G$10-$E$10),$E$10+SQRT(T278*($G$10-$E$10)*($F$10-$E$10)),$G$10-SQRT((1-T278)*($G$10-$E$10)*($G$10-$F$10))))</f>
        <v>1.01767555078513</v>
      </c>
      <c r="G278" s="52" t="n">
        <f aca="false">IF($G$11=$E$11,$F$11,IF(U278&lt;($F$11-$E$11)/($G$11-$E$11),$E$11+SQRT(U278*($G$11-$E$11)*($F$11-$E$11)),$G$11-SQRT((1-U278)*($G$11-$E$11)*($G$11-$F$11))))</f>
        <v>0.107411869340858</v>
      </c>
      <c r="H278" s="53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-2035351101.57026</v>
      </c>
      <c r="I278" s="53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-3982446.48914331</v>
      </c>
      <c r="J278" s="53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284535896.089833</v>
      </c>
      <c r="K278" s="53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623938016.208065</v>
      </c>
      <c r="L278" s="53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753786461.419849</v>
      </c>
      <c r="M278" s="53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939002615.356539</v>
      </c>
      <c r="N278" s="53" t="n">
        <f aca="false">IF(COUNT('Business Case'!B11:G11)=0,"",H278+NPV(G278,I278:M278))</f>
        <v>-282511309.157989</v>
      </c>
      <c r="P278" s="54" t="n">
        <f aca="true">RAND()</f>
        <v>0.327939140345875</v>
      </c>
      <c r="Q278" s="54" t="n">
        <f aca="true">RAND()</f>
        <v>0.561535063140945</v>
      </c>
      <c r="R278" s="54" t="n">
        <f aca="true">RAND()</f>
        <v>0.342630260190316</v>
      </c>
      <c r="S278" s="54" t="n">
        <f aca="true">RAND()</f>
        <v>0.173512121969715</v>
      </c>
      <c r="T278" s="54" t="n">
        <f aca="true">RAND()</f>
        <v>0.335155904369887</v>
      </c>
      <c r="U278" s="54" t="n">
        <f aca="true">RAND()</f>
        <v>0.735898277513961</v>
      </c>
    </row>
    <row r="279" customFormat="false" ht="15" hidden="false" customHeight="false" outlineLevel="0" collapsed="false">
      <c r="A279" s="50" t="n">
        <v>199</v>
      </c>
      <c r="B279" s="51" t="n">
        <f aca="false">1+IF($G$6=$E$6,$F$6,IF(P279&lt;($F$6-$E$6)/($G$6-$E$6),$E$6+SQRT(P279*($G$6-$E$6)*($F$6-$E$6)),$G$6-SQRT((1-P279)*($G$6-$E$6)*($G$6-$F$6))))</f>
        <v>0.992238550224376</v>
      </c>
      <c r="C279" s="51" t="n">
        <f aca="false">1+IF($G$7=$E$7,$F$7,IF(Q279&lt;($F$7-$E$7)/($G$7-$E$7),$E$7+SQRT(Q279*($G$7-$E$7)*($F$7-$E$7)),$G$7-SQRT((1-Q279)*($G$7-$E$7)*($G$7-$F$7))))</f>
        <v>1.00388465924981</v>
      </c>
      <c r="D279" s="51" t="n">
        <f aca="false">1+IF($G$8=$E$8,$F$8,IF(R279&lt;($F$8-$E$8)/($G$8-$E$8),$E$8+SQRT(R279*($G$8-$E$8)*($F$8-$E$8)),$G$8-SQRT((1-R279)*($G$8-$E$8)*($G$8-$F$8))))</f>
        <v>0.989329376736609</v>
      </c>
      <c r="E279" s="51" t="n">
        <f aca="false">1+IF($G$9=$E$9,$F$9,IF(S279&lt;($F$9-$E$9)/($G$9-$E$9),$E$9+SQRT(S279*($G$9-$E$9)*($F$9-$E$9)),$G$9-SQRT((1-S279)*($G$9-$E$9)*($G$9-$F$9))))</f>
        <v>0.980284476639392</v>
      </c>
      <c r="F279" s="51" t="n">
        <f aca="false">1+IF($G$10=$E$10,$F$10,IF(T279&lt;($F$10-$E$10)/($G$10-$E$10),$E$10+SQRT(T279*($G$10-$E$10)*($F$10-$E$10)),$G$10-SQRT((1-T279)*($G$10-$E$10)*($G$10-$F$10))))</f>
        <v>1.05515261437949</v>
      </c>
      <c r="G279" s="52" t="n">
        <f aca="false">IF($G$11=$E$11,$F$11,IF(U279&lt;($F$11-$E$11)/($G$11-$E$11),$E$11+SQRT(U279*($G$11-$E$11)*($F$11-$E$11)),$G$11-SQRT((1-U279)*($G$11-$E$11)*($G$11-$F$11))))</f>
        <v>0.114457250623295</v>
      </c>
      <c r="H279" s="53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-2110305228.75898</v>
      </c>
      <c r="I279" s="53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10897846.4097518</v>
      </c>
      <c r="J279" s="53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318344871.008252</v>
      </c>
      <c r="K279" s="53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678549526.325726</v>
      </c>
      <c r="L279" s="53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815456843.973677</v>
      </c>
      <c r="M279" s="53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1004794212.60683</v>
      </c>
      <c r="N279" s="53" t="n">
        <f aca="false">IF(COUNT('Business Case'!B11:G11)=0,"",H279+NPV(G279,I279:M279))</f>
        <v>-240901435.224603</v>
      </c>
      <c r="P279" s="54" t="n">
        <f aca="true">RAND()</f>
        <v>0.543584181095804</v>
      </c>
      <c r="Q279" s="54" t="n">
        <f aca="true">RAND()</f>
        <v>0.593339184713421</v>
      </c>
      <c r="R279" s="54" t="n">
        <f aca="true">RAND()</f>
        <v>0.237969211460019</v>
      </c>
      <c r="S279" s="54" t="n">
        <f aca="true">RAND()</f>
        <v>0.122286603376249</v>
      </c>
      <c r="T279" s="54" t="n">
        <f aca="true">RAND()</f>
        <v>0.580384697578077</v>
      </c>
      <c r="U279" s="54" t="n">
        <f aca="true">RAND()</f>
        <v>0.948796548911718</v>
      </c>
    </row>
    <row r="280" customFormat="false" ht="15" hidden="false" customHeight="false" outlineLevel="0" collapsed="false">
      <c r="A280" s="50" t="n">
        <v>200</v>
      </c>
      <c r="B280" s="51" t="n">
        <f aca="false">1+IF($G$6=$E$6,$F$6,IF(P280&lt;($F$6-$E$6)/($G$6-$E$6),$E$6+SQRT(P280*($G$6-$E$6)*($F$6-$E$6)),$G$6-SQRT((1-P280)*($G$6-$E$6)*($G$6-$F$6))))</f>
        <v>1.00451284668219</v>
      </c>
      <c r="C280" s="51" t="n">
        <f aca="false">1+IF($G$7=$E$7,$F$7,IF(Q280&lt;($F$7-$E$7)/($G$7-$E$7),$E$7+SQRT(Q280*($G$7-$E$7)*($F$7-$E$7)),$G$7-SQRT((1-Q280)*($G$7-$E$7)*($G$7-$F$7))))</f>
        <v>0.894430988734916</v>
      </c>
      <c r="D280" s="51" t="n">
        <f aca="false">1+IF($G$8=$E$8,$F$8,IF(R280&lt;($F$8-$E$8)/($G$8-$E$8),$E$8+SQRT(R280*($G$8-$E$8)*($F$8-$E$8)),$G$8-SQRT((1-R280)*($G$8-$E$8)*($G$8-$F$8))))</f>
        <v>0.996608459467068</v>
      </c>
      <c r="E280" s="51" t="n">
        <f aca="false">1+IF($G$9=$E$9,$F$9,IF(S280&lt;($F$9-$E$9)/($G$9-$E$9),$E$9+SQRT(S280*($G$9-$E$9)*($F$9-$E$9)),$G$9-SQRT((1-S280)*($G$9-$E$9)*($G$9-$F$9))))</f>
        <v>1.05068947703455</v>
      </c>
      <c r="F280" s="51" t="n">
        <f aca="false">1+IF($G$10=$E$10,$F$10,IF(T280&lt;($F$10-$E$10)/($G$10-$E$10),$E$10+SQRT(T280*($G$10-$E$10)*($F$10-$E$10)),$G$10-SQRT((1-T280)*($G$10-$E$10)*($G$10-$F$10))))</f>
        <v>1.07972196726725</v>
      </c>
      <c r="G280" s="52" t="n">
        <f aca="false">IF($G$11=$E$11,$F$11,IF(U280&lt;($F$11-$E$11)/($G$11-$E$11),$E$11+SQRT(U280*($G$11-$E$11)*($F$11-$E$11)),$G$11-SQRT((1-U280)*($G$11-$E$11)*($G$11-$F$11))))</f>
        <v>0.097973703965282</v>
      </c>
      <c r="H280" s="53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-2159443934.53449</v>
      </c>
      <c r="I280" s="53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-24371488.7811872</v>
      </c>
      <c r="J280" s="53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255213813.781731</v>
      </c>
      <c r="K280" s="53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588785214.708013</v>
      </c>
      <c r="L280" s="53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713031349.551031</v>
      </c>
      <c r="M280" s="53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883812036.48895</v>
      </c>
      <c r="N280" s="53" t="n">
        <f aca="false">IF(COUNT('Business Case'!B11:G11)=0,"",H280+NPV(G280,I280:M280))</f>
        <v>-480648972.840064</v>
      </c>
      <c r="P280" s="54" t="n">
        <f aca="true">RAND()</f>
        <v>0.737637906124582</v>
      </c>
      <c r="Q280" s="54" t="n">
        <f aca="true">RAND()</f>
        <v>0.127388737620769</v>
      </c>
      <c r="R280" s="54" t="n">
        <f aca="true">RAND()</f>
        <v>0.334207460598974</v>
      </c>
      <c r="S280" s="54" t="n">
        <f aca="true">RAND()</f>
        <v>0.837898154991568</v>
      </c>
      <c r="T280" s="54" t="n">
        <f aca="true">RAND()</f>
        <v>0.710663896838776</v>
      </c>
      <c r="U280" s="54" t="n">
        <f aca="true">RAND()</f>
        <v>0.211933183086515</v>
      </c>
    </row>
    <row r="281" customFormat="false" ht="15" hidden="false" customHeight="false" outlineLevel="0" collapsed="false">
      <c r="A281" s="50" t="n">
        <v>201</v>
      </c>
      <c r="B281" s="51" t="n">
        <f aca="false">1+IF($G$6=$E$6,$F$6,IF(P281&lt;($F$6-$E$6)/($G$6-$E$6),$E$6+SQRT(P281*($G$6-$E$6)*($F$6-$E$6)),$G$6-SQRT((1-P281)*($G$6-$E$6)*($G$6-$F$6))))</f>
        <v>0.978036274324913</v>
      </c>
      <c r="C281" s="51" t="n">
        <f aca="false">1+IF($G$7=$E$7,$F$7,IF(Q281&lt;($F$7-$E$7)/($G$7-$E$7),$E$7+SQRT(Q281*($G$7-$E$7)*($F$7-$E$7)),$G$7-SQRT((1-Q281)*($G$7-$E$7)*($G$7-$F$7))))</f>
        <v>0.956861772040601</v>
      </c>
      <c r="D281" s="51" t="n">
        <f aca="false">1+IF($G$8=$E$8,$F$8,IF(R281&lt;($F$8-$E$8)/($G$8-$E$8),$E$8+SQRT(R281*($G$8-$E$8)*($F$8-$E$8)),$G$8-SQRT((1-R281)*($G$8-$E$8)*($G$8-$F$8))))</f>
        <v>1.03275218797987</v>
      </c>
      <c r="E281" s="51" t="n">
        <f aca="false">1+IF($G$9=$E$9,$F$9,IF(S281&lt;($F$9-$E$9)/($G$9-$E$9),$E$9+SQRT(S281*($G$9-$E$9)*($F$9-$E$9)),$G$9-SQRT((1-S281)*($G$9-$E$9)*($G$9-$F$9))))</f>
        <v>1.01943350841851</v>
      </c>
      <c r="F281" s="51" t="n">
        <f aca="false">1+IF($G$10=$E$10,$F$10,IF(T281&lt;($F$10-$E$10)/($G$10-$E$10),$E$10+SQRT(T281*($G$10-$E$10)*($F$10-$E$10)),$G$10-SQRT((1-T281)*($G$10-$E$10)*($G$10-$F$10))))</f>
        <v>1.01705891452568</v>
      </c>
      <c r="G281" s="52" t="n">
        <f aca="false">IF($G$11=$E$11,$F$11,IF(U281&lt;($F$11-$E$11)/($G$11-$E$11),$E$11+SQRT(U281*($G$11-$E$11)*($F$11-$E$11)),$G$11-SQRT((1-U281)*($G$11-$E$11)*($G$11-$F$11))))</f>
        <v>0.097199992162196</v>
      </c>
      <c r="H281" s="53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-2034117829.05135</v>
      </c>
      <c r="I281" s="53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-34538605.688402</v>
      </c>
      <c r="J281" s="53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226106356.862932</v>
      </c>
      <c r="K281" s="53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537604265.140549</v>
      </c>
      <c r="L281" s="53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656828740.584365</v>
      </c>
      <c r="M281" s="53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834714257.51457</v>
      </c>
      <c r="N281" s="53" t="n">
        <f aca="false">IF(COUNT('Business Case'!B11:G11)=0,"",H281+NPV(G281,I281:M281))</f>
        <v>-492607840.650913</v>
      </c>
      <c r="P281" s="54" t="n">
        <f aca="true">RAND()</f>
        <v>0.350855118491301</v>
      </c>
      <c r="Q281" s="54" t="n">
        <f aca="true">RAND()</f>
        <v>0.351508793253106</v>
      </c>
      <c r="R281" s="54" t="n">
        <f aca="true">RAND()</f>
        <v>0.785350409549071</v>
      </c>
      <c r="S281" s="54" t="n">
        <f aca="true">RAND()</f>
        <v>0.567269362283322</v>
      </c>
      <c r="T281" s="54" t="n">
        <f aca="true">RAND()</f>
        <v>0.330651184909524</v>
      </c>
      <c r="U281" s="54" t="n">
        <f aca="true">RAND()</f>
        <v>0.172799623785611</v>
      </c>
    </row>
    <row r="282" customFormat="false" ht="15" hidden="false" customHeight="false" outlineLevel="0" collapsed="false">
      <c r="A282" s="50" t="n">
        <v>202</v>
      </c>
      <c r="B282" s="51" t="n">
        <f aca="false">1+IF($G$6=$E$6,$F$6,IF(P282&lt;($F$6-$E$6)/($G$6-$E$6),$E$6+SQRT(P282*($G$6-$E$6)*($F$6-$E$6)),$G$6-SQRT((1-P282)*($G$6-$E$6)*($G$6-$F$6))))</f>
        <v>1.0002602227062</v>
      </c>
      <c r="C282" s="51" t="n">
        <f aca="false">1+IF($G$7=$E$7,$F$7,IF(Q282&lt;($F$7-$E$7)/($G$7-$E$7),$E$7+SQRT(Q282*($G$7-$E$7)*($F$7-$E$7)),$G$7-SQRT((1-Q282)*($G$7-$E$7)*($G$7-$F$7))))</f>
        <v>1.05704381209204</v>
      </c>
      <c r="D282" s="51" t="n">
        <f aca="false">1+IF($G$8=$E$8,$F$8,IF(R282&lt;($F$8-$E$8)/($G$8-$E$8),$E$8+SQRT(R282*($G$8-$E$8)*($F$8-$E$8)),$G$8-SQRT((1-R282)*($G$8-$E$8)*($G$8-$F$8))))</f>
        <v>0.965307910512542</v>
      </c>
      <c r="E282" s="51" t="n">
        <f aca="false">1+IF($G$9=$E$9,$F$9,IF(S282&lt;($F$9-$E$9)/($G$9-$E$9),$E$9+SQRT(S282*($G$9-$E$9)*($F$9-$E$9)),$G$9-SQRT((1-S282)*($G$9-$E$9)*($G$9-$F$9))))</f>
        <v>0.961887939213755</v>
      </c>
      <c r="F282" s="51" t="n">
        <f aca="false">1+IF($G$10=$E$10,$F$10,IF(T282&lt;($F$10-$E$10)/($G$10-$E$10),$E$10+SQRT(T282*($G$10-$E$10)*($F$10-$E$10)),$G$10-SQRT((1-T282)*($G$10-$E$10)*($G$10-$F$10))))</f>
        <v>1.03076606357446</v>
      </c>
      <c r="G282" s="52" t="n">
        <f aca="false">IF($G$11=$E$11,$F$11,IF(U282&lt;($F$11-$E$11)/($G$11-$E$11),$E$11+SQRT(U282*($G$11-$E$11)*($F$11-$E$11)),$G$11-SQRT((1-U282)*($G$11-$E$11)*($G$11-$F$11))))</f>
        <v>0.111280672147414</v>
      </c>
      <c r="H282" s="53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-2061532127.14893</v>
      </c>
      <c r="I282" s="53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49002586.7695363</v>
      </c>
      <c r="J282" s="53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392673655.534548</v>
      </c>
      <c r="K282" s="53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787883027.478283</v>
      </c>
      <c r="L282" s="53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938980990.854509</v>
      </c>
      <c r="M282" s="53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1139956163.35456</v>
      </c>
      <c r="N282" s="53" t="n">
        <f aca="false">IF(COUNT('Business Case'!B11:G11)=0,"",H282+NPV(G282,I282:M282))</f>
        <v>162944777.968281</v>
      </c>
      <c r="P282" s="54" t="n">
        <f aca="true">RAND()</f>
        <v>0.670989604299757</v>
      </c>
      <c r="Q282" s="54" t="n">
        <f aca="true">RAND()</f>
        <v>0.835412326278461</v>
      </c>
      <c r="R282" s="54" t="n">
        <f aca="true">RAND()</f>
        <v>0.0360510960400011</v>
      </c>
      <c r="S282" s="54" t="n">
        <f aca="true">RAND()</f>
        <v>0.0188430798333245</v>
      </c>
      <c r="T282" s="54" t="n">
        <f aca="true">RAND()</f>
        <v>0.42719749523835</v>
      </c>
      <c r="U282" s="54" t="n">
        <f aca="true">RAND()</f>
        <v>0.873288869665187</v>
      </c>
    </row>
    <row r="283" customFormat="false" ht="15" hidden="false" customHeight="false" outlineLevel="0" collapsed="false">
      <c r="A283" s="50" t="n">
        <v>203</v>
      </c>
      <c r="B283" s="51" t="n">
        <f aca="false">1+IF($G$6=$E$6,$F$6,IF(P283&lt;($F$6-$E$6)/($G$6-$E$6),$E$6+SQRT(P283*($G$6-$E$6)*($F$6-$E$6)),$G$6-SQRT((1-P283)*($G$6-$E$6)*($G$6-$F$6))))</f>
        <v>0.986726638259786</v>
      </c>
      <c r="C283" s="51" t="n">
        <f aca="false">1+IF($G$7=$E$7,$F$7,IF(Q283&lt;($F$7-$E$7)/($G$7-$E$7),$E$7+SQRT(Q283*($G$7-$E$7)*($F$7-$E$7)),$G$7-SQRT((1-Q283)*($G$7-$E$7)*($G$7-$F$7))))</f>
        <v>0.893085303840558</v>
      </c>
      <c r="D283" s="51" t="n">
        <f aca="false">1+IF($G$8=$E$8,$F$8,IF(R283&lt;($F$8-$E$8)/($G$8-$E$8),$E$8+SQRT(R283*($G$8-$E$8)*($F$8-$E$8)),$G$8-SQRT((1-R283)*($G$8-$E$8)*($G$8-$F$8))))</f>
        <v>0.992106664450829</v>
      </c>
      <c r="E283" s="51" t="n">
        <f aca="false">1+IF($G$9=$E$9,$F$9,IF(S283&lt;($F$9-$E$9)/($G$9-$E$9),$E$9+SQRT(S283*($G$9-$E$9)*($F$9-$E$9)),$G$9-SQRT((1-S283)*($G$9-$E$9)*($G$9-$F$9))))</f>
        <v>1.02883527271191</v>
      </c>
      <c r="F283" s="51" t="n">
        <f aca="false">1+IF($G$10=$E$10,$F$10,IF(T283&lt;($F$10-$E$10)/($G$10-$E$10),$E$10+SQRT(T283*($G$10-$E$10)*($F$10-$E$10)),$G$10-SQRT((1-T283)*($G$10-$E$10)*($G$10-$F$10))))</f>
        <v>1.06967193561793</v>
      </c>
      <c r="G283" s="52" t="n">
        <f aca="false">IF($G$11=$E$11,$F$11,IF(U283&lt;($F$11-$E$11)/($G$11-$E$11),$E$11+SQRT(U283*($G$11-$E$11)*($F$11-$E$11)),$G$11-SQRT((1-U283)*($G$11-$E$11)*($G$11-$F$11))))</f>
        <v>0.0918732187066977</v>
      </c>
      <c r="H283" s="53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-2139343871.23585</v>
      </c>
      <c r="I283" s="53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-30738389.7135766</v>
      </c>
      <c r="J283" s="53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237473808.040713</v>
      </c>
      <c r="K283" s="53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559169602.575899</v>
      </c>
      <c r="L283" s="53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679029013.911622</v>
      </c>
      <c r="M283" s="53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846533413.70857</v>
      </c>
      <c r="N283" s="53" t="n">
        <f aca="false">IF(COUNT('Business Case'!B11:G11)=0,"",H283+NPV(G283,I283:M283))</f>
        <v>-515507140.508413</v>
      </c>
      <c r="P283" s="54" t="n">
        <f aca="true">RAND()</f>
        <v>0.463796276401289</v>
      </c>
      <c r="Q283" s="54" t="n">
        <f aca="true">RAND()</f>
        <v>0.123783911301271</v>
      </c>
      <c r="R283" s="54" t="n">
        <f aca="true">RAND()</f>
        <v>0.272764798642267</v>
      </c>
      <c r="S283" s="54" t="n">
        <f aca="true">RAND()</f>
        <v>0.662372106000768</v>
      </c>
      <c r="T283" s="54" t="n">
        <f aca="true">RAND()</f>
        <v>0.660291912688443</v>
      </c>
      <c r="U283" s="54" t="n">
        <f aca="true">RAND()</f>
        <v>0.0116964944104077</v>
      </c>
    </row>
    <row r="284" customFormat="false" ht="15" hidden="false" customHeight="false" outlineLevel="0" collapsed="false">
      <c r="A284" s="50" t="n">
        <v>204</v>
      </c>
      <c r="B284" s="51" t="n">
        <f aca="false">1+IF($G$6=$E$6,$F$6,IF(P284&lt;($F$6-$E$6)/($G$6-$E$6),$E$6+SQRT(P284*($G$6-$E$6)*($F$6-$E$6)),$G$6-SQRT((1-P284)*($G$6-$E$6)*($G$6-$F$6))))</f>
        <v>0.958248127081972</v>
      </c>
      <c r="C284" s="51" t="n">
        <f aca="false">1+IF($G$7=$E$7,$F$7,IF(Q284&lt;($F$7-$E$7)/($G$7-$E$7),$E$7+SQRT(Q284*($G$7-$E$7)*($F$7-$E$7)),$G$7-SQRT((1-Q284)*($G$7-$E$7)*($G$7-$F$7))))</f>
        <v>1.04961023226497</v>
      </c>
      <c r="D284" s="51" t="n">
        <f aca="false">1+IF($G$8=$E$8,$F$8,IF(R284&lt;($F$8-$E$8)/($G$8-$E$8),$E$8+SQRT(R284*($G$8-$E$8)*($F$8-$E$8)),$G$8-SQRT((1-R284)*($G$8-$E$8)*($G$8-$F$8))))</f>
        <v>1.04375194501388</v>
      </c>
      <c r="E284" s="51" t="n">
        <f aca="false">1+IF($G$9=$E$9,$F$9,IF(S284&lt;($F$9-$E$9)/($G$9-$E$9),$E$9+SQRT(S284*($G$9-$E$9)*($F$9-$E$9)),$G$9-SQRT((1-S284)*($G$9-$E$9)*($G$9-$F$9))))</f>
        <v>0.996248435419109</v>
      </c>
      <c r="F284" s="51" t="n">
        <f aca="false">1+IF($G$10=$E$10,$F$10,IF(T284&lt;($F$10-$E$10)/($G$10-$E$10),$E$10+SQRT(T284*($G$10-$E$10)*($F$10-$E$10)),$G$10-SQRT((1-T284)*($G$10-$E$10)*($G$10-$F$10))))</f>
        <v>1.07356547701521</v>
      </c>
      <c r="G284" s="52" t="n">
        <f aca="false">IF($G$11=$E$11,$F$11,IF(U284&lt;($F$11-$E$11)/($G$11-$E$11),$E$11+SQRT(U284*($G$11-$E$11)*($F$11-$E$11)),$G$11-SQRT((1-U284)*($G$11-$E$11)*($G$11-$F$11))))</f>
        <v>0.0998999036362773</v>
      </c>
      <c r="H284" s="53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-2147130954.03043</v>
      </c>
      <c r="I284" s="53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-38176184.2885518</v>
      </c>
      <c r="J284" s="53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224810706.754905</v>
      </c>
      <c r="K284" s="53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541475871.649122</v>
      </c>
      <c r="L284" s="53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663898168.739534</v>
      </c>
      <c r="M284" s="53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855078169.157129</v>
      </c>
      <c r="N284" s="53" t="n">
        <f aca="false">IF(COUNT('Business Case'!B11:G11)=0,"",H284+NPV(G284,I284:M284))</f>
        <v>-604287658.255266</v>
      </c>
      <c r="P284" s="54" t="n">
        <f aca="true">RAND()</f>
        <v>0.152387419299861</v>
      </c>
      <c r="Q284" s="54" t="n">
        <f aca="true">RAND()</f>
        <v>0.808036086363942</v>
      </c>
      <c r="R284" s="54" t="n">
        <f aca="true">RAND()</f>
        <v>0.873661395165706</v>
      </c>
      <c r="S284" s="54" t="n">
        <f aca="true">RAND()</f>
        <v>0.285189037162066</v>
      </c>
      <c r="T284" s="54" t="n">
        <f aca="true">RAND()</f>
        <v>0.680286227952185</v>
      </c>
      <c r="U284" s="54" t="n">
        <f aca="true">RAND()</f>
        <v>0.326693640025255</v>
      </c>
    </row>
    <row r="285" customFormat="false" ht="15" hidden="false" customHeight="false" outlineLevel="0" collapsed="false">
      <c r="A285" s="50" t="n">
        <v>205</v>
      </c>
      <c r="B285" s="51" t="n">
        <f aca="false">1+IF($G$6=$E$6,$F$6,IF(P285&lt;($F$6-$E$6)/($G$6-$E$6),$E$6+SQRT(P285*($G$6-$E$6)*($F$6-$E$6)),$G$6-SQRT((1-P285)*($G$6-$E$6)*($G$6-$F$6))))</f>
        <v>1.00231617446136</v>
      </c>
      <c r="C285" s="51" t="n">
        <f aca="false">1+IF($G$7=$E$7,$F$7,IF(Q285&lt;($F$7-$E$7)/($G$7-$E$7),$E$7+SQRT(Q285*($G$7-$E$7)*($F$7-$E$7)),$G$7-SQRT((1-Q285)*($G$7-$E$7)*($G$7-$F$7))))</f>
        <v>0.919711148158815</v>
      </c>
      <c r="D285" s="51" t="n">
        <f aca="false">1+IF($G$8=$E$8,$F$8,IF(R285&lt;($F$8-$E$8)/($G$8-$E$8),$E$8+SQRT(R285*($G$8-$E$8)*($F$8-$E$8)),$G$8-SQRT((1-R285)*($G$8-$E$8)*($G$8-$F$8))))</f>
        <v>1.02146529760308</v>
      </c>
      <c r="E285" s="51" t="n">
        <f aca="false">1+IF($G$9=$E$9,$F$9,IF(S285&lt;($F$9-$E$9)/($G$9-$E$9),$E$9+SQRT(S285*($G$9-$E$9)*($F$9-$E$9)),$G$9-SQRT((1-S285)*($G$9-$E$9)*($G$9-$F$9))))</f>
        <v>1.06142710560746</v>
      </c>
      <c r="F285" s="51" t="n">
        <f aca="false">1+IF($G$10=$E$10,$F$10,IF(T285&lt;($F$10-$E$10)/($G$10-$E$10),$E$10+SQRT(T285*($G$10-$E$10)*($F$10-$E$10)),$G$10-SQRT((1-T285)*($G$10-$E$10)*($G$10-$F$10))))</f>
        <v>1.03533166653725</v>
      </c>
      <c r="G285" s="52" t="n">
        <f aca="false">IF($G$11=$E$11,$F$11,IF(U285&lt;($F$11-$E$11)/($G$11-$E$11),$E$11+SQRT(U285*($G$11-$E$11)*($F$11-$E$11)),$G$11-SQRT((1-U285)*($G$11-$E$11)*($G$11-$F$11))))</f>
        <v>0.104356637933932</v>
      </c>
      <c r="H285" s="53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-2070663333.07449</v>
      </c>
      <c r="I285" s="53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-28126701.8876013</v>
      </c>
      <c r="J285" s="53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246002953.379226</v>
      </c>
      <c r="K285" s="53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571899191.972915</v>
      </c>
      <c r="L285" s="53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695134581.117407</v>
      </c>
      <c r="M285" s="53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870358186.756259</v>
      </c>
      <c r="N285" s="53" t="n">
        <f aca="false">IF(COUNT('Business Case'!B11:G11)=0,"",H285+NPV(G285,I285:M285))</f>
        <v>-472627250.984038</v>
      </c>
      <c r="P285" s="54" t="n">
        <f aca="true">RAND()</f>
        <v>0.704151935994447</v>
      </c>
      <c r="Q285" s="54" t="n">
        <f aca="true">RAND()</f>
        <v>0.204725128478597</v>
      </c>
      <c r="R285" s="54" t="n">
        <f aca="true">RAND()</f>
        <v>0.670546982240824</v>
      </c>
      <c r="S285" s="54" t="n">
        <f aca="true">RAND()</f>
        <v>0.900808787878787</v>
      </c>
      <c r="T285" s="54" t="n">
        <f aca="true">RAND()</f>
        <v>0.457686799091988</v>
      </c>
      <c r="U285" s="54" t="n">
        <f aca="true">RAND()</f>
        <v>0.592142038783155</v>
      </c>
    </row>
    <row r="286" customFormat="false" ht="15" hidden="false" customHeight="false" outlineLevel="0" collapsed="false">
      <c r="A286" s="50" t="n">
        <v>206</v>
      </c>
      <c r="B286" s="51" t="n">
        <f aca="false">1+IF($G$6=$E$6,$F$6,IF(P286&lt;($F$6-$E$6)/($G$6-$E$6),$E$6+SQRT(P286*($G$6-$E$6)*($F$6-$E$6)),$G$6-SQRT((1-P286)*($G$6-$E$6)*($G$6-$F$6))))</f>
        <v>0.98714611511197</v>
      </c>
      <c r="C286" s="51" t="n">
        <f aca="false">1+IF($G$7=$E$7,$F$7,IF(Q286&lt;($F$7-$E$7)/($G$7-$E$7),$E$7+SQRT(Q286*($G$7-$E$7)*($F$7-$E$7)),$G$7-SQRT((1-Q286)*($G$7-$E$7)*($G$7-$F$7))))</f>
        <v>1.01963833621283</v>
      </c>
      <c r="D286" s="51" t="n">
        <f aca="false">1+IF($G$8=$E$8,$F$8,IF(R286&lt;($F$8-$E$8)/($G$8-$E$8),$E$8+SQRT(R286*($G$8-$E$8)*($F$8-$E$8)),$G$8-SQRT((1-R286)*($G$8-$E$8)*($G$8-$F$8))))</f>
        <v>0.965049582231511</v>
      </c>
      <c r="E286" s="51" t="n">
        <f aca="false">1+IF($G$9=$E$9,$F$9,IF(S286&lt;($F$9-$E$9)/($G$9-$E$9),$E$9+SQRT(S286*($G$9-$E$9)*($F$9-$E$9)),$G$9-SQRT((1-S286)*($G$9-$E$9)*($G$9-$F$9))))</f>
        <v>0.999187692205708</v>
      </c>
      <c r="F286" s="51" t="n">
        <f aca="false">1+IF($G$10=$E$10,$F$10,IF(T286&lt;($F$10-$E$10)/($G$10-$E$10),$E$10+SQRT(T286*($G$10-$E$10)*($F$10-$E$10)),$G$10-SQRT((1-T286)*($G$10-$E$10)*($G$10-$F$10))))</f>
        <v>1.01656594410456</v>
      </c>
      <c r="G286" s="52" t="n">
        <f aca="false">IF($G$11=$E$11,$F$11,IF(U286&lt;($F$11-$E$11)/($G$11-$E$11),$E$11+SQRT(U286*($G$11-$E$11)*($F$11-$E$11)),$G$11-SQRT((1-U286)*($G$11-$E$11)*($G$11-$F$11))))</f>
        <v>0.10651544199333</v>
      </c>
      <c r="H286" s="53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-2033131888.20911</v>
      </c>
      <c r="I286" s="53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24772418.7015331</v>
      </c>
      <c r="J286" s="53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345464541.686998</v>
      </c>
      <c r="K286" s="53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716984961.87769</v>
      </c>
      <c r="L286" s="53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858668082.900727</v>
      </c>
      <c r="M286" s="53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1049989689.72075</v>
      </c>
      <c r="N286" s="53" t="n">
        <f aca="false">IF(COUNT('Business Case'!B11:G11)=0,"",H286+NPV(G286,I286:M286))</f>
        <v>6414165.54656577</v>
      </c>
      <c r="P286" s="54" t="n">
        <f aca="true">RAND()</f>
        <v>0.469645914023946</v>
      </c>
      <c r="Q286" s="54" t="n">
        <f aca="true">RAND()</f>
        <v>0.676301649802682</v>
      </c>
      <c r="R286" s="54" t="n">
        <f aca="true">RAND()</f>
        <v>0.0348446038989233</v>
      </c>
      <c r="S286" s="54" t="n">
        <f aca="true">RAND()</f>
        <v>0.322590541936466</v>
      </c>
      <c r="T286" s="54" t="n">
        <f aca="true">RAND()</f>
        <v>0.327038942754953</v>
      </c>
      <c r="U286" s="54" t="n">
        <f aca="true">RAND()</f>
        <v>0.696944492274602</v>
      </c>
    </row>
    <row r="287" customFormat="false" ht="15" hidden="false" customHeight="false" outlineLevel="0" collapsed="false">
      <c r="A287" s="50" t="n">
        <v>207</v>
      </c>
      <c r="B287" s="51" t="n">
        <f aca="false">1+IF($G$6=$E$6,$F$6,IF(P287&lt;($F$6-$E$6)/($G$6-$E$6),$E$6+SQRT(P287*($G$6-$E$6)*($F$6-$E$6)),$G$6-SQRT((1-P287)*($G$6-$E$6)*($G$6-$F$6))))</f>
        <v>0.967830503249953</v>
      </c>
      <c r="C287" s="51" t="n">
        <f aca="false">1+IF($G$7=$E$7,$F$7,IF(Q287&lt;($F$7-$E$7)/($G$7-$E$7),$E$7+SQRT(Q287*($G$7-$E$7)*($F$7-$E$7)),$G$7-SQRT((1-Q287)*($G$7-$E$7)*($G$7-$F$7))))</f>
        <v>0.895888010077725</v>
      </c>
      <c r="D287" s="51" t="n">
        <f aca="false">1+IF($G$8=$E$8,$F$8,IF(R287&lt;($F$8-$E$8)/($G$8-$E$8),$E$8+SQRT(R287*($G$8-$E$8)*($F$8-$E$8)),$G$8-SQRT((1-R287)*($G$8-$E$8)*($G$8-$F$8))))</f>
        <v>1.04513948995264</v>
      </c>
      <c r="E287" s="51" t="n">
        <f aca="false">1+IF($G$9=$E$9,$F$9,IF(S287&lt;($F$9-$E$9)/($G$9-$E$9),$E$9+SQRT(S287*($G$9-$E$9)*($F$9-$E$9)),$G$9-SQRT((1-S287)*($G$9-$E$9)*($G$9-$F$9))))</f>
        <v>1.04365273719965</v>
      </c>
      <c r="F287" s="51" t="n">
        <f aca="false">1+IF($G$10=$E$10,$F$10,IF(T287&lt;($F$10-$E$10)/($G$10-$E$10),$E$10+SQRT(T287*($G$10-$E$10)*($F$10-$E$10)),$G$10-SQRT((1-T287)*($G$10-$E$10)*($G$10-$F$10))))</f>
        <v>1.11367965899057</v>
      </c>
      <c r="G287" s="52" t="n">
        <f aca="false">IF($G$11=$E$11,$F$11,IF(U287&lt;($F$11-$E$11)/($G$11-$E$11),$E$11+SQRT(U287*($G$11-$E$11)*($F$11-$E$11)),$G$11-SQRT((1-U287)*($G$11-$E$11)*($G$11-$F$11))))</f>
        <v>0.116358634865618</v>
      </c>
      <c r="H287" s="53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-2227359317.98114</v>
      </c>
      <c r="I287" s="53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-73858264.0069598</v>
      </c>
      <c r="J287" s="53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157007648.945698</v>
      </c>
      <c r="K287" s="53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443557544.847885</v>
      </c>
      <c r="L287" s="53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550478710.385951</v>
      </c>
      <c r="M287" s="53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715290947.098776</v>
      </c>
      <c r="N287" s="53" t="n">
        <f aca="false">IF(COUNT('Business Case'!B11:G11)=0,"",H287+NPV(G287,I287:M287))</f>
        <v>-1081756786.83498</v>
      </c>
      <c r="P287" s="54" t="n">
        <f aca="true">RAND()</f>
        <v>0.23830802511914</v>
      </c>
      <c r="Q287" s="54" t="n">
        <f aca="true">RAND()</f>
        <v>0.131350149666654</v>
      </c>
      <c r="R287" s="54" t="n">
        <f aca="true">RAND()</f>
        <v>0.883148542234444</v>
      </c>
      <c r="S287" s="54" t="n">
        <f aca="true">RAND()</f>
        <v>0.78833239832719</v>
      </c>
      <c r="T287" s="54" t="n">
        <f aca="true">RAND()</f>
        <v>0.85097597456032</v>
      </c>
      <c r="U287" s="54" t="n">
        <f aca="true">RAND()</f>
        <v>0.977900766596844</v>
      </c>
    </row>
    <row r="288" customFormat="false" ht="15" hidden="false" customHeight="false" outlineLevel="0" collapsed="false">
      <c r="A288" s="50" t="n">
        <v>208</v>
      </c>
      <c r="B288" s="51" t="n">
        <f aca="false">1+IF($G$6=$E$6,$F$6,IF(P288&lt;($F$6-$E$6)/($G$6-$E$6),$E$6+SQRT(P288*($G$6-$E$6)*($F$6-$E$6)),$G$6-SQRT((1-P288)*($G$6-$E$6)*($G$6-$F$6))))</f>
        <v>1.01464556455375</v>
      </c>
      <c r="C288" s="51" t="n">
        <f aca="false">1+IF($G$7=$E$7,$F$7,IF(Q288&lt;($F$7-$E$7)/($G$7-$E$7),$E$7+SQRT(Q288*($G$7-$E$7)*($F$7-$E$7)),$G$7-SQRT((1-Q288)*($G$7-$E$7)*($G$7-$F$7))))</f>
        <v>1.0548058371315</v>
      </c>
      <c r="D288" s="51" t="n">
        <f aca="false">1+IF($G$8=$E$8,$F$8,IF(R288&lt;($F$8-$E$8)/($G$8-$E$8),$E$8+SQRT(R288*($G$8-$E$8)*($F$8-$E$8)),$G$8-SQRT((1-R288)*($G$8-$E$8)*($G$8-$F$8))))</f>
        <v>1.02201790342648</v>
      </c>
      <c r="E288" s="51" t="n">
        <f aca="false">1+IF($G$9=$E$9,$F$9,IF(S288&lt;($F$9-$E$9)/($G$9-$E$9),$E$9+SQRT(S288*($G$9-$E$9)*($F$9-$E$9)),$G$9-SQRT((1-S288)*($G$9-$E$9)*($G$9-$F$9))))</f>
        <v>1.01674278767419</v>
      </c>
      <c r="F288" s="51" t="n">
        <f aca="false">1+IF($G$10=$E$10,$F$10,IF(T288&lt;($F$10-$E$10)/($G$10-$E$10),$E$10+SQRT(T288*($G$10-$E$10)*($F$10-$E$10)),$G$10-SQRT((1-T288)*($G$10-$E$10)*($G$10-$F$10))))</f>
        <v>0.995519440288953</v>
      </c>
      <c r="G288" s="52" t="n">
        <f aca="false">IF($G$11=$E$11,$F$11,IF(U288&lt;($F$11-$E$11)/($G$11-$E$11),$E$11+SQRT(U288*($G$11-$E$11)*($F$11-$E$11)),$G$11-SQRT((1-U288)*($G$11-$E$11)*($G$11-$F$11))))</f>
        <v>0.0981526801777108</v>
      </c>
      <c r="H288" s="53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-1991038880.57791</v>
      </c>
      <c r="I288" s="53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25135049.6199495</v>
      </c>
      <c r="J288" s="53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349884838.359572</v>
      </c>
      <c r="K288" s="53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724410599.113642</v>
      </c>
      <c r="L288" s="53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869648509.149188</v>
      </c>
      <c r="M288" s="53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1073082401.65538</v>
      </c>
      <c r="N288" s="53" t="n">
        <f aca="false">IF(COUNT('Business Case'!B11:G11)=0,"",H288+NPV(G288,I288:M288))</f>
        <v>138907435.846181</v>
      </c>
      <c r="P288" s="54" t="n">
        <f aca="true">RAND()</f>
        <v>0.866073459000375</v>
      </c>
      <c r="Q288" s="54" t="n">
        <f aca="true">RAND()</f>
        <v>0.827391835347907</v>
      </c>
      <c r="R288" s="54" t="n">
        <f aca="true">RAND()</f>
        <v>0.676738122782548</v>
      </c>
      <c r="S288" s="54" t="n">
        <f aca="true">RAND()</f>
        <v>0.537882439715642</v>
      </c>
      <c r="T288" s="54" t="n">
        <f aca="true">RAND()</f>
        <v>0.165761555537566</v>
      </c>
      <c r="U288" s="54" t="n">
        <f aca="true">RAND()</f>
        <v>0.221553980266794</v>
      </c>
    </row>
    <row r="289" customFormat="false" ht="15" hidden="false" customHeight="false" outlineLevel="0" collapsed="false">
      <c r="A289" s="50" t="n">
        <v>209</v>
      </c>
      <c r="B289" s="51" t="n">
        <f aca="false">1+IF($G$6=$E$6,$F$6,IF(P289&lt;($F$6-$E$6)/($G$6-$E$6),$E$6+SQRT(P289*($G$6-$E$6)*($F$6-$E$6)),$G$6-SQRT((1-P289)*($G$6-$E$6)*($G$6-$F$6))))</f>
        <v>0.972306995475223</v>
      </c>
      <c r="C289" s="51" t="n">
        <f aca="false">1+IF($G$7=$E$7,$F$7,IF(Q289&lt;($F$7-$E$7)/($G$7-$E$7),$E$7+SQRT(Q289*($G$7-$E$7)*($F$7-$E$7)),$G$7-SQRT((1-Q289)*($G$7-$E$7)*($G$7-$F$7))))</f>
        <v>0.972126039033244</v>
      </c>
      <c r="D289" s="51" t="n">
        <f aca="false">1+IF($G$8=$E$8,$F$8,IF(R289&lt;($F$8-$E$8)/($G$8-$E$8),$E$8+SQRT(R289*($G$8-$E$8)*($F$8-$E$8)),$G$8-SQRT((1-R289)*($G$8-$E$8)*($G$8-$F$8))))</f>
        <v>1.04980294346033</v>
      </c>
      <c r="E289" s="51" t="n">
        <f aca="false">1+IF($G$9=$E$9,$F$9,IF(S289&lt;($F$9-$E$9)/($G$9-$E$9),$E$9+SQRT(S289*($G$9-$E$9)*($F$9-$E$9)),$G$9-SQRT((1-S289)*($G$9-$E$9)*($G$9-$F$9))))</f>
        <v>0.995294384934611</v>
      </c>
      <c r="F289" s="51" t="n">
        <f aca="false">1+IF($G$10=$E$10,$F$10,IF(T289&lt;($F$10-$E$10)/($G$10-$E$10),$E$10+SQRT(T289*($G$10-$E$10)*($F$10-$E$10)),$G$10-SQRT((1-T289)*($G$10-$E$10)*($G$10-$F$10))))</f>
        <v>1.17360157205477</v>
      </c>
      <c r="G289" s="52" t="n">
        <f aca="false">IF($G$11=$E$11,$F$11,IF(U289&lt;($F$11-$E$11)/($G$11-$E$11),$E$11+SQRT(U289*($G$11-$E$11)*($F$11-$E$11)),$G$11-SQRT((1-U289)*($G$11-$E$11)*($G$11-$F$11))))</f>
        <v>0.0973813960333105</v>
      </c>
      <c r="H289" s="53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-2347203144.10954</v>
      </c>
      <c r="I289" s="53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-56134770.5583368</v>
      </c>
      <c r="J289" s="53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195620902.143041</v>
      </c>
      <c r="K289" s="53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506056653.447157</v>
      </c>
      <c r="L289" s="53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622641494.025307</v>
      </c>
      <c r="M289" s="53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802306050.585938</v>
      </c>
      <c r="N289" s="53" t="n">
        <f aca="false">IF(COUNT('Business Case'!B11:G11)=0,"",H289+NPV(G289,I289:M289))</f>
        <v>-919490373.620884</v>
      </c>
      <c r="P289" s="54" t="n">
        <f aca="true">RAND()</f>
        <v>0.285002268296354</v>
      </c>
      <c r="Q289" s="54" t="n">
        <f aca="true">RAND()</f>
        <v>0.423248190189624</v>
      </c>
      <c r="R289" s="54" t="n">
        <f aca="true">RAND()</f>
        <v>0.912320940032667</v>
      </c>
      <c r="S289" s="54" t="n">
        <f aca="true">RAND()</f>
        <v>0.273544174213963</v>
      </c>
      <c r="T289" s="54" t="n">
        <f aca="true">RAND()</f>
        <v>0.986062460040411</v>
      </c>
      <c r="U289" s="54" t="n">
        <f aca="true">RAND()</f>
        <v>0.181616691335238</v>
      </c>
    </row>
    <row r="290" customFormat="false" ht="15" hidden="false" customHeight="false" outlineLevel="0" collapsed="false">
      <c r="A290" s="50" t="n">
        <v>210</v>
      </c>
      <c r="B290" s="51" t="n">
        <f aca="false">1+IF($G$6=$E$6,$F$6,IF(P290&lt;($F$6-$E$6)/($G$6-$E$6),$E$6+SQRT(P290*($G$6-$E$6)*($F$6-$E$6)),$G$6-SQRT((1-P290)*($G$6-$E$6)*($G$6-$F$6))))</f>
        <v>1.0054761111632</v>
      </c>
      <c r="C290" s="51" t="n">
        <f aca="false">1+IF($G$7=$E$7,$F$7,IF(Q290&lt;($F$7-$E$7)/($G$7-$E$7),$E$7+SQRT(Q290*($G$7-$E$7)*($F$7-$E$7)),$G$7-SQRT((1-Q290)*($G$7-$E$7)*($G$7-$F$7))))</f>
        <v>0.859876996461722</v>
      </c>
      <c r="D290" s="51" t="n">
        <f aca="false">1+IF($G$8=$E$8,$F$8,IF(R290&lt;($F$8-$E$8)/($G$8-$E$8),$E$8+SQRT(R290*($G$8-$E$8)*($F$8-$E$8)),$G$8-SQRT((1-R290)*($G$8-$E$8)*($G$8-$F$8))))</f>
        <v>1.04781913331446</v>
      </c>
      <c r="E290" s="51" t="n">
        <f aca="false">1+IF($G$9=$E$9,$F$9,IF(S290&lt;($F$9-$E$9)/($G$9-$E$9),$E$9+SQRT(S290*($G$9-$E$9)*($F$9-$E$9)),$G$9-SQRT((1-S290)*($G$9-$E$9)*($G$9-$F$9))))</f>
        <v>1.01330163070509</v>
      </c>
      <c r="F290" s="51" t="n">
        <f aca="false">1+IF($G$10=$E$10,$F$10,IF(T290&lt;($F$10-$E$10)/($G$10-$E$10),$E$10+SQRT(T290*($G$10-$E$10)*($F$10-$E$10)),$G$10-SQRT((1-T290)*($G$10-$E$10)*($G$10-$F$10))))</f>
        <v>0.983339290429681</v>
      </c>
      <c r="G290" s="52" t="n">
        <f aca="false">IF($G$11=$E$11,$F$11,IF(U290&lt;($F$11-$E$11)/($G$11-$E$11),$E$11+SQRT(U290*($G$11-$E$11)*($F$11-$E$11)),$G$11-SQRT((1-U290)*($G$11-$E$11)*($G$11-$F$11))))</f>
        <v>0.105876931111165</v>
      </c>
      <c r="H290" s="53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-1966678580.85936</v>
      </c>
      <c r="I290" s="53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-40325196.7131947</v>
      </c>
      <c r="J290" s="53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206595154.259298</v>
      </c>
      <c r="K290" s="53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502682469.753276</v>
      </c>
      <c r="L290" s="53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614869337.915078</v>
      </c>
      <c r="M290" s="53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779209802.688752</v>
      </c>
      <c r="N290" s="53" t="n">
        <f aca="false">IF(COUNT('Business Case'!B11:G11)=0,"",H290+NPV(G290,I290:M290))</f>
        <v>-580313918.313839</v>
      </c>
      <c r="P290" s="54" t="n">
        <f aca="true">RAND()</f>
        <v>0.751687729080117</v>
      </c>
      <c r="Q290" s="54" t="n">
        <f aca="true">RAND()</f>
        <v>0.0512179243611006</v>
      </c>
      <c r="R290" s="54" t="n">
        <f aca="true">RAND()</f>
        <v>0.900422290323784</v>
      </c>
      <c r="S290" s="54" t="n">
        <f aca="true">RAND()</f>
        <v>0.49889285077351</v>
      </c>
      <c r="T290" s="54" t="n">
        <f aca="true">RAND()</f>
        <v>0.088920662908368</v>
      </c>
      <c r="U290" s="54" t="n">
        <f aca="true">RAND()</f>
        <v>0.667564875268717</v>
      </c>
    </row>
    <row r="291" customFormat="false" ht="15" hidden="false" customHeight="false" outlineLevel="0" collapsed="false">
      <c r="A291" s="50" t="n">
        <v>211</v>
      </c>
      <c r="B291" s="51" t="n">
        <f aca="false">1+IF($G$6=$E$6,$F$6,IF(P291&lt;($F$6-$E$6)/($G$6-$E$6),$E$6+SQRT(P291*($G$6-$E$6)*($F$6-$E$6)),$G$6-SQRT((1-P291)*($G$6-$E$6)*($G$6-$F$6))))</f>
        <v>1.012582830096</v>
      </c>
      <c r="C291" s="51" t="n">
        <f aca="false">1+IF($G$7=$E$7,$F$7,IF(Q291&lt;($F$7-$E$7)/($G$7-$E$7),$E$7+SQRT(Q291*($G$7-$E$7)*($F$7-$E$7)),$G$7-SQRT((1-Q291)*($G$7-$E$7)*($G$7-$F$7))))</f>
        <v>1.07545041730665</v>
      </c>
      <c r="D291" s="51" t="n">
        <f aca="false">1+IF($G$8=$E$8,$F$8,IF(R291&lt;($F$8-$E$8)/($G$8-$E$8),$E$8+SQRT(R291*($G$8-$E$8)*($F$8-$E$8)),$G$8-SQRT((1-R291)*($G$8-$E$8)*($G$8-$F$8))))</f>
        <v>1.04064372067637</v>
      </c>
      <c r="E291" s="51" t="n">
        <f aca="false">1+IF($G$9=$E$9,$F$9,IF(S291&lt;($F$9-$E$9)/($G$9-$E$9),$E$9+SQRT(S291*($G$9-$E$9)*($F$9-$E$9)),$G$9-SQRT((1-S291)*($G$9-$E$9)*($G$9-$F$9))))</f>
        <v>1.01095406581326</v>
      </c>
      <c r="F291" s="51" t="n">
        <f aca="false">1+IF($G$10=$E$10,$F$10,IF(T291&lt;($F$10-$E$10)/($G$10-$E$10),$E$10+SQRT(T291*($G$10-$E$10)*($F$10-$E$10)),$G$10-SQRT((1-T291)*($G$10-$E$10)*($G$10-$F$10))))</f>
        <v>1.07310090107768</v>
      </c>
      <c r="G291" s="52" t="n">
        <f aca="false">IF($G$11=$E$11,$F$11,IF(U291&lt;($F$11-$E$11)/($G$11-$E$11),$E$11+SQRT(U291*($G$11-$E$11)*($F$11-$E$11)),$G$11-SQRT((1-U291)*($G$11-$E$11)*($G$11-$F$11))))</f>
        <v>0.111671004157621</v>
      </c>
      <c r="H291" s="53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-2146201802.15536</v>
      </c>
      <c r="I291" s="53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11513803.0928375</v>
      </c>
      <c r="J291" s="53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330548223.845322</v>
      </c>
      <c r="K291" s="53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703237689.651691</v>
      </c>
      <c r="L291" s="53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847217736.164674</v>
      </c>
      <c r="M291" s="53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1054211553.93986</v>
      </c>
      <c r="N291" s="53" t="n">
        <f aca="false">IF(COUNT('Business Case'!B11:G11)=0,"",H291+NPV(G291,I291:M291))</f>
        <v>-180808193.221507</v>
      </c>
      <c r="P291" s="54" t="n">
        <f aca="true">RAND()</f>
        <v>0.843395582178206</v>
      </c>
      <c r="Q291" s="54" t="n">
        <f aca="true">RAND()</f>
        <v>0.894140185147558</v>
      </c>
      <c r="R291" s="54" t="n">
        <f aca="true">RAND()</f>
        <v>0.851065699788537</v>
      </c>
      <c r="S291" s="54" t="n">
        <f aca="true">RAND()</f>
        <v>0.471388106987346</v>
      </c>
      <c r="T291" s="54" t="n">
        <f aca="true">RAND()</f>
        <v>0.677932373854063</v>
      </c>
      <c r="U291" s="54" t="n">
        <f aca="true">RAND()</f>
        <v>0.884379713762716</v>
      </c>
    </row>
    <row r="292" customFormat="false" ht="15" hidden="false" customHeight="false" outlineLevel="0" collapsed="false">
      <c r="A292" s="50" t="n">
        <v>212</v>
      </c>
      <c r="B292" s="51" t="n">
        <f aca="false">1+IF($G$6=$E$6,$F$6,IF(P292&lt;($F$6-$E$6)/($G$6-$E$6),$E$6+SQRT(P292*($G$6-$E$6)*($F$6-$E$6)),$G$6-SQRT((1-P292)*($G$6-$E$6)*($G$6-$F$6))))</f>
        <v>0.969510934306942</v>
      </c>
      <c r="C292" s="51" t="n">
        <f aca="false">1+IF($G$7=$E$7,$F$7,IF(Q292&lt;($F$7-$E$7)/($G$7-$E$7),$E$7+SQRT(Q292*($G$7-$E$7)*($F$7-$E$7)),$G$7-SQRT((1-Q292)*($G$7-$E$7)*($G$7-$F$7))))</f>
        <v>0.955871076317088</v>
      </c>
      <c r="D292" s="51" t="n">
        <f aca="false">1+IF($G$8=$E$8,$F$8,IF(R292&lt;($F$8-$E$8)/($G$8-$E$8),$E$8+SQRT(R292*($G$8-$E$8)*($F$8-$E$8)),$G$8-SQRT((1-R292)*($G$8-$E$8)*($G$8-$F$8))))</f>
        <v>0.979753730371137</v>
      </c>
      <c r="E292" s="51" t="n">
        <f aca="false">1+IF($G$9=$E$9,$F$9,IF(S292&lt;($F$9-$E$9)/($G$9-$E$9),$E$9+SQRT(S292*($G$9-$E$9)*($F$9-$E$9)),$G$9-SQRT((1-S292)*($G$9-$E$9)*($G$9-$F$9))))</f>
        <v>1.00888287806922</v>
      </c>
      <c r="F292" s="51" t="n">
        <f aca="false">1+IF($G$10=$E$10,$F$10,IF(T292&lt;($F$10-$E$10)/($G$10-$E$10),$E$10+SQRT(T292*($G$10-$E$10)*($F$10-$E$10)),$G$10-SQRT((1-T292)*($G$10-$E$10)*($G$10-$F$10))))</f>
        <v>1.08046203888413</v>
      </c>
      <c r="G292" s="52" t="n">
        <f aca="false">IF($G$11=$E$11,$F$11,IF(U292&lt;($F$11-$E$11)/($G$11-$E$11),$E$11+SQRT(U292*($G$11-$E$11)*($F$11-$E$11)),$G$11-SQRT((1-U292)*($G$11-$E$11)*($G$11-$F$11))))</f>
        <v>0.103853100829631</v>
      </c>
      <c r="H292" s="53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-2160924077.76826</v>
      </c>
      <c r="I292" s="53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-19916810.3073422</v>
      </c>
      <c r="J292" s="53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259717280.075939</v>
      </c>
      <c r="K292" s="53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593374472.403427</v>
      </c>
      <c r="L292" s="53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718613536.8917</v>
      </c>
      <c r="M292" s="53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894765892.541183</v>
      </c>
      <c r="N292" s="53" t="n">
        <f aca="false">IF(COUNT('Business Case'!B11:G11)=0,"",H292+NPV(G292,I292:M292))</f>
        <v>-494706020.228824</v>
      </c>
      <c r="P292" s="54" t="n">
        <f aca="true">RAND()</f>
        <v>0.255347147494413</v>
      </c>
      <c r="Q292" s="54" t="n">
        <f aca="true">RAND()</f>
        <v>0.347082749032107</v>
      </c>
      <c r="R292" s="54" t="n">
        <f aca="true">RAND()</f>
        <v>0.136197610922814</v>
      </c>
      <c r="S292" s="54" t="n">
        <f aca="true">RAND()</f>
        <v>0.44651133940338</v>
      </c>
      <c r="T292" s="54" t="n">
        <f aca="true">RAND()</f>
        <v>0.714213517045212</v>
      </c>
      <c r="U292" s="54" t="n">
        <f aca="true">RAND()</f>
        <v>0.565462745303222</v>
      </c>
    </row>
    <row r="293" customFormat="false" ht="15" hidden="false" customHeight="false" outlineLevel="0" collapsed="false">
      <c r="A293" s="50" t="n">
        <v>213</v>
      </c>
      <c r="B293" s="51" t="n">
        <f aca="false">1+IF($G$6=$E$6,$F$6,IF(P293&lt;($F$6-$E$6)/($G$6-$E$6),$E$6+SQRT(P293*($G$6-$E$6)*($F$6-$E$6)),$G$6-SQRT((1-P293)*($G$6-$E$6)*($G$6-$F$6))))</f>
        <v>0.991640864158706</v>
      </c>
      <c r="C293" s="51" t="n">
        <f aca="false">1+IF($G$7=$E$7,$F$7,IF(Q293&lt;($F$7-$E$7)/($G$7-$E$7),$E$7+SQRT(Q293*($G$7-$E$7)*($F$7-$E$7)),$G$7-SQRT((1-Q293)*($G$7-$E$7)*($G$7-$F$7))))</f>
        <v>1.01135392864161</v>
      </c>
      <c r="D293" s="51" t="n">
        <f aca="false">1+IF($G$8=$E$8,$F$8,IF(R293&lt;($F$8-$E$8)/($G$8-$E$8),$E$8+SQRT(R293*($G$8-$E$8)*($F$8-$E$8)),$G$8-SQRT((1-R293)*($G$8-$E$8)*($G$8-$F$8))))</f>
        <v>0.985448262045309</v>
      </c>
      <c r="E293" s="51" t="n">
        <f aca="false">1+IF($G$9=$E$9,$F$9,IF(S293&lt;($F$9-$E$9)/($G$9-$E$9),$E$9+SQRT(S293*($G$9-$E$9)*($F$9-$E$9)),$G$9-SQRT((1-S293)*($G$9-$E$9)*($G$9-$F$9))))</f>
        <v>1.03195497749007</v>
      </c>
      <c r="F293" s="51" t="n">
        <f aca="false">1+IF($G$10=$E$10,$F$10,IF(T293&lt;($F$10-$E$10)/($G$10-$E$10),$E$10+SQRT(T293*($G$10-$E$10)*($F$10-$E$10)),$G$10-SQRT((1-T293)*($G$10-$E$10)*($G$10-$F$10))))</f>
        <v>0.978515064747591</v>
      </c>
      <c r="G293" s="52" t="n">
        <f aca="false">IF($G$11=$E$11,$F$11,IF(U293&lt;($F$11-$E$11)/($G$11-$E$11),$E$11+SQRT(U293*($G$11-$E$11)*($F$11-$E$11)),$G$11-SQRT((1-U293)*($G$11-$E$11)*($G$11-$F$11))))</f>
        <v>0.103059966894667</v>
      </c>
      <c r="H293" s="53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-1957030129.49518</v>
      </c>
      <c r="I293" s="53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14662981.0055088</v>
      </c>
      <c r="J293" s="53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325911796.259423</v>
      </c>
      <c r="K293" s="53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686086364.750716</v>
      </c>
      <c r="L293" s="53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824496189.818392</v>
      </c>
      <c r="M293" s="53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1015127399.7251</v>
      </c>
      <c r="N293" s="53" t="n">
        <f aca="false">IF(COUNT('Business Case'!B11:G11)=0,"",H293+NPV(G293,I293:M293))</f>
        <v>13847157.6901271</v>
      </c>
      <c r="P293" s="54" t="n">
        <f aca="true">RAND()</f>
        <v>0.534626397646481</v>
      </c>
      <c r="Q293" s="54" t="n">
        <f aca="true">RAND()</f>
        <v>0.633852702797777</v>
      </c>
      <c r="R293" s="54" t="n">
        <f aca="true">RAND()</f>
        <v>0.193319889543524</v>
      </c>
      <c r="S293" s="54" t="n">
        <f aca="true">RAND()</f>
        <v>0.691324994108251</v>
      </c>
      <c r="T293" s="54" t="n">
        <f aca="true">RAND()</f>
        <v>0.0650487134047452</v>
      </c>
      <c r="U293" s="54" t="n">
        <f aca="true">RAND()</f>
        <v>0.521725463983701</v>
      </c>
    </row>
    <row r="294" customFormat="false" ht="15" hidden="false" customHeight="false" outlineLevel="0" collapsed="false">
      <c r="A294" s="50" t="n">
        <v>214</v>
      </c>
      <c r="B294" s="51" t="n">
        <f aca="false">1+IF($G$6=$E$6,$F$6,IF(P294&lt;($F$6-$E$6)/($G$6-$E$6),$E$6+SQRT(P294*($G$6-$E$6)*($F$6-$E$6)),$G$6-SQRT((1-P294)*($G$6-$E$6)*($G$6-$F$6))))</f>
        <v>0.977457772475192</v>
      </c>
      <c r="C294" s="51" t="n">
        <f aca="false">1+IF($G$7=$E$7,$F$7,IF(Q294&lt;($F$7-$E$7)/($G$7-$E$7),$E$7+SQRT(Q294*($G$7-$E$7)*($F$7-$E$7)),$G$7-SQRT((1-Q294)*($G$7-$E$7)*($G$7-$F$7))))</f>
        <v>0.978612569989647</v>
      </c>
      <c r="D294" s="51" t="n">
        <f aca="false">1+IF($G$8=$E$8,$F$8,IF(R294&lt;($F$8-$E$8)/($G$8-$E$8),$E$8+SQRT(R294*($G$8-$E$8)*($F$8-$E$8)),$G$8-SQRT((1-R294)*($G$8-$E$8)*($G$8-$F$8))))</f>
        <v>1.02262165792354</v>
      </c>
      <c r="E294" s="51" t="n">
        <f aca="false">1+IF($G$9=$E$9,$F$9,IF(S294&lt;($F$9-$E$9)/($G$9-$E$9),$E$9+SQRT(S294*($G$9-$E$9)*($F$9-$E$9)),$G$9-SQRT((1-S294)*($G$9-$E$9)*($G$9-$F$9))))</f>
        <v>0.999999070467058</v>
      </c>
      <c r="F294" s="51" t="n">
        <f aca="false">1+IF($G$10=$E$10,$F$10,IF(T294&lt;($F$10-$E$10)/($G$10-$E$10),$E$10+SQRT(T294*($G$10-$E$10)*($F$10-$E$10)),$G$10-SQRT((1-T294)*($G$10-$E$10)*($G$10-$F$10))))</f>
        <v>1.00246069492733</v>
      </c>
      <c r="G294" s="52" t="n">
        <f aca="false">IF($G$11=$E$11,$F$11,IF(U294&lt;($F$11-$E$11)/($G$11-$E$11),$E$11+SQRT(U294*($G$11-$E$11)*($F$11-$E$11)),$G$11-SQRT((1-U294)*($G$11-$E$11)*($G$11-$F$11))))</f>
        <v>0.0999989593120173</v>
      </c>
      <c r="H294" s="53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-2004921389.85466</v>
      </c>
      <c r="I294" s="53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-20852427.4573904</v>
      </c>
      <c r="J294" s="53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250328762.068795</v>
      </c>
      <c r="K294" s="53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571632986.341346</v>
      </c>
      <c r="L294" s="53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695085169.297027</v>
      </c>
      <c r="M294" s="53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876906661.421927</v>
      </c>
      <c r="N294" s="53" t="n">
        <f aca="false">IF(COUNT('Business Case'!B11:G11)=0,"",H294+NPV(G294,I294:M294))</f>
        <v>-368270011.901726</v>
      </c>
      <c r="P294" s="54" t="n">
        <f aca="true">RAND()</f>
        <v>0.343895376855308</v>
      </c>
      <c r="Q294" s="54" t="n">
        <f aca="true">RAND()</f>
        <v>0.455749287975808</v>
      </c>
      <c r="R294" s="54" t="n">
        <f aca="true">RAND()</f>
        <v>0.683435178899737</v>
      </c>
      <c r="S294" s="54" t="n">
        <f aca="true">RAND()</f>
        <v>0.333320939675972</v>
      </c>
      <c r="T294" s="54" t="n">
        <f aca="true">RAND()</f>
        <v>0.219564459028125</v>
      </c>
      <c r="U294" s="54" t="n">
        <f aca="true">RAND()</f>
        <v>0.33326395774459</v>
      </c>
    </row>
    <row r="295" customFormat="false" ht="15" hidden="false" customHeight="false" outlineLevel="0" collapsed="false">
      <c r="A295" s="50" t="n">
        <v>215</v>
      </c>
      <c r="B295" s="51" t="n">
        <f aca="false">1+IF($G$6=$E$6,$F$6,IF(P295&lt;($F$6-$E$6)/($G$6-$E$6),$E$6+SQRT(P295*($G$6-$E$6)*($F$6-$E$6)),$G$6-SQRT((1-P295)*($G$6-$E$6)*($G$6-$F$6))))</f>
        <v>0.96916768678959</v>
      </c>
      <c r="C295" s="51" t="n">
        <f aca="false">1+IF($G$7=$E$7,$F$7,IF(Q295&lt;($F$7-$E$7)/($G$7-$E$7),$E$7+SQRT(Q295*($G$7-$E$7)*($F$7-$E$7)),$G$7-SQRT((1-Q295)*($G$7-$E$7)*($G$7-$F$7))))</f>
        <v>0.95874934790602</v>
      </c>
      <c r="D295" s="51" t="n">
        <f aca="false">1+IF($G$8=$E$8,$F$8,IF(R295&lt;($F$8-$E$8)/($G$8-$E$8),$E$8+SQRT(R295*($G$8-$E$8)*($F$8-$E$8)),$G$8-SQRT((1-R295)*($G$8-$E$8)*($G$8-$F$8))))</f>
        <v>1.03078030036453</v>
      </c>
      <c r="E295" s="51" t="n">
        <f aca="false">1+IF($G$9=$E$9,$F$9,IF(S295&lt;($F$9-$E$9)/($G$9-$E$9),$E$9+SQRT(S295*($G$9-$E$9)*($F$9-$E$9)),$G$9-SQRT((1-S295)*($G$9-$E$9)*($G$9-$F$9))))</f>
        <v>1.02719043957386</v>
      </c>
      <c r="F295" s="51" t="n">
        <f aca="false">1+IF($G$10=$E$10,$F$10,IF(T295&lt;($F$10-$E$10)/($G$10-$E$10),$E$10+SQRT(T295*($G$10-$E$10)*($F$10-$E$10)),$G$10-SQRT((1-T295)*($G$10-$E$10)*($G$10-$F$10))))</f>
        <v>1.095565002586</v>
      </c>
      <c r="G295" s="52" t="n">
        <f aca="false">IF($G$11=$E$11,$F$11,IF(U295&lt;($F$11-$E$11)/($G$11-$E$11),$E$11+SQRT(U295*($G$11-$E$11)*($F$11-$E$11)),$G$11-SQRT((1-U295)*($G$11-$E$11)*($G$11-$F$11))))</f>
        <v>0.110768844711134</v>
      </c>
      <c r="H295" s="53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-2191130005.17201</v>
      </c>
      <c r="I295" s="53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-48629560.9608375</v>
      </c>
      <c r="J295" s="53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206533010.783791</v>
      </c>
      <c r="K295" s="53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516473832.657719</v>
      </c>
      <c r="L295" s="53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633640791.198903</v>
      </c>
      <c r="M295" s="53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810261014.976931</v>
      </c>
      <c r="N295" s="53" t="n">
        <f aca="false">IF(COUNT('Business Case'!B11:G11)=0,"",H295+NPV(G295,I295:M295))</f>
        <v>-795224683.216597</v>
      </c>
      <c r="P295" s="54" t="n">
        <f aca="true">RAND()</f>
        <v>0.251818898358254</v>
      </c>
      <c r="Q295" s="54" t="n">
        <f aca="true">RAND()</f>
        <v>0.360019363722663</v>
      </c>
      <c r="R295" s="54" t="n">
        <f aca="true">RAND()</f>
        <v>0.76705972767249</v>
      </c>
      <c r="S295" s="54" t="n">
        <f aca="true">RAND()</f>
        <v>0.646584527370176</v>
      </c>
      <c r="T295" s="54" t="n">
        <f aca="true">RAND()</f>
        <v>0.781866626302775</v>
      </c>
      <c r="U295" s="54" t="n">
        <f aca="true">RAND()</f>
        <v>0.85797628672141</v>
      </c>
    </row>
    <row r="296" customFormat="false" ht="15" hidden="false" customHeight="false" outlineLevel="0" collapsed="false">
      <c r="A296" s="50" t="n">
        <v>216</v>
      </c>
      <c r="B296" s="51" t="n">
        <f aca="false">1+IF($G$6=$E$6,$F$6,IF(P296&lt;($F$6-$E$6)/($G$6-$E$6),$E$6+SQRT(P296*($G$6-$E$6)*($F$6-$E$6)),$G$6-SQRT((1-P296)*($G$6-$E$6)*($G$6-$F$6))))</f>
        <v>0.974432258778343</v>
      </c>
      <c r="C296" s="51" t="n">
        <f aca="false">1+IF($G$7=$E$7,$F$7,IF(Q296&lt;($F$7-$E$7)/($G$7-$E$7),$E$7+SQRT(Q296*($G$7-$E$7)*($F$7-$E$7)),$G$7-SQRT((1-Q296)*($G$7-$E$7)*($G$7-$F$7))))</f>
        <v>0.912986494159049</v>
      </c>
      <c r="D296" s="51" t="n">
        <f aca="false">1+IF($G$8=$E$8,$F$8,IF(R296&lt;($F$8-$E$8)/($G$8-$E$8),$E$8+SQRT(R296*($G$8-$E$8)*($F$8-$E$8)),$G$8-SQRT((1-R296)*($G$8-$E$8)*($G$8-$F$8))))</f>
        <v>1.02321860491029</v>
      </c>
      <c r="E296" s="51" t="n">
        <f aca="false">1+IF($G$9=$E$9,$F$9,IF(S296&lt;($F$9-$E$9)/($G$9-$E$9),$E$9+SQRT(S296*($G$9-$E$9)*($F$9-$E$9)),$G$9-SQRT((1-S296)*($G$9-$E$9)*($G$9-$F$9))))</f>
        <v>1.05347924864538</v>
      </c>
      <c r="F296" s="51" t="n">
        <f aca="false">1+IF($G$10=$E$10,$F$10,IF(T296&lt;($F$10-$E$10)/($G$10-$E$10),$E$10+SQRT(T296*($G$10-$E$10)*($F$10-$E$10)),$G$10-SQRT((1-T296)*($G$10-$E$10)*($G$10-$F$10))))</f>
        <v>1.07308299362719</v>
      </c>
      <c r="G296" s="52" t="n">
        <f aca="false">IF($G$11=$E$11,$F$11,IF(U296&lt;($F$11-$E$11)/($G$11-$E$11),$E$11+SQRT(U296*($G$11-$E$11)*($F$11-$E$11)),$G$11-SQRT((1-U296)*($G$11-$E$11)*($G$11-$F$11))))</f>
        <v>0.10511551379565</v>
      </c>
      <c r="H296" s="53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-2146165987.25437</v>
      </c>
      <c r="I296" s="53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-52777958.9159232</v>
      </c>
      <c r="J296" s="53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197676249.299919</v>
      </c>
      <c r="K296" s="53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501784607.19712</v>
      </c>
      <c r="L296" s="53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616015422.343516</v>
      </c>
      <c r="M296" s="53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785118857.252984</v>
      </c>
      <c r="N296" s="53" t="n">
        <f aca="false">IF(COUNT('Business Case'!B11:G11)=0,"",H296+NPV(G296,I296:M296))</f>
        <v>-770948568.615197</v>
      </c>
      <c r="P296" s="54" t="n">
        <f aca="true">RAND()</f>
        <v>0.30863237455338</v>
      </c>
      <c r="Q296" s="54" t="n">
        <f aca="true">RAND()</f>
        <v>0.182370683747896</v>
      </c>
      <c r="R296" s="54" t="n">
        <f aca="true">RAND()</f>
        <v>0.689987804967877</v>
      </c>
      <c r="S296" s="54" t="n">
        <f aca="true">RAND()</f>
        <v>0.855721312893451</v>
      </c>
      <c r="T296" s="54" t="n">
        <f aca="true">RAND()</f>
        <v>0.677841469867263</v>
      </c>
      <c r="U296" s="54" t="n">
        <f aca="true">RAND()</f>
        <v>0.630753450720878</v>
      </c>
    </row>
    <row r="297" customFormat="false" ht="15" hidden="false" customHeight="false" outlineLevel="0" collapsed="false">
      <c r="A297" s="50" t="n">
        <v>217</v>
      </c>
      <c r="B297" s="51" t="n">
        <f aca="false">1+IF($G$6=$E$6,$F$6,IF(P297&lt;($F$6-$E$6)/($G$6-$E$6),$E$6+SQRT(P297*($G$6-$E$6)*($F$6-$E$6)),$G$6-SQRT((1-P297)*($G$6-$E$6)*($G$6-$F$6))))</f>
        <v>0.989761310335985</v>
      </c>
      <c r="C297" s="51" t="n">
        <f aca="false">1+IF($G$7=$E$7,$F$7,IF(Q297&lt;($F$7-$E$7)/($G$7-$E$7),$E$7+SQRT(Q297*($G$7-$E$7)*($F$7-$E$7)),$G$7-SQRT((1-Q297)*($G$7-$E$7)*($G$7-$F$7))))</f>
        <v>0.895569044139326</v>
      </c>
      <c r="D297" s="51" t="n">
        <f aca="false">1+IF($G$8=$E$8,$F$8,IF(R297&lt;($F$8-$E$8)/($G$8-$E$8),$E$8+SQRT(R297*($G$8-$E$8)*($F$8-$E$8)),$G$8-SQRT((1-R297)*($G$8-$E$8)*($G$8-$F$8))))</f>
        <v>0.977315543324068</v>
      </c>
      <c r="E297" s="51" t="n">
        <f aca="false">1+IF($G$9=$E$9,$F$9,IF(S297&lt;($F$9-$E$9)/($G$9-$E$9),$E$9+SQRT(S297*($G$9-$E$9)*($F$9-$E$9)),$G$9-SQRT((1-S297)*($G$9-$E$9)*($G$9-$F$9))))</f>
        <v>1.05107747450744</v>
      </c>
      <c r="F297" s="51" t="n">
        <f aca="false">1+IF($G$10=$E$10,$F$10,IF(T297&lt;($F$10-$E$10)/($G$10-$E$10),$E$10+SQRT(T297*($G$10-$E$10)*($F$10-$E$10)),$G$10-SQRT((1-T297)*($G$10-$E$10)*($G$10-$F$10))))</f>
        <v>1.02442260620142</v>
      </c>
      <c r="G297" s="52" t="n">
        <f aca="false">IF($G$11=$E$11,$F$11,IF(U297&lt;($F$11-$E$11)/($G$11-$E$11),$E$11+SQRT(U297*($G$11-$E$11)*($F$11-$E$11)),$G$11-SQRT((1-U297)*($G$11-$E$11)*($G$11-$F$11))))</f>
        <v>0.106630301314357</v>
      </c>
      <c r="H297" s="53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-2048845212.40284</v>
      </c>
      <c r="I297" s="53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-19891142.5400599</v>
      </c>
      <c r="J297" s="53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258074147.192912</v>
      </c>
      <c r="K297" s="53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587260567.235955</v>
      </c>
      <c r="L297" s="53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710549633.665567</v>
      </c>
      <c r="M297" s="53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879036467.851317</v>
      </c>
      <c r="N297" s="53" t="n">
        <f aca="false">IF(COUNT('Business Case'!B11:G11)=0,"",H297+NPV(G297,I297:M297))</f>
        <v>-419304612.19402</v>
      </c>
      <c r="P297" s="54" t="n">
        <f aca="true">RAND()</f>
        <v>0.506941710395169</v>
      </c>
      <c r="Q297" s="54" t="n">
        <f aca="true">RAND()</f>
        <v>0.130477745681493</v>
      </c>
      <c r="R297" s="54" t="n">
        <f aca="true">RAND()</f>
        <v>0.11479060109062</v>
      </c>
      <c r="S297" s="54" t="n">
        <f aca="true">RAND()</f>
        <v>0.840439099961981</v>
      </c>
      <c r="T297" s="54" t="n">
        <f aca="true">RAND()</f>
        <v>0.383451575737969</v>
      </c>
      <c r="U297" s="54" t="n">
        <f aca="true">RAND()</f>
        <v>0.702085261758525</v>
      </c>
    </row>
    <row r="298" customFormat="false" ht="15" hidden="false" customHeight="false" outlineLevel="0" collapsed="false">
      <c r="A298" s="50" t="n">
        <v>218</v>
      </c>
      <c r="B298" s="51" t="n">
        <f aca="false">1+IF($G$6=$E$6,$F$6,IF(P298&lt;($F$6-$E$6)/($G$6-$E$6),$E$6+SQRT(P298*($G$6-$E$6)*($F$6-$E$6)),$G$6-SQRT((1-P298)*($G$6-$E$6)*($G$6-$F$6))))</f>
        <v>1.01738985411448</v>
      </c>
      <c r="C298" s="51" t="n">
        <f aca="false">1+IF($G$7=$E$7,$F$7,IF(Q298&lt;($F$7-$E$7)/($G$7-$E$7),$E$7+SQRT(Q298*($G$7-$E$7)*($F$7-$E$7)),$G$7-SQRT((1-Q298)*($G$7-$E$7)*($G$7-$F$7))))</f>
        <v>0.902277180286642</v>
      </c>
      <c r="D298" s="51" t="n">
        <f aca="false">1+IF($G$8=$E$8,$F$8,IF(R298&lt;($F$8-$E$8)/($G$8-$E$8),$E$8+SQRT(R298*($G$8-$E$8)*($F$8-$E$8)),$G$8-SQRT((1-R298)*($G$8-$E$8)*($G$8-$F$8))))</f>
        <v>0.974092450296888</v>
      </c>
      <c r="E298" s="51" t="n">
        <f aca="false">1+IF($G$9=$E$9,$F$9,IF(S298&lt;($F$9-$E$9)/($G$9-$E$9),$E$9+SQRT(S298*($G$9-$E$9)*($F$9-$E$9)),$G$9-SQRT((1-S298)*($G$9-$E$9)*($G$9-$F$9))))</f>
        <v>0.994473382111863</v>
      </c>
      <c r="F298" s="51" t="n">
        <f aca="false">1+IF($G$10=$E$10,$F$10,IF(T298&lt;($F$10-$E$10)/($G$10-$E$10),$E$10+SQRT(T298*($G$10-$E$10)*($F$10-$E$10)),$G$10-SQRT((1-T298)*($G$10-$E$10)*($G$10-$F$10))))</f>
        <v>1.0880218451942</v>
      </c>
      <c r="G298" s="52" t="n">
        <f aca="false">IF($G$11=$E$11,$F$11,IF(U298&lt;($F$11-$E$11)/($G$11-$E$11),$E$11+SQRT(U298*($G$11-$E$11)*($F$11-$E$11)),$G$11-SQRT((1-U298)*($G$11-$E$11)*($G$11-$F$11))))</f>
        <v>0.109564693662908</v>
      </c>
      <c r="H298" s="53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-2176043690.38841</v>
      </c>
      <c r="I298" s="53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4150656.42802559</v>
      </c>
      <c r="J298" s="53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306105055.226745</v>
      </c>
      <c r="K298" s="53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662460546.285174</v>
      </c>
      <c r="L298" s="53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794836974.494725</v>
      </c>
      <c r="M298" s="53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969324265.182934</v>
      </c>
      <c r="N298" s="53" t="n">
        <f aca="false">IF(COUNT('Business Case'!B11:G11)=0,"",H298+NPV(G298,I298:M298))</f>
        <v>-337928478.16996</v>
      </c>
      <c r="P298" s="54" t="n">
        <f aca="true">RAND()</f>
        <v>0.893496104799073</v>
      </c>
      <c r="Q298" s="54" t="n">
        <f aca="true">RAND()</f>
        <v>0.14943745153409</v>
      </c>
      <c r="R298" s="54" t="n">
        <f aca="true">RAND()</f>
        <v>0.0892994094320013</v>
      </c>
      <c r="S298" s="54" t="n">
        <f aca="true">RAND()</f>
        <v>0.263717562195701</v>
      </c>
      <c r="T298" s="54" t="n">
        <f aca="true">RAND()</f>
        <v>0.749217856925781</v>
      </c>
      <c r="U298" s="54" t="n">
        <f aca="true">RAND()</f>
        <v>0.818507302751745</v>
      </c>
    </row>
    <row r="299" customFormat="false" ht="15" hidden="false" customHeight="false" outlineLevel="0" collapsed="false">
      <c r="A299" s="50" t="n">
        <v>219</v>
      </c>
      <c r="B299" s="51" t="n">
        <f aca="false">1+IF($G$6=$E$6,$F$6,IF(P299&lt;($F$6-$E$6)/($G$6-$E$6),$E$6+SQRT(P299*($G$6-$E$6)*($F$6-$E$6)),$G$6-SQRT((1-P299)*($G$6-$E$6)*($G$6-$F$6))))</f>
        <v>0.993014265191268</v>
      </c>
      <c r="C299" s="51" t="n">
        <f aca="false">1+IF($G$7=$E$7,$F$7,IF(Q299&lt;($F$7-$E$7)/($G$7-$E$7),$E$7+SQRT(Q299*($G$7-$E$7)*($F$7-$E$7)),$G$7-SQRT((1-Q299)*($G$7-$E$7)*($G$7-$F$7))))</f>
        <v>1.07267221980043</v>
      </c>
      <c r="D299" s="51" t="n">
        <f aca="false">1+IF($G$8=$E$8,$F$8,IF(R299&lt;($F$8-$E$8)/($G$8-$E$8),$E$8+SQRT(R299*($G$8-$E$8)*($F$8-$E$8)),$G$8-SQRT((1-R299)*($G$8-$E$8)*($G$8-$F$8))))</f>
        <v>1.01463498825704</v>
      </c>
      <c r="E299" s="51" t="n">
        <f aca="false">1+IF($G$9=$E$9,$F$9,IF(S299&lt;($F$9-$E$9)/($G$9-$E$9),$E$9+SQRT(S299*($G$9-$E$9)*($F$9-$E$9)),$G$9-SQRT((1-S299)*($G$9-$E$9)*($G$9-$F$9))))</f>
        <v>1.01183867844128</v>
      </c>
      <c r="F299" s="51" t="n">
        <f aca="false">1+IF($G$10=$E$10,$F$10,IF(T299&lt;($F$10-$E$10)/($G$10-$E$10),$E$10+SQRT(T299*($G$10-$E$10)*($F$10-$E$10)),$G$10-SQRT((1-T299)*($G$10-$E$10)*($G$10-$F$10))))</f>
        <v>1.02677071715124</v>
      </c>
      <c r="G299" s="52" t="n">
        <f aca="false">IF($G$11=$E$11,$F$11,IF(U299&lt;($F$11-$E$11)/($G$11-$E$11),$E$11+SQRT(U299*($G$11-$E$11)*($F$11-$E$11)),$G$11-SQRT((1-U299)*($G$11-$E$11)*($G$11-$F$11))))</f>
        <v>0.097258873687476</v>
      </c>
      <c r="H299" s="53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-2053541434.30249</v>
      </c>
      <c r="I299" s="53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13519979.5814342</v>
      </c>
      <c r="J299" s="53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328819360.780843</v>
      </c>
      <c r="K299" s="53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695457277.837814</v>
      </c>
      <c r="L299" s="53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837369651.456618</v>
      </c>
      <c r="M299" s="53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1039838840.82779</v>
      </c>
      <c r="N299" s="53" t="n">
        <f aca="false">IF(COUNT('Business Case'!B11:G11)=0,"",H299+NPV(G299,I299:M299))</f>
        <v>-10241184.486182</v>
      </c>
      <c r="P299" s="54" t="n">
        <f aca="true">RAND()</f>
        <v>0.555321137648004</v>
      </c>
      <c r="Q299" s="54" t="n">
        <f aca="true">RAND()</f>
        <v>0.886103131607756</v>
      </c>
      <c r="R299" s="54" t="n">
        <f aca="true">RAND()</f>
        <v>0.589174542292551</v>
      </c>
      <c r="S299" s="54" t="n">
        <f aca="true">RAND()</f>
        <v>0.481838758734613</v>
      </c>
      <c r="T299" s="54" t="n">
        <f aca="true">RAND()</f>
        <v>0.399832311274104</v>
      </c>
      <c r="U299" s="54" t="n">
        <f aca="true">RAND()</f>
        <v>0.175637490702436</v>
      </c>
    </row>
    <row r="300" customFormat="false" ht="15" hidden="false" customHeight="false" outlineLevel="0" collapsed="false">
      <c r="A300" s="50" t="n">
        <v>220</v>
      </c>
      <c r="B300" s="51" t="n">
        <f aca="false">1+IF($G$6=$E$6,$F$6,IF(P300&lt;($F$6-$E$6)/($G$6-$E$6),$E$6+SQRT(P300*($G$6-$E$6)*($F$6-$E$6)),$G$6-SQRT((1-P300)*($G$6-$E$6)*($G$6-$F$6))))</f>
        <v>0.941771932938709</v>
      </c>
      <c r="C300" s="51" t="n">
        <f aca="false">1+IF($G$7=$E$7,$F$7,IF(Q300&lt;($F$7-$E$7)/($G$7-$E$7),$E$7+SQRT(Q300*($G$7-$E$7)*($F$7-$E$7)),$G$7-SQRT((1-Q300)*($G$7-$E$7)*($G$7-$F$7))))</f>
        <v>1.01512759158886</v>
      </c>
      <c r="D300" s="51" t="n">
        <f aca="false">1+IF($G$8=$E$8,$F$8,IF(R300&lt;($F$8-$E$8)/($G$8-$E$8),$E$8+SQRT(R300*($G$8-$E$8)*($F$8-$E$8)),$G$8-SQRT((1-R300)*($G$8-$E$8)*($G$8-$F$8))))</f>
        <v>0.985813237498903</v>
      </c>
      <c r="E300" s="51" t="n">
        <f aca="false">1+IF($G$9=$E$9,$F$9,IF(S300&lt;($F$9-$E$9)/($G$9-$E$9),$E$9+SQRT(S300*($G$9-$E$9)*($F$9-$E$9)),$G$9-SQRT((1-S300)*($G$9-$E$9)*($G$9-$F$9))))</f>
        <v>0.98683899740638</v>
      </c>
      <c r="F300" s="51" t="n">
        <f aca="false">1+IF($G$10=$E$10,$F$10,IF(T300&lt;($F$10-$E$10)/($G$10-$E$10),$E$10+SQRT(T300*($G$10-$E$10)*($F$10-$E$10)),$G$10-SQRT((1-T300)*($G$10-$E$10)*($G$10-$F$10))))</f>
        <v>1.05589865525754</v>
      </c>
      <c r="G300" s="52" t="n">
        <f aca="false">IF($G$11=$E$11,$F$11,IF(U300&lt;($F$11-$E$11)/($G$11-$E$11),$E$11+SQRT(U300*($G$11-$E$11)*($F$11-$E$11)),$G$11-SQRT((1-U300)*($G$11-$E$11)*($G$11-$F$11))))</f>
        <v>0.0976359003399914</v>
      </c>
      <c r="H300" s="53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-2111797310.51508</v>
      </c>
      <c r="I300" s="53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-24722016.8645339</v>
      </c>
      <c r="J300" s="53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246034345.293739</v>
      </c>
      <c r="K300" s="53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569585640.214888</v>
      </c>
      <c r="L300" s="53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692877766.311556</v>
      </c>
      <c r="M300" s="53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874597795.886395</v>
      </c>
      <c r="N300" s="53" t="n">
        <f aca="false">IF(COUNT('Business Case'!B11:G11)=0,"",H300+NPV(G300,I300:M300))</f>
        <v>-473135086.808743</v>
      </c>
      <c r="P300" s="54" t="n">
        <f aca="true">RAND()</f>
        <v>0.049376777488298</v>
      </c>
      <c r="Q300" s="54" t="n">
        <f aca="true">RAND()</f>
        <v>0.653513018083395</v>
      </c>
      <c r="R300" s="54" t="n">
        <f aca="true">RAND()</f>
        <v>0.197321227715818</v>
      </c>
      <c r="S300" s="54" t="n">
        <f aca="true">RAND()</f>
        <v>0.180948230654302</v>
      </c>
      <c r="T300" s="54" t="n">
        <f aca="true">RAND()</f>
        <v>0.584696048868285</v>
      </c>
      <c r="U300" s="54" t="n">
        <f aca="true">RAND()</f>
        <v>0.194356580007601</v>
      </c>
    </row>
    <row r="301" customFormat="false" ht="15" hidden="false" customHeight="false" outlineLevel="0" collapsed="false">
      <c r="A301" s="50" t="n">
        <v>221</v>
      </c>
      <c r="B301" s="51" t="n">
        <f aca="false">1+IF($G$6=$E$6,$F$6,IF(P301&lt;($F$6-$E$6)/($G$6-$E$6),$E$6+SQRT(P301*($G$6-$E$6)*($F$6-$E$6)),$G$6-SQRT((1-P301)*($G$6-$E$6)*($G$6-$F$6))))</f>
        <v>0.972263779531007</v>
      </c>
      <c r="C301" s="51" t="n">
        <f aca="false">1+IF($G$7=$E$7,$F$7,IF(Q301&lt;($F$7-$E$7)/($G$7-$E$7),$E$7+SQRT(Q301*($G$7-$E$7)*($F$7-$E$7)),$G$7-SQRT((1-Q301)*($G$7-$E$7)*($G$7-$F$7))))</f>
        <v>0.961083875897546</v>
      </c>
      <c r="D301" s="51" t="n">
        <f aca="false">1+IF($G$8=$E$8,$F$8,IF(R301&lt;($F$8-$E$8)/($G$8-$E$8),$E$8+SQRT(R301*($G$8-$E$8)*($F$8-$E$8)),$G$8-SQRT((1-R301)*($G$8-$E$8)*($G$8-$F$8))))</f>
        <v>0.973818691699879</v>
      </c>
      <c r="E301" s="51" t="n">
        <f aca="false">1+IF($G$9=$E$9,$F$9,IF(S301&lt;($F$9-$E$9)/($G$9-$E$9),$E$9+SQRT(S301*($G$9-$E$9)*($F$9-$E$9)),$G$9-SQRT((1-S301)*($G$9-$E$9)*($G$9-$F$9))))</f>
        <v>1.03105098784153</v>
      </c>
      <c r="F301" s="51" t="n">
        <f aca="false">1+IF($G$10=$E$10,$F$10,IF(T301&lt;($F$10-$E$10)/($G$10-$E$10),$E$10+SQRT(T301*($G$10-$E$10)*($F$10-$E$10)),$G$10-SQRT((1-T301)*($G$10-$E$10)*($G$10-$F$10))))</f>
        <v>1.08590579329103</v>
      </c>
      <c r="G301" s="52" t="n">
        <f aca="false">IF($G$11=$E$11,$F$11,IF(U301&lt;($F$11-$E$11)/($G$11-$E$11),$E$11+SQRT(U301*($G$11-$E$11)*($F$11-$E$11)),$G$11-SQRT((1-U301)*($G$11-$E$11)*($G$11-$F$11))))</f>
        <v>0.100929196837311</v>
      </c>
      <c r="H301" s="53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-2171811586.58206</v>
      </c>
      <c r="I301" s="53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-17400606.7154916</v>
      </c>
      <c r="J301" s="53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268845514.207102</v>
      </c>
      <c r="K301" s="53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609386924.794246</v>
      </c>
      <c r="L301" s="53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737096096.993721</v>
      </c>
      <c r="M301" s="53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914711989.066078</v>
      </c>
      <c r="N301" s="53" t="n">
        <f aca="false">IF(COUNT('Business Case'!B11:G11)=0,"",H301+NPV(G301,I301:M301))</f>
        <v>-441801942.955391</v>
      </c>
      <c r="P301" s="54" t="n">
        <f aca="true">RAND()</f>
        <v>0.284531526131839</v>
      </c>
      <c r="Q301" s="54" t="n">
        <f aca="true">RAND()</f>
        <v>0.370685929631084</v>
      </c>
      <c r="R301" s="54" t="n">
        <f aca="true">RAND()</f>
        <v>0.0872815498913669</v>
      </c>
      <c r="S301" s="54" t="n">
        <f aca="true">RAND()</f>
        <v>0.683068914824788</v>
      </c>
      <c r="T301" s="54" t="n">
        <f aca="true">RAND()</f>
        <v>0.739650239909018</v>
      </c>
      <c r="U301" s="54" t="n">
        <f aca="true">RAND()</f>
        <v>0.393840777883272</v>
      </c>
    </row>
    <row r="302" customFormat="false" ht="15" hidden="false" customHeight="false" outlineLevel="0" collapsed="false">
      <c r="A302" s="50" t="n">
        <v>222</v>
      </c>
      <c r="B302" s="51" t="n">
        <f aca="false">1+IF($G$6=$E$6,$F$6,IF(P302&lt;($F$6-$E$6)/($G$6-$E$6),$E$6+SQRT(P302*($G$6-$E$6)*($F$6-$E$6)),$G$6-SQRT((1-P302)*($G$6-$E$6)*($G$6-$F$6))))</f>
        <v>0.940199022299714</v>
      </c>
      <c r="C302" s="51" t="n">
        <f aca="false">1+IF($G$7=$E$7,$F$7,IF(Q302&lt;($F$7-$E$7)/($G$7-$E$7),$E$7+SQRT(Q302*($G$7-$E$7)*($F$7-$E$7)),$G$7-SQRT((1-Q302)*($G$7-$E$7)*($G$7-$F$7))))</f>
        <v>1.06792462838964</v>
      </c>
      <c r="D302" s="51" t="n">
        <f aca="false">1+IF($G$8=$E$8,$F$8,IF(R302&lt;($F$8-$E$8)/($G$8-$E$8),$E$8+SQRT(R302*($G$8-$E$8)*($F$8-$E$8)),$G$8-SQRT((1-R302)*($G$8-$E$8)*($G$8-$F$8))))</f>
        <v>0.980656647000293</v>
      </c>
      <c r="E302" s="51" t="n">
        <f aca="false">1+IF($G$9=$E$9,$F$9,IF(S302&lt;($F$9-$E$9)/($G$9-$E$9),$E$9+SQRT(S302*($G$9-$E$9)*($F$9-$E$9)),$G$9-SQRT((1-S302)*($G$9-$E$9)*($G$9-$F$9))))</f>
        <v>1.0007031087948</v>
      </c>
      <c r="F302" s="51" t="n">
        <f aca="false">1+IF($G$10=$E$10,$F$10,IF(T302&lt;($F$10-$E$10)/($G$10-$E$10),$E$10+SQRT(T302*($G$10-$E$10)*($F$10-$E$10)),$G$10-SQRT((1-T302)*($G$10-$E$10)*($G$10-$F$10))))</f>
        <v>1.01276631435134</v>
      </c>
      <c r="G302" s="52" t="n">
        <f aca="false">IF($G$11=$E$11,$F$11,IF(U302&lt;($F$11-$E$11)/($G$11-$E$11),$E$11+SQRT(U302*($G$11-$E$11)*($F$11-$E$11)),$G$11-SQRT((1-U302)*($G$11-$E$11)*($G$11-$F$11))))</f>
        <v>0.102811234967595</v>
      </c>
      <c r="H302" s="53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-2025532628.70268</v>
      </c>
      <c r="I302" s="53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-9345473.70739427</v>
      </c>
      <c r="J302" s="53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276936224.178415</v>
      </c>
      <c r="K302" s="53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613856237.781791</v>
      </c>
      <c r="L302" s="53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743983842.468694</v>
      </c>
      <c r="M302" s="53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934835888.789341</v>
      </c>
      <c r="N302" s="53" t="n">
        <f aca="false">IF(COUNT('Business Case'!B11:G11)=0,"",H302+NPV(G302,I302:M302))</f>
        <v>-272529970.928471</v>
      </c>
      <c r="P302" s="54" t="n">
        <f aca="true">RAND()</f>
        <v>0.0425000522775348</v>
      </c>
      <c r="Q302" s="54" t="n">
        <f aca="true">RAND()</f>
        <v>0.871688254762299</v>
      </c>
      <c r="R302" s="54" t="n">
        <f aca="true">RAND()</f>
        <v>0.144589231584699</v>
      </c>
      <c r="S302" s="54" t="n">
        <f aca="true">RAND()</f>
        <v>0.342675159798829</v>
      </c>
      <c r="T302" s="54" t="n">
        <f aca="true">RAND()</f>
        <v>0.298870939168368</v>
      </c>
      <c r="U302" s="54" t="n">
        <f aca="true">RAND()</f>
        <v>0.5075772611013</v>
      </c>
    </row>
    <row r="303" customFormat="false" ht="15" hidden="false" customHeight="false" outlineLevel="0" collapsed="false">
      <c r="A303" s="50" t="n">
        <v>223</v>
      </c>
      <c r="B303" s="51" t="n">
        <f aca="false">1+IF($G$6=$E$6,$F$6,IF(P303&lt;($F$6-$E$6)/($G$6-$E$6),$E$6+SQRT(P303*($G$6-$E$6)*($F$6-$E$6)),$G$6-SQRT((1-P303)*($G$6-$E$6)*($G$6-$F$6))))</f>
        <v>0.970238392499692</v>
      </c>
      <c r="C303" s="51" t="n">
        <f aca="false">1+IF($G$7=$E$7,$F$7,IF(Q303&lt;($F$7-$E$7)/($G$7-$E$7),$E$7+SQRT(Q303*($G$7-$E$7)*($F$7-$E$7)),$G$7-SQRT((1-Q303)*($G$7-$E$7)*($G$7-$F$7))))</f>
        <v>1.06293064159939</v>
      </c>
      <c r="D303" s="51" t="n">
        <f aca="false">1+IF($G$8=$E$8,$F$8,IF(R303&lt;($F$8-$E$8)/($G$8-$E$8),$E$8+SQRT(R303*($G$8-$E$8)*($F$8-$E$8)),$G$8-SQRT((1-R303)*($G$8-$E$8)*($G$8-$F$8))))</f>
        <v>1.03506933710186</v>
      </c>
      <c r="E303" s="51" t="n">
        <f aca="false">1+IF($G$9=$E$9,$F$9,IF(S303&lt;($F$9-$E$9)/($G$9-$E$9),$E$9+SQRT(S303*($G$9-$E$9)*($F$9-$E$9)),$G$9-SQRT((1-S303)*($G$9-$E$9)*($G$9-$F$9))))</f>
        <v>1.03904857325555</v>
      </c>
      <c r="F303" s="51" t="n">
        <f aca="false">1+IF($G$10=$E$10,$F$10,IF(T303&lt;($F$10-$E$10)/($G$10-$E$10),$E$10+SQRT(T303*($G$10-$E$10)*($F$10-$E$10)),$G$10-SQRT((1-T303)*($G$10-$E$10)*($G$10-$F$10))))</f>
        <v>0.999336253244758</v>
      </c>
      <c r="G303" s="52" t="n">
        <f aca="false">IF($G$11=$E$11,$F$11,IF(U303&lt;($F$11-$E$11)/($G$11-$E$11),$E$11+SQRT(U303*($G$11-$E$11)*($F$11-$E$11)),$G$11-SQRT((1-U303)*($G$11-$E$11)*($G$11-$F$11))))</f>
        <v>0.0913538619675171</v>
      </c>
      <c r="H303" s="53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-1998672506.48952</v>
      </c>
      <c r="I303" s="53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-19660873.6840942</v>
      </c>
      <c r="J303" s="53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261826975.78079</v>
      </c>
      <c r="K303" s="53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593281637.907913</v>
      </c>
      <c r="L303" s="53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722752514.867917</v>
      </c>
      <c r="M303" s="53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918781280.795652</v>
      </c>
      <c r="N303" s="53" t="n">
        <f aca="false">IF(COUNT('Business Case'!B11:G11)=0,"",H303+NPV(G303,I303:M303))</f>
        <v>-237509873.422532</v>
      </c>
      <c r="P303" s="54" t="n">
        <f aca="true">RAND()</f>
        <v>0.262905841765949</v>
      </c>
      <c r="Q303" s="54" t="n">
        <f aca="true">RAND()</f>
        <v>0.855598606242026</v>
      </c>
      <c r="R303" s="54" t="n">
        <f aca="true">RAND()</f>
        <v>0.805888031878235</v>
      </c>
      <c r="S303" s="54" t="n">
        <f aca="true">RAND()</f>
        <v>0.752328238521043</v>
      </c>
      <c r="T303" s="54" t="n">
        <f aca="true">RAND()</f>
        <v>0.194725270738473</v>
      </c>
      <c r="U303" s="54" t="n">
        <f aca="true">RAND()</f>
        <v>0.00610980742363057</v>
      </c>
    </row>
    <row r="304" customFormat="false" ht="15" hidden="false" customHeight="false" outlineLevel="0" collapsed="false">
      <c r="A304" s="50" t="n">
        <v>224</v>
      </c>
      <c r="B304" s="51" t="n">
        <f aca="false">1+IF($G$6=$E$6,$F$6,IF(P304&lt;($F$6-$E$6)/($G$6-$E$6),$E$6+SQRT(P304*($G$6-$E$6)*($F$6-$E$6)),$G$6-SQRT((1-P304)*($G$6-$E$6)*($G$6-$F$6))))</f>
        <v>1.00528210457484</v>
      </c>
      <c r="C304" s="51" t="n">
        <f aca="false">1+IF($G$7=$E$7,$F$7,IF(Q304&lt;($F$7-$E$7)/($G$7-$E$7),$E$7+SQRT(Q304*($G$7-$E$7)*($F$7-$E$7)),$G$7-SQRT((1-Q304)*($G$7-$E$7)*($G$7-$F$7))))</f>
        <v>1.01156804364675</v>
      </c>
      <c r="D304" s="51" t="n">
        <f aca="false">1+IF($G$8=$E$8,$F$8,IF(R304&lt;($F$8-$E$8)/($G$8-$E$8),$E$8+SQRT(R304*($G$8-$E$8)*($F$8-$E$8)),$G$8-SQRT((1-R304)*($G$8-$E$8)*($G$8-$F$8))))</f>
        <v>0.994004649917141</v>
      </c>
      <c r="E304" s="51" t="n">
        <f aca="false">1+IF($G$9=$E$9,$F$9,IF(S304&lt;($F$9-$E$9)/($G$9-$E$9),$E$9+SQRT(S304*($G$9-$E$9)*($F$9-$E$9)),$G$9-SQRT((1-S304)*($G$9-$E$9)*($G$9-$F$9))))</f>
        <v>1.04501307855719</v>
      </c>
      <c r="F304" s="51" t="n">
        <f aca="false">1+IF($G$10=$E$10,$F$10,IF(T304&lt;($F$10-$E$10)/($G$10-$E$10),$E$10+SQRT(T304*($G$10-$E$10)*($F$10-$E$10)),$G$10-SQRT((1-T304)*($G$10-$E$10)*($G$10-$F$10))))</f>
        <v>0.977569342056526</v>
      </c>
      <c r="G304" s="52" t="n">
        <f aca="false">IF($G$11=$E$11,$F$11,IF(U304&lt;($F$11-$E$11)/($G$11-$E$11),$E$11+SQRT(U304*($G$11-$E$11)*($F$11-$E$11)),$G$11-SQRT((1-U304)*($G$11-$E$11)*($G$11-$F$11))))</f>
        <v>0.107714947540541</v>
      </c>
      <c r="H304" s="53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-1955138684.11305</v>
      </c>
      <c r="I304" s="53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19111790.2453731</v>
      </c>
      <c r="J304" s="53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337298053.762506</v>
      </c>
      <c r="K304" s="53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704362784.382464</v>
      </c>
      <c r="L304" s="53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845569325.085025</v>
      </c>
      <c r="M304" s="53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1038863815.83437</v>
      </c>
      <c r="N304" s="53" t="n">
        <f aca="false">IF(COUNT('Business Case'!B11:G11)=0,"",H304+NPV(G304,I304:M304))</f>
        <v>39735076.9220154</v>
      </c>
      <c r="P304" s="54" t="n">
        <f aca="true">RAND()</f>
        <v>0.748889111926654</v>
      </c>
      <c r="Q304" s="54" t="n">
        <f aca="true">RAND()</f>
        <v>0.634982732575465</v>
      </c>
      <c r="R304" s="54" t="n">
        <f aca="true">RAND()</f>
        <v>0.297909109896939</v>
      </c>
      <c r="S304" s="54" t="n">
        <f aca="true">RAND()</f>
        <v>0.798429231349464</v>
      </c>
      <c r="T304" s="54" t="n">
        <f aca="true">RAND()</f>
        <v>0.060805489714379</v>
      </c>
      <c r="U304" s="54" t="n">
        <f aca="true">RAND()</f>
        <v>0.748462476780565</v>
      </c>
    </row>
    <row r="305" customFormat="false" ht="15" hidden="false" customHeight="false" outlineLevel="0" collapsed="false">
      <c r="A305" s="50" t="n">
        <v>225</v>
      </c>
      <c r="B305" s="51" t="n">
        <f aca="false">1+IF($G$6=$E$6,$F$6,IF(P305&lt;($F$6-$E$6)/($G$6-$E$6),$E$6+SQRT(P305*($G$6-$E$6)*($F$6-$E$6)),$G$6-SQRT((1-P305)*($G$6-$E$6)*($G$6-$F$6))))</f>
        <v>1.0131939337786</v>
      </c>
      <c r="C305" s="51" t="n">
        <f aca="false">1+IF($G$7=$E$7,$F$7,IF(Q305&lt;($F$7-$E$7)/($G$7-$E$7),$E$7+SQRT(Q305*($G$7-$E$7)*($F$7-$E$7)),$G$7-SQRT((1-Q305)*($G$7-$E$7)*($G$7-$F$7))))</f>
        <v>0.972275092695202</v>
      </c>
      <c r="D305" s="51" t="n">
        <f aca="false">1+IF($G$8=$E$8,$F$8,IF(R305&lt;($F$8-$E$8)/($G$8-$E$8),$E$8+SQRT(R305*($G$8-$E$8)*($F$8-$E$8)),$G$8-SQRT((1-R305)*($G$8-$E$8)*($G$8-$F$8))))</f>
        <v>0.968129259831989</v>
      </c>
      <c r="E305" s="51" t="n">
        <f aca="false">1+IF($G$9=$E$9,$F$9,IF(S305&lt;($F$9-$E$9)/($G$9-$E$9),$E$9+SQRT(S305*($G$9-$E$9)*($F$9-$E$9)),$G$9-SQRT((1-S305)*($G$9-$E$9)*($G$9-$F$9))))</f>
        <v>0.992224253592958</v>
      </c>
      <c r="F305" s="51" t="n">
        <f aca="false">1+IF($G$10=$E$10,$F$10,IF(T305&lt;($F$10-$E$10)/($G$10-$E$10),$E$10+SQRT(T305*($G$10-$E$10)*($F$10-$E$10)),$G$10-SQRT((1-T305)*($G$10-$E$10)*($G$10-$F$10))))</f>
        <v>0.973754221981857</v>
      </c>
      <c r="G305" s="52" t="n">
        <f aca="false">IF($G$11=$E$11,$F$11,IF(U305&lt;($F$11-$E$11)/($G$11-$E$11),$E$11+SQRT(U305*($G$11-$E$11)*($F$11-$E$11)),$G$11-SQRT((1-U305)*($G$11-$E$11)*($G$11-$F$11))))</f>
        <v>0.101478523907515</v>
      </c>
      <c r="H305" s="53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-1947508443.96371</v>
      </c>
      <c r="I305" s="53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35468871.666511</v>
      </c>
      <c r="J305" s="53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360475205.621891</v>
      </c>
      <c r="K305" s="53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734169250.676364</v>
      </c>
      <c r="L305" s="53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876549862.814667</v>
      </c>
      <c r="M305" s="53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1063798283.99047</v>
      </c>
      <c r="N305" s="53" t="n">
        <f aca="false">IF(COUNT('Business Case'!B11:G11)=0,"",H305+NPV(G305,I305:M305))</f>
        <v>182781829.956547</v>
      </c>
      <c r="P305" s="54" t="n">
        <f aca="true">RAND()</f>
        <v>0.850298919527941</v>
      </c>
      <c r="Q305" s="54" t="n">
        <f aca="true">RAND()</f>
        <v>0.423981536616294</v>
      </c>
      <c r="R305" s="54" t="n">
        <f aca="true">RAND()</f>
        <v>0.0505646249316579</v>
      </c>
      <c r="S305" s="54" t="n">
        <f aca="true">RAND()</f>
        <v>0.237718345530986</v>
      </c>
      <c r="T305" s="54" t="n">
        <f aca="true">RAND()</f>
        <v>0.0451410449570667</v>
      </c>
      <c r="U305" s="54" t="n">
        <f aca="true">RAND()</f>
        <v>0.428258205592482</v>
      </c>
    </row>
    <row r="306" customFormat="false" ht="15" hidden="false" customHeight="false" outlineLevel="0" collapsed="false">
      <c r="A306" s="50" t="n">
        <v>226</v>
      </c>
      <c r="B306" s="51" t="n">
        <f aca="false">1+IF($G$6=$E$6,$F$6,IF(P306&lt;($F$6-$E$6)/($G$6-$E$6),$E$6+SQRT(P306*($G$6-$E$6)*($F$6-$E$6)),$G$6-SQRT((1-P306)*($G$6-$E$6)*($G$6-$F$6))))</f>
        <v>0.979302222754908</v>
      </c>
      <c r="C306" s="51" t="n">
        <f aca="false">1+IF($G$7=$E$7,$F$7,IF(Q306&lt;($F$7-$E$7)/($G$7-$E$7),$E$7+SQRT(Q306*($G$7-$E$7)*($F$7-$E$7)),$G$7-SQRT((1-Q306)*($G$7-$E$7)*($G$7-$F$7))))</f>
        <v>1.00341738001573</v>
      </c>
      <c r="D306" s="51" t="n">
        <f aca="false">1+IF($G$8=$E$8,$F$8,IF(R306&lt;($F$8-$E$8)/($G$8-$E$8),$E$8+SQRT(R306*($G$8-$E$8)*($F$8-$E$8)),$G$8-SQRT((1-R306)*($G$8-$E$8)*($G$8-$F$8))))</f>
        <v>0.970870015261462</v>
      </c>
      <c r="E306" s="51" t="n">
        <f aca="false">1+IF($G$9=$E$9,$F$9,IF(S306&lt;($F$9-$E$9)/($G$9-$E$9),$E$9+SQRT(S306*($G$9-$E$9)*($F$9-$E$9)),$G$9-SQRT((1-S306)*($G$9-$E$9)*($G$9-$F$9))))</f>
        <v>0.986906652256003</v>
      </c>
      <c r="F306" s="51" t="n">
        <f aca="false">1+IF($G$10=$E$10,$F$10,IF(T306&lt;($F$10-$E$10)/($G$10-$E$10),$E$10+SQRT(T306*($G$10-$E$10)*($F$10-$E$10)),$G$10-SQRT((1-T306)*($G$10-$E$10)*($G$10-$F$10))))</f>
        <v>0.986417417844912</v>
      </c>
      <c r="G306" s="52" t="n">
        <f aca="false">IF($G$11=$E$11,$F$11,IF(U306&lt;($F$11-$E$11)/($G$11-$E$11),$E$11+SQRT(U306*($G$11-$E$11)*($F$11-$E$11)),$G$11-SQRT((1-U306)*($G$11-$E$11)*($G$11-$F$11))))</f>
        <v>0.0979607567272195</v>
      </c>
      <c r="H306" s="53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-1972834835.68982</v>
      </c>
      <c r="I306" s="53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16233547.8915484</v>
      </c>
      <c r="J306" s="53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322387480.970312</v>
      </c>
      <c r="K306" s="53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677862284.94132</v>
      </c>
      <c r="L306" s="53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813873940.935522</v>
      </c>
      <c r="M306" s="53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1000655838.25923</v>
      </c>
      <c r="N306" s="53" t="n">
        <f aca="false">IF(COUNT('Business Case'!B11:G11)=0,"",H306+NPV(G306,I306:M306))</f>
        <v>8656004.00469041</v>
      </c>
      <c r="P306" s="54" t="n">
        <f aca="true">RAND()</f>
        <v>0.366328502465912</v>
      </c>
      <c r="Q306" s="54" t="n">
        <f aca="true">RAND()</f>
        <v>0.590734009877074</v>
      </c>
      <c r="R306" s="54" t="n">
        <f aca="true">RAND()</f>
        <v>0.0670088518482535</v>
      </c>
      <c r="S306" s="54" t="n">
        <f aca="true">RAND()</f>
        <v>0.181613464099407</v>
      </c>
      <c r="T306" s="54" t="n">
        <f aca="true">RAND()</f>
        <v>0.106098265799271</v>
      </c>
      <c r="U306" s="54" t="n">
        <f aca="true">RAND()</f>
        <v>0.211245492233232</v>
      </c>
    </row>
    <row r="307" customFormat="false" ht="15" hidden="false" customHeight="false" outlineLevel="0" collapsed="false">
      <c r="A307" s="50" t="n">
        <v>227</v>
      </c>
      <c r="B307" s="51" t="n">
        <f aca="false">1+IF($G$6=$E$6,$F$6,IF(P307&lt;($F$6-$E$6)/($G$6-$E$6),$E$6+SQRT(P307*($G$6-$E$6)*($F$6-$E$6)),$G$6-SQRT((1-P307)*($G$6-$E$6)*($G$6-$F$6))))</f>
        <v>0.936043114974478</v>
      </c>
      <c r="C307" s="51" t="n">
        <f aca="false">1+IF($G$7=$E$7,$F$7,IF(Q307&lt;($F$7-$E$7)/($G$7-$E$7),$E$7+SQRT(Q307*($G$7-$E$7)*($F$7-$E$7)),$G$7-SQRT((1-Q307)*($G$7-$E$7)*($G$7-$F$7))))</f>
        <v>1.03058273320166</v>
      </c>
      <c r="D307" s="51" t="n">
        <f aca="false">1+IF($G$8=$E$8,$F$8,IF(R307&lt;($F$8-$E$8)/($G$8-$E$8),$E$8+SQRT(R307*($G$8-$E$8)*($F$8-$E$8)),$G$8-SQRT((1-R307)*($G$8-$E$8)*($G$8-$F$8))))</f>
        <v>1.02028794332112</v>
      </c>
      <c r="E307" s="51" t="n">
        <f aca="false">1+IF($G$9=$E$9,$F$9,IF(S307&lt;($F$9-$E$9)/($G$9-$E$9),$E$9+SQRT(S307*($G$9-$E$9)*($F$9-$E$9)),$G$9-SQRT((1-S307)*($G$9-$E$9)*($G$9-$F$9))))</f>
        <v>1.00980106366597</v>
      </c>
      <c r="F307" s="51" t="n">
        <f aca="false">1+IF($G$10=$E$10,$F$10,IF(T307&lt;($F$10-$E$10)/($G$10-$E$10),$E$10+SQRT(T307*($G$10-$E$10)*($F$10-$E$10)),$G$10-SQRT((1-T307)*($G$10-$E$10)*($G$10-$F$10))))</f>
        <v>1.00284107735889</v>
      </c>
      <c r="G307" s="52" t="n">
        <f aca="false">IF($G$11=$E$11,$F$11,IF(U307&lt;($F$11-$E$11)/($G$11-$E$11),$E$11+SQRT(U307*($G$11-$E$11)*($F$11-$E$11)),$G$11-SQRT((1-U307)*($G$11-$E$11)*($G$11-$F$11))))</f>
        <v>0.103112600962523</v>
      </c>
      <c r="H307" s="53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-2005682154.71778</v>
      </c>
      <c r="I307" s="53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-42031566.8858289</v>
      </c>
      <c r="J307" s="53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209823171.37294</v>
      </c>
      <c r="K307" s="53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511819963.499653</v>
      </c>
      <c r="L307" s="53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629110533.689514</v>
      </c>
      <c r="M307" s="53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812474982.926009</v>
      </c>
      <c r="N307" s="53" t="n">
        <f aca="false">IF(COUNT('Business Case'!B11:G11)=0,"",H307+NPV(G307,I307:M307))</f>
        <v>-567795087.027968</v>
      </c>
      <c r="P307" s="54" t="n">
        <f aca="true">RAND()</f>
        <v>0.0268105768837833</v>
      </c>
      <c r="Q307" s="54" t="n">
        <f aca="true">RAND()</f>
        <v>0.728371740769793</v>
      </c>
      <c r="R307" s="54" t="n">
        <f aca="true">RAND()</f>
        <v>0.657160604536314</v>
      </c>
      <c r="S307" s="54" t="n">
        <f aca="true">RAND()</f>
        <v>0.457610125613985</v>
      </c>
      <c r="T307" s="54" t="n">
        <f aca="true">RAND()</f>
        <v>0.222567184459933</v>
      </c>
      <c r="U307" s="54" t="n">
        <f aca="true">RAND()</f>
        <v>0.524692922915008</v>
      </c>
    </row>
    <row r="308" customFormat="false" ht="15" hidden="false" customHeight="false" outlineLevel="0" collapsed="false">
      <c r="A308" s="50" t="n">
        <v>228</v>
      </c>
      <c r="B308" s="51" t="n">
        <f aca="false">1+IF($G$6=$E$6,$F$6,IF(P308&lt;($F$6-$E$6)/($G$6-$E$6),$E$6+SQRT(P308*($G$6-$E$6)*($F$6-$E$6)),$G$6-SQRT((1-P308)*($G$6-$E$6)*($G$6-$F$6))))</f>
        <v>1.02089838246723</v>
      </c>
      <c r="C308" s="51" t="n">
        <f aca="false">1+IF($G$7=$E$7,$F$7,IF(Q308&lt;($F$7-$E$7)/($G$7-$E$7),$E$7+SQRT(Q308*($G$7-$E$7)*($F$7-$E$7)),$G$7-SQRT((1-Q308)*($G$7-$E$7)*($G$7-$F$7))))</f>
        <v>1.12471363220875</v>
      </c>
      <c r="D308" s="51" t="n">
        <f aca="false">1+IF($G$8=$E$8,$F$8,IF(R308&lt;($F$8-$E$8)/($G$8-$E$8),$E$8+SQRT(R308*($G$8-$E$8)*($F$8-$E$8)),$G$8-SQRT((1-R308)*($G$8-$E$8)*($G$8-$F$8))))</f>
        <v>0.989849488343742</v>
      </c>
      <c r="E308" s="51" t="n">
        <f aca="false">1+IF($G$9=$E$9,$F$9,IF(S308&lt;($F$9-$E$9)/($G$9-$E$9),$E$9+SQRT(S308*($G$9-$E$9)*($F$9-$E$9)),$G$9-SQRT((1-S308)*($G$9-$E$9)*($G$9-$F$9))))</f>
        <v>1.02473395399572</v>
      </c>
      <c r="F308" s="51" t="n">
        <f aca="false">1+IF($G$10=$E$10,$F$10,IF(T308&lt;($F$10-$E$10)/($G$10-$E$10),$E$10+SQRT(T308*($G$10-$E$10)*($F$10-$E$10)),$G$10-SQRT((1-T308)*($G$10-$E$10)*($G$10-$F$10))))</f>
        <v>1.00861443940651</v>
      </c>
      <c r="G308" s="52" t="n">
        <f aca="false">IF($G$11=$E$11,$F$11,IF(U308&lt;($F$11-$E$11)/($G$11-$E$11),$E$11+SQRT(U308*($G$11-$E$11)*($F$11-$E$11)),$G$11-SQRT((1-U308)*($G$11-$E$11)*($G$11-$F$11))))</f>
        <v>0.104031978578867</v>
      </c>
      <c r="H308" s="53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-2017228878.81302</v>
      </c>
      <c r="I308" s="53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64452122.4514563</v>
      </c>
      <c r="J308" s="53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435006495.218057</v>
      </c>
      <c r="K308" s="53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855991589.954983</v>
      </c>
      <c r="L308" s="53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1019192139.62138</v>
      </c>
      <c r="M308" s="53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1237445479.38116</v>
      </c>
      <c r="N308" s="53" t="n">
        <f aca="false">IF(COUNT('Business Case'!B11:G11)=0,"",H308+NPV(G308,I308:M308))</f>
        <v>474573571.908559</v>
      </c>
      <c r="P308" s="54" t="n">
        <f aca="true">RAND()</f>
        <v>0.923985043256591</v>
      </c>
      <c r="Q308" s="54" t="n">
        <f aca="true">RAND()</f>
        <v>0.987820944836682</v>
      </c>
      <c r="R308" s="54" t="n">
        <f aca="true">RAND()</f>
        <v>0.244304880193547</v>
      </c>
      <c r="S308" s="54" t="n">
        <f aca="true">RAND()</f>
        <v>0.622334821258805</v>
      </c>
      <c r="T308" s="54" t="n">
        <f aca="true">RAND()</f>
        <v>0.267431343926301</v>
      </c>
      <c r="U308" s="54" t="n">
        <f aca="true">RAND()</f>
        <v>0.575037153157061</v>
      </c>
    </row>
    <row r="309" customFormat="false" ht="15" hidden="false" customHeight="false" outlineLevel="0" collapsed="false">
      <c r="A309" s="50" t="n">
        <v>229</v>
      </c>
      <c r="B309" s="51" t="n">
        <f aca="false">1+IF($G$6=$E$6,$F$6,IF(P309&lt;($F$6-$E$6)/($G$6-$E$6),$E$6+SQRT(P309*($G$6-$E$6)*($F$6-$E$6)),$G$6-SQRT((1-P309)*($G$6-$E$6)*($G$6-$F$6))))</f>
        <v>1.01034692118665</v>
      </c>
      <c r="C309" s="51" t="n">
        <f aca="false">1+IF($G$7=$E$7,$F$7,IF(Q309&lt;($F$7-$E$7)/($G$7-$E$7),$E$7+SQRT(Q309*($G$7-$E$7)*($F$7-$E$7)),$G$7-SQRT((1-Q309)*($G$7-$E$7)*($G$7-$F$7))))</f>
        <v>1.04686537703679</v>
      </c>
      <c r="D309" s="51" t="n">
        <f aca="false">1+IF($G$8=$E$8,$F$8,IF(R309&lt;($F$8-$E$8)/($G$8-$E$8),$E$8+SQRT(R309*($G$8-$E$8)*($F$8-$E$8)),$G$8-SQRT((1-R309)*($G$8-$E$8)*($G$8-$F$8))))</f>
        <v>0.970035445943888</v>
      </c>
      <c r="E309" s="51" t="n">
        <f aca="false">1+IF($G$9=$E$9,$F$9,IF(S309&lt;($F$9-$E$9)/($G$9-$E$9),$E$9+SQRT(S309*($G$9-$E$9)*($F$9-$E$9)),$G$9-SQRT((1-S309)*($G$9-$E$9)*($G$9-$F$9))))</f>
        <v>0.978980451697246</v>
      </c>
      <c r="F309" s="51" t="n">
        <f aca="false">1+IF($G$10=$E$10,$F$10,IF(T309&lt;($F$10-$E$10)/($G$10-$E$10),$E$10+SQRT(T309*($G$10-$E$10)*($F$10-$E$10)),$G$10-SQRT((1-T309)*($G$10-$E$10)*($G$10-$F$10))))</f>
        <v>0.96134638672172</v>
      </c>
      <c r="G309" s="52" t="n">
        <f aca="false">IF($G$11=$E$11,$F$11,IF(U309&lt;($F$11-$E$11)/($G$11-$E$11),$E$11+SQRT(U309*($G$11-$E$11)*($F$11-$E$11)),$G$11-SQRT((1-U309)*($G$11-$E$11)*($G$11-$F$11))))</f>
        <v>0.0996315354437398</v>
      </c>
      <c r="H309" s="53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-1922692773.44344</v>
      </c>
      <c r="I309" s="53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56300507.3878055</v>
      </c>
      <c r="J309" s="53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402777697.07591</v>
      </c>
      <c r="K309" s="53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797322206.100101</v>
      </c>
      <c r="L309" s="53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949368618.260655</v>
      </c>
      <c r="M309" s="53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1150415704.04885</v>
      </c>
      <c r="N309" s="53" t="n">
        <f aca="false">IF(COUNT('Business Case'!B11:G11)=0,"",H309+NPV(G309,I309:M309))</f>
        <v>426062551.87804</v>
      </c>
      <c r="P309" s="54" t="n">
        <f aca="true">RAND()</f>
        <v>0.816811441018564</v>
      </c>
      <c r="Q309" s="54" t="n">
        <f aca="true">RAND()</f>
        <v>0.797395229452107</v>
      </c>
      <c r="R309" s="54" t="n">
        <f aca="true">RAND()</f>
        <v>0.0617567837185324</v>
      </c>
      <c r="S309" s="54" t="n">
        <f aca="true">RAND()</f>
        <v>0.11198221074352</v>
      </c>
      <c r="T309" s="54" t="n">
        <f aca="true">RAND()</f>
        <v>0.0102992393311049</v>
      </c>
      <c r="U309" s="54" t="n">
        <f aca="true">RAND()</f>
        <v>0.309221583346717</v>
      </c>
    </row>
    <row r="310" customFormat="false" ht="15" hidden="false" customHeight="false" outlineLevel="0" collapsed="false">
      <c r="A310" s="50" t="n">
        <v>230</v>
      </c>
      <c r="B310" s="51" t="n">
        <f aca="false">1+IF($G$6=$E$6,$F$6,IF(P310&lt;($F$6-$E$6)/($G$6-$E$6),$E$6+SQRT(P310*($G$6-$E$6)*($F$6-$E$6)),$G$6-SQRT((1-P310)*($G$6-$E$6)*($G$6-$F$6))))</f>
        <v>0.974279412684513</v>
      </c>
      <c r="C310" s="51" t="n">
        <f aca="false">1+IF($G$7=$E$7,$F$7,IF(Q310&lt;($F$7-$E$7)/($G$7-$E$7),$E$7+SQRT(Q310*($G$7-$E$7)*($F$7-$E$7)),$G$7-SQRT((1-Q310)*($G$7-$E$7)*($G$7-$F$7))))</f>
        <v>0.862673137077049</v>
      </c>
      <c r="D310" s="51" t="n">
        <f aca="false">1+IF($G$8=$E$8,$F$8,IF(R310&lt;($F$8-$E$8)/($G$8-$E$8),$E$8+SQRT(R310*($G$8-$E$8)*($F$8-$E$8)),$G$8-SQRT((1-R310)*($G$8-$E$8)*($G$8-$F$8))))</f>
        <v>0.986543987321852</v>
      </c>
      <c r="E310" s="51" t="n">
        <f aca="false">1+IF($G$9=$E$9,$F$9,IF(S310&lt;($F$9-$E$9)/($G$9-$E$9),$E$9+SQRT(S310*($G$9-$E$9)*($F$9-$E$9)),$G$9-SQRT((1-S310)*($G$9-$E$9)*($G$9-$F$9))))</f>
        <v>1.0936263309833</v>
      </c>
      <c r="F310" s="51" t="n">
        <f aca="false">1+IF($G$10=$E$10,$F$10,IF(T310&lt;($F$10-$E$10)/($G$10-$E$10),$E$10+SQRT(T310*($G$10-$E$10)*($F$10-$E$10)),$G$10-SQRT((1-T310)*($G$10-$E$10)*($G$10-$F$10))))</f>
        <v>0.963386178170743</v>
      </c>
      <c r="G310" s="52" t="n">
        <f aca="false">IF($G$11=$E$11,$F$11,IF(U310&lt;($F$11-$E$11)/($G$11-$E$11),$E$11+SQRT(U310*($G$11-$E$11)*($F$11-$E$11)),$G$11-SQRT((1-U310)*($G$11-$E$11)*($G$11-$F$11))))</f>
        <v>0.0992334773044431</v>
      </c>
      <c r="H310" s="53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-1926772356.34149</v>
      </c>
      <c r="I310" s="53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-42682735.0864452</v>
      </c>
      <c r="J310" s="53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210057537.582804</v>
      </c>
      <c r="K310" s="53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510967119.160589</v>
      </c>
      <c r="L310" s="53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624261027.165535</v>
      </c>
      <c r="M310" s="53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784020354.632446</v>
      </c>
      <c r="N310" s="53" t="n">
        <f aca="false">IF(COUNT('Business Case'!B11:G11)=0,"",H310+NPV(G310,I310:M310))</f>
        <v>-490973721.445499</v>
      </c>
      <c r="P310" s="54" t="n">
        <f aca="true">RAND()</f>
        <v>0.306901525143293</v>
      </c>
      <c r="Q310" s="54" t="n">
        <f aca="true">RAND()</f>
        <v>0.0561131730154075</v>
      </c>
      <c r="R310" s="54" t="n">
        <f aca="true">RAND()</f>
        <v>0.205455847596874</v>
      </c>
      <c r="S310" s="54" t="n">
        <f aca="true">RAND()</f>
        <v>0.997291756217706</v>
      </c>
      <c r="T310" s="54" t="n">
        <f aca="true">RAND()</f>
        <v>0.0143351812815093</v>
      </c>
      <c r="U310" s="54" t="n">
        <f aca="true">RAND()</f>
        <v>0.284190343772216</v>
      </c>
    </row>
    <row r="311" customFormat="false" ht="15" hidden="false" customHeight="false" outlineLevel="0" collapsed="false">
      <c r="A311" s="50" t="n">
        <v>231</v>
      </c>
      <c r="B311" s="51" t="n">
        <f aca="false">1+IF($G$6=$E$6,$F$6,IF(P311&lt;($F$6-$E$6)/($G$6-$E$6),$E$6+SQRT(P311*($G$6-$E$6)*($F$6-$E$6)),$G$6-SQRT((1-P311)*($G$6-$E$6)*($G$6-$F$6))))</f>
        <v>0.988506142094366</v>
      </c>
      <c r="C311" s="51" t="n">
        <f aca="false">1+IF($G$7=$E$7,$F$7,IF(Q311&lt;($F$7-$E$7)/($G$7-$E$7),$E$7+SQRT(Q311*($G$7-$E$7)*($F$7-$E$7)),$G$7-SQRT((1-Q311)*($G$7-$E$7)*($G$7-$F$7))))</f>
        <v>1.00407611872468</v>
      </c>
      <c r="D311" s="51" t="n">
        <f aca="false">1+IF($G$8=$E$8,$F$8,IF(R311&lt;($F$8-$E$8)/($G$8-$E$8),$E$8+SQRT(R311*($G$8-$E$8)*($F$8-$E$8)),$G$8-SQRT((1-R311)*($G$8-$E$8)*($G$8-$F$8))))</f>
        <v>1.03602496736431</v>
      </c>
      <c r="E311" s="51" t="n">
        <f aca="false">1+IF($G$9=$E$9,$F$9,IF(S311&lt;($F$9-$E$9)/($G$9-$E$9),$E$9+SQRT(S311*($G$9-$E$9)*($F$9-$E$9)),$G$9-SQRT((1-S311)*($G$9-$E$9)*($G$9-$F$9))))</f>
        <v>0.997008184575955</v>
      </c>
      <c r="F311" s="51" t="n">
        <f aca="false">1+IF($G$10=$E$10,$F$10,IF(T311&lt;($F$10-$E$10)/($G$10-$E$10),$E$10+SQRT(T311*($G$10-$E$10)*($F$10-$E$10)),$G$10-SQRT((1-T311)*($G$10-$E$10)*($G$10-$F$10))))</f>
        <v>1.09958930545094</v>
      </c>
      <c r="G311" s="52" t="n">
        <f aca="false">IF($G$11=$E$11,$F$11,IF(U311&lt;($F$11-$E$11)/($G$11-$E$11),$E$11+SQRT(U311*($G$11-$E$11)*($F$11-$E$11)),$G$11-SQRT((1-U311)*($G$11-$E$11)*($G$11-$F$11))))</f>
        <v>0.10122961934276</v>
      </c>
      <c r="H311" s="53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-2199178610.90187</v>
      </c>
      <c r="I311" s="53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-22752285.7008774</v>
      </c>
      <c r="J311" s="53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257681958.669822</v>
      </c>
      <c r="K311" s="53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593095668.313068</v>
      </c>
      <c r="L311" s="53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720875773.556488</v>
      </c>
      <c r="M311" s="53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909536904.382356</v>
      </c>
      <c r="N311" s="53" t="n">
        <f aca="false">IF(COUNT('Business Case'!B11:G11)=0,"",H311+NPV(G311,I311:M311))</f>
        <v>-511466498.463674</v>
      </c>
      <c r="P311" s="54" t="n">
        <f aca="true">RAND()</f>
        <v>0.488863698401402</v>
      </c>
      <c r="Q311" s="54" t="n">
        <f aca="true">RAND()</f>
        <v>0.59440420711519</v>
      </c>
      <c r="R311" s="54" t="n">
        <f aca="true">RAND()</f>
        <v>0.814057356220175</v>
      </c>
      <c r="S311" s="54" t="n">
        <f aca="true">RAND()</f>
        <v>0.294635922283606</v>
      </c>
      <c r="T311" s="54" t="n">
        <f aca="true">RAND()</f>
        <v>0.798353848403491</v>
      </c>
      <c r="U311" s="54" t="n">
        <f aca="true">RAND()</f>
        <v>0.412788016637163</v>
      </c>
    </row>
    <row r="312" customFormat="false" ht="15" hidden="false" customHeight="false" outlineLevel="0" collapsed="false">
      <c r="A312" s="50" t="n">
        <v>232</v>
      </c>
      <c r="B312" s="51" t="n">
        <f aca="false">1+IF($G$6=$E$6,$F$6,IF(P312&lt;($F$6-$E$6)/($G$6-$E$6),$E$6+SQRT(P312*($G$6-$E$6)*($F$6-$E$6)),$G$6-SQRT((1-P312)*($G$6-$E$6)*($G$6-$F$6))))</f>
        <v>0.968733312885003</v>
      </c>
      <c r="C312" s="51" t="n">
        <f aca="false">1+IF($G$7=$E$7,$F$7,IF(Q312&lt;($F$7-$E$7)/($G$7-$E$7),$E$7+SQRT(Q312*($G$7-$E$7)*($F$7-$E$7)),$G$7-SQRT((1-Q312)*($G$7-$E$7)*($G$7-$F$7))))</f>
        <v>0.955911898877088</v>
      </c>
      <c r="D312" s="51" t="n">
        <f aca="false">1+IF($G$8=$E$8,$F$8,IF(R312&lt;($F$8-$E$8)/($G$8-$E$8),$E$8+SQRT(R312*($G$8-$E$8)*($F$8-$E$8)),$G$8-SQRT((1-R312)*($G$8-$E$8)*($G$8-$F$8))))</f>
        <v>0.996102629682159</v>
      </c>
      <c r="E312" s="51" t="n">
        <f aca="false">1+IF($G$9=$E$9,$F$9,IF(S312&lt;($F$9-$E$9)/($G$9-$E$9),$E$9+SQRT(S312*($G$9-$E$9)*($F$9-$E$9)),$G$9-SQRT((1-S312)*($G$9-$E$9)*($G$9-$F$9))))</f>
        <v>1.00632676597704</v>
      </c>
      <c r="F312" s="51" t="n">
        <f aca="false">1+IF($G$10=$E$10,$F$10,IF(T312&lt;($F$10-$E$10)/($G$10-$E$10),$E$10+SQRT(T312*($G$10-$E$10)*($F$10-$E$10)),$G$10-SQRT((1-T312)*($G$10-$E$10)*($G$10-$F$10))))</f>
        <v>1.00223985258442</v>
      </c>
      <c r="G312" s="52" t="n">
        <f aca="false">IF($G$11=$E$11,$F$11,IF(U312&lt;($F$11-$E$11)/($G$11-$E$11),$E$11+SQRT(U312*($G$11-$E$11)*($F$11-$E$11)),$G$11-SQRT((1-U312)*($G$11-$E$11)*($G$11-$F$11))))</f>
        <v>0.0982474339111917</v>
      </c>
      <c r="H312" s="53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-2004479705.16883</v>
      </c>
      <c r="I312" s="53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-20291874.9762136</v>
      </c>
      <c r="J312" s="53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250744970.06837</v>
      </c>
      <c r="K312" s="53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571893807.742175</v>
      </c>
      <c r="L312" s="53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694242801.85065</v>
      </c>
      <c r="M312" s="53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870261386.865525</v>
      </c>
      <c r="N312" s="53" t="n">
        <f aca="false">IF(COUNT('Business Case'!B11:G11)=0,"",H312+NPV(G312,I312:M312))</f>
        <v>-361434265.751891</v>
      </c>
      <c r="P312" s="54" t="n">
        <f aca="true">RAND()</f>
        <v>0.247389144244544</v>
      </c>
      <c r="Q312" s="54" t="n">
        <f aca="true">RAND()</f>
        <v>0.347264574449418</v>
      </c>
      <c r="R312" s="54" t="n">
        <f aca="true">RAND()</f>
        <v>0.326992686709268</v>
      </c>
      <c r="S312" s="54" t="n">
        <f aca="true">RAND()</f>
        <v>0.41502168184533</v>
      </c>
      <c r="T312" s="54" t="n">
        <f aca="true">RAND()</f>
        <v>0.217818481883334</v>
      </c>
      <c r="U312" s="54" t="n">
        <f aca="true">RAND()</f>
        <v>0.226733887064913</v>
      </c>
    </row>
    <row r="313" customFormat="false" ht="15" hidden="false" customHeight="false" outlineLevel="0" collapsed="false">
      <c r="A313" s="50" t="n">
        <v>233</v>
      </c>
      <c r="B313" s="51" t="n">
        <f aca="false">1+IF($G$6=$E$6,$F$6,IF(P313&lt;($F$6-$E$6)/($G$6-$E$6),$E$6+SQRT(P313*($G$6-$E$6)*($F$6-$E$6)),$G$6-SQRT((1-P313)*($G$6-$E$6)*($G$6-$F$6))))</f>
        <v>0.953936395687982</v>
      </c>
      <c r="C313" s="51" t="n">
        <f aca="false">1+IF($G$7=$E$7,$F$7,IF(Q313&lt;($F$7-$E$7)/($G$7-$E$7),$E$7+SQRT(Q313*($G$7-$E$7)*($F$7-$E$7)),$G$7-SQRT((1-Q313)*($G$7-$E$7)*($G$7-$F$7))))</f>
        <v>0.844520835353374</v>
      </c>
      <c r="D313" s="51" t="n">
        <f aca="false">1+IF($G$8=$E$8,$F$8,IF(R313&lt;($F$8-$E$8)/($G$8-$E$8),$E$8+SQRT(R313*($G$8-$E$8)*($F$8-$E$8)),$G$8-SQRT((1-R313)*($G$8-$E$8)*($G$8-$F$8))))</f>
        <v>1.04378745046752</v>
      </c>
      <c r="E313" s="51" t="n">
        <f aca="false">1+IF($G$9=$E$9,$F$9,IF(S313&lt;($F$9-$E$9)/($G$9-$E$9),$E$9+SQRT(S313*($G$9-$E$9)*($F$9-$E$9)),$G$9-SQRT((1-S313)*($G$9-$E$9)*($G$9-$F$9))))</f>
        <v>1.04400469833411</v>
      </c>
      <c r="F313" s="51" t="n">
        <f aca="false">1+IF($G$10=$E$10,$F$10,IF(T313&lt;($F$10-$E$10)/($G$10-$E$10),$E$10+SQRT(T313*($G$10-$E$10)*($F$10-$E$10)),$G$10-SQRT((1-T313)*($G$10-$E$10)*($G$10-$F$10))))</f>
        <v>0.999350745207832</v>
      </c>
      <c r="G313" s="52" t="n">
        <f aca="false">IF($G$11=$E$11,$F$11,IF(U313&lt;($F$11-$E$11)/($G$11-$E$11),$E$11+SQRT(U313*($G$11-$E$11)*($F$11-$E$11)),$G$11-SQRT((1-U313)*($G$11-$E$11)*($G$11-$F$11))))</f>
        <v>0.114909651965352</v>
      </c>
      <c r="H313" s="53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-1998701490.41566</v>
      </c>
      <c r="I313" s="53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-81553349.6834683</v>
      </c>
      <c r="J313" s="53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127049140.602616</v>
      </c>
      <c r="K313" s="53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385619168.149091</v>
      </c>
      <c r="L313" s="53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482995529.808225</v>
      </c>
      <c r="M313" s="53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636127620.075643</v>
      </c>
      <c r="N313" s="53" t="n">
        <f aca="false">IF(COUNT('Business Case'!B11:G11)=0,"",H313+NPV(G313,I313:M313))</f>
        <v>-1009518555.27602</v>
      </c>
      <c r="P313" s="54" t="n">
        <f aca="true">RAND()</f>
        <v>0.119966557530342</v>
      </c>
      <c r="Q313" s="54" t="n">
        <f aca="true">RAND()</f>
        <v>0.0283157825794611</v>
      </c>
      <c r="R313" s="54" t="n">
        <f aca="true">RAND()</f>
        <v>0.873908774649744</v>
      </c>
      <c r="S313" s="54" t="n">
        <f aca="true">RAND()</f>
        <v>0.790968412756367</v>
      </c>
      <c r="T313" s="54" t="n">
        <f aca="true">RAND()</f>
        <v>0.194839684205464</v>
      </c>
      <c r="U313" s="54" t="n">
        <f aca="true">RAND()</f>
        <v>0.956813928143593</v>
      </c>
    </row>
    <row r="314" customFormat="false" ht="15" hidden="false" customHeight="false" outlineLevel="0" collapsed="false">
      <c r="A314" s="50" t="n">
        <v>234</v>
      </c>
      <c r="B314" s="51" t="n">
        <f aca="false">1+IF($G$6=$E$6,$F$6,IF(P314&lt;($F$6-$E$6)/($G$6-$E$6),$E$6+SQRT(P314*($G$6-$E$6)*($F$6-$E$6)),$G$6-SQRT((1-P314)*($G$6-$E$6)*($G$6-$F$6))))</f>
        <v>0.986952086286788</v>
      </c>
      <c r="C314" s="51" t="n">
        <f aca="false">1+IF($G$7=$E$7,$F$7,IF(Q314&lt;($F$7-$E$7)/($G$7-$E$7),$E$7+SQRT(Q314*($G$7-$E$7)*($F$7-$E$7)),$G$7-SQRT((1-Q314)*($G$7-$E$7)*($G$7-$F$7))))</f>
        <v>1.00792236463925</v>
      </c>
      <c r="D314" s="51" t="n">
        <f aca="false">1+IF($G$8=$E$8,$F$8,IF(R314&lt;($F$8-$E$8)/($G$8-$E$8),$E$8+SQRT(R314*($G$8-$E$8)*($F$8-$E$8)),$G$8-SQRT((1-R314)*($G$8-$E$8)*($G$8-$F$8))))</f>
        <v>1.03724777938196</v>
      </c>
      <c r="E314" s="51" t="n">
        <f aca="false">1+IF($G$9=$E$9,$F$9,IF(S314&lt;($F$9-$E$9)/($G$9-$E$9),$E$9+SQRT(S314*($G$9-$E$9)*($F$9-$E$9)),$G$9-SQRT((1-S314)*($G$9-$E$9)*($G$9-$F$9))))</f>
        <v>1.00361051658273</v>
      </c>
      <c r="F314" s="51" t="n">
        <f aca="false">1+IF($G$10=$E$10,$F$10,IF(T314&lt;($F$10-$E$10)/($G$10-$E$10),$E$10+SQRT(T314*($G$10-$E$10)*($F$10-$E$10)),$G$10-SQRT((1-T314)*($G$10-$E$10)*($G$10-$F$10))))</f>
        <v>1.06750755503989</v>
      </c>
      <c r="G314" s="52" t="n">
        <f aca="false">IF($G$11=$E$11,$F$11,IF(U314&lt;($F$11-$E$11)/($G$11-$E$11),$E$11+SQRT(U314*($G$11-$E$11)*($F$11-$E$11)),$G$11-SQRT((1-U314)*($G$11-$E$11)*($G$11-$F$11))))</f>
        <v>0.098509162912937</v>
      </c>
      <c r="H314" s="53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-2135015110.07978</v>
      </c>
      <c r="I314" s="53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-21438528.105474</v>
      </c>
      <c r="J314" s="53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258156047.569192</v>
      </c>
      <c r="K314" s="53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591126000.995853</v>
      </c>
      <c r="L314" s="53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718703481.432801</v>
      </c>
      <c r="M314" s="53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907789568.432454</v>
      </c>
      <c r="N314" s="53" t="n">
        <f aca="false">IF(COUNT('Business Case'!B11:G11)=0,"",H314+NPV(G314,I314:M314))</f>
        <v>-433611587.228125</v>
      </c>
      <c r="P314" s="54" t="n">
        <f aca="true">RAND()</f>
        <v>0.466935610224317</v>
      </c>
      <c r="Q314" s="54" t="n">
        <f aca="true">RAND()</f>
        <v>0.615503724386611</v>
      </c>
      <c r="R314" s="54" t="n">
        <f aca="true">RAND()</f>
        <v>0.824254580021733</v>
      </c>
      <c r="S314" s="54" t="n">
        <f aca="true">RAND()</f>
        <v>0.380604499103468</v>
      </c>
      <c r="T314" s="54" t="n">
        <f aca="true">RAND()</f>
        <v>0.648915040569835</v>
      </c>
      <c r="U314" s="54" t="n">
        <f aca="true">RAND()</f>
        <v>0.241352844929677</v>
      </c>
    </row>
    <row r="315" customFormat="false" ht="15" hidden="false" customHeight="false" outlineLevel="0" collapsed="false">
      <c r="A315" s="50" t="n">
        <v>235</v>
      </c>
      <c r="B315" s="51" t="n">
        <f aca="false">1+IF($G$6=$E$6,$F$6,IF(P315&lt;($F$6-$E$6)/($G$6-$E$6),$E$6+SQRT(P315*($G$6-$E$6)*($F$6-$E$6)),$G$6-SQRT((1-P315)*($G$6-$E$6)*($G$6-$F$6))))</f>
        <v>1.00728142612572</v>
      </c>
      <c r="C315" s="51" t="n">
        <f aca="false">1+IF($G$7=$E$7,$F$7,IF(Q315&lt;($F$7-$E$7)/($G$7-$E$7),$E$7+SQRT(Q315*($G$7-$E$7)*($F$7-$E$7)),$G$7-SQRT((1-Q315)*($G$7-$E$7)*($G$7-$F$7))))</f>
        <v>0.821344173879704</v>
      </c>
      <c r="D315" s="51" t="n">
        <f aca="false">1+IF($G$8=$E$8,$F$8,IF(R315&lt;($F$8-$E$8)/($G$8-$E$8),$E$8+SQRT(R315*($G$8-$E$8)*($F$8-$E$8)),$G$8-SQRT((1-R315)*($G$8-$E$8)*($G$8-$F$8))))</f>
        <v>1.06376543954433</v>
      </c>
      <c r="E315" s="51" t="n">
        <f aca="false">1+IF($G$9=$E$9,$F$9,IF(S315&lt;($F$9-$E$9)/($G$9-$E$9),$E$9+SQRT(S315*($G$9-$E$9)*($F$9-$E$9)),$G$9-SQRT((1-S315)*($G$9-$E$9)*($G$9-$F$9))))</f>
        <v>0.997116278822936</v>
      </c>
      <c r="F315" s="51" t="n">
        <f aca="false">1+IF($G$10=$E$10,$F$10,IF(T315&lt;($F$10-$E$10)/($G$10-$E$10),$E$10+SQRT(T315*($G$10-$E$10)*($F$10-$E$10)),$G$10-SQRT((1-T315)*($G$10-$E$10)*($G$10-$F$10))))</f>
        <v>1.04742133943661</v>
      </c>
      <c r="G315" s="52" t="n">
        <f aca="false">IF($G$11=$E$11,$F$11,IF(U315&lt;($F$11-$E$11)/($G$11-$E$11),$E$11+SQRT(U315*($G$11-$E$11)*($F$11-$E$11)),$G$11-SQRT((1-U315)*($G$11-$E$11)*($G$11-$F$11))))</f>
        <v>0.107050328217588</v>
      </c>
      <c r="H315" s="53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-2094842678.87322</v>
      </c>
      <c r="I315" s="53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-59055547.1490416</v>
      </c>
      <c r="J315" s="53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171309488.539162</v>
      </c>
      <c r="K315" s="53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454045591.199195</v>
      </c>
      <c r="L315" s="53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559426279.125238</v>
      </c>
      <c r="M315" s="53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716684163.956765</v>
      </c>
      <c r="N315" s="53" t="n">
        <f aca="false">IF(COUNT('Business Case'!B11:G11)=0,"",H315+NPV(G315,I315:M315))</f>
        <v>-870283799.578401</v>
      </c>
      <c r="P315" s="54" t="n">
        <f aca="true">RAND()</f>
        <v>0.776978109090208</v>
      </c>
      <c r="Q315" s="54" t="n">
        <f aca="true">RAND()</f>
        <v>0.006508196551529</v>
      </c>
      <c r="R315" s="54" t="n">
        <f aca="true">RAND()</f>
        <v>0.974657600654914</v>
      </c>
      <c r="S315" s="54" t="n">
        <f aca="true">RAND()</f>
        <v>0.295992497349417</v>
      </c>
      <c r="T315" s="54" t="n">
        <f aca="true">RAND()</f>
        <v>0.534395046813643</v>
      </c>
      <c r="U315" s="54" t="n">
        <f aca="true">RAND()</f>
        <v>0.72051000121301</v>
      </c>
    </row>
    <row r="316" customFormat="false" ht="15" hidden="false" customHeight="false" outlineLevel="0" collapsed="false">
      <c r="A316" s="50" t="n">
        <v>236</v>
      </c>
      <c r="B316" s="51" t="n">
        <f aca="false">1+IF($G$6=$E$6,$F$6,IF(P316&lt;($F$6-$E$6)/($G$6-$E$6),$E$6+SQRT(P316*($G$6-$E$6)*($F$6-$E$6)),$G$6-SQRT((1-P316)*($G$6-$E$6)*($G$6-$F$6))))</f>
        <v>0.994151383377903</v>
      </c>
      <c r="C316" s="51" t="n">
        <f aca="false">1+IF($G$7=$E$7,$F$7,IF(Q316&lt;($F$7-$E$7)/($G$7-$E$7),$E$7+SQRT(Q316*($G$7-$E$7)*($F$7-$E$7)),$G$7-SQRT((1-Q316)*($G$7-$E$7)*($G$7-$F$7))))</f>
        <v>0.874256853146015</v>
      </c>
      <c r="D316" s="51" t="n">
        <f aca="false">1+IF($G$8=$E$8,$F$8,IF(R316&lt;($F$8-$E$8)/($G$8-$E$8),$E$8+SQRT(R316*($G$8-$E$8)*($F$8-$E$8)),$G$8-SQRT((1-R316)*($G$8-$E$8)*($G$8-$F$8))))</f>
        <v>0.98916970287948</v>
      </c>
      <c r="E316" s="51" t="n">
        <f aca="false">1+IF($G$9=$E$9,$F$9,IF(S316&lt;($F$9-$E$9)/($G$9-$E$9),$E$9+SQRT(S316*($G$9-$E$9)*($F$9-$E$9)),$G$9-SQRT((1-S316)*($G$9-$E$9)*($G$9-$F$9))))</f>
        <v>0.998231775518899</v>
      </c>
      <c r="F316" s="51" t="n">
        <f aca="false">1+IF($G$10=$E$10,$F$10,IF(T316&lt;($F$10-$E$10)/($G$10-$E$10),$E$10+SQRT(T316*($G$10-$E$10)*($F$10-$E$10)),$G$10-SQRT((1-T316)*($G$10-$E$10)*($G$10-$F$10))))</f>
        <v>0.957468527508287</v>
      </c>
      <c r="G316" s="52" t="n">
        <f aca="false">IF($G$11=$E$11,$F$11,IF(U316&lt;($F$11-$E$11)/($G$11-$E$11),$E$11+SQRT(U316*($G$11-$E$11)*($F$11-$E$11)),$G$11-SQRT((1-U316)*($G$11-$E$11)*($G$11-$F$11))))</f>
        <v>0.111811281251736</v>
      </c>
      <c r="H316" s="53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-1914937055.01657</v>
      </c>
      <c r="I316" s="53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-13563056.1558164</v>
      </c>
      <c r="J316" s="53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255625706.251488</v>
      </c>
      <c r="K316" s="53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572687895.034207</v>
      </c>
      <c r="L316" s="53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692455087.392311</v>
      </c>
      <c r="M316" s="53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857661914.281827</v>
      </c>
      <c r="N316" s="53" t="n">
        <f aca="false">IF(COUNT('Business Case'!B11:G11)=0,"",H316+NPV(G316,I316:M316))</f>
        <v>-345614242.341999</v>
      </c>
      <c r="P316" s="54" t="n">
        <f aca="true">RAND()</f>
        <v>0.572752880922576</v>
      </c>
      <c r="Q316" s="54" t="n">
        <f aca="true">RAND()</f>
        <v>0.078772574844983</v>
      </c>
      <c r="R316" s="54" t="n">
        <f aca="true">RAND()</f>
        <v>0.236040865179501</v>
      </c>
      <c r="S316" s="54" t="n">
        <f aca="true">RAND()</f>
        <v>0.310173889294056</v>
      </c>
      <c r="T316" s="54" t="n">
        <f aca="true">RAND()</f>
        <v>0.00446231225136319</v>
      </c>
      <c r="U316" s="54" t="n">
        <f aca="true">RAND()</f>
        <v>0.888241475436384</v>
      </c>
    </row>
    <row r="317" customFormat="false" ht="15" hidden="false" customHeight="false" outlineLevel="0" collapsed="false">
      <c r="A317" s="50" t="n">
        <v>237</v>
      </c>
      <c r="B317" s="51" t="n">
        <f aca="false">1+IF($G$6=$E$6,$F$6,IF(P317&lt;($F$6-$E$6)/($G$6-$E$6),$E$6+SQRT(P317*($G$6-$E$6)*($F$6-$E$6)),$G$6-SQRT((1-P317)*($G$6-$E$6)*($G$6-$F$6))))</f>
        <v>1.00186363528196</v>
      </c>
      <c r="C317" s="51" t="n">
        <f aca="false">1+IF($G$7=$E$7,$F$7,IF(Q317&lt;($F$7-$E$7)/($G$7-$E$7),$E$7+SQRT(Q317*($G$7-$E$7)*($F$7-$E$7)),$G$7-SQRT((1-Q317)*($G$7-$E$7)*($G$7-$F$7))))</f>
        <v>0.992476320057271</v>
      </c>
      <c r="D317" s="51" t="n">
        <f aca="false">1+IF($G$8=$E$8,$F$8,IF(R317&lt;($F$8-$E$8)/($G$8-$E$8),$E$8+SQRT(R317*($G$8-$E$8)*($F$8-$E$8)),$G$8-SQRT((1-R317)*($G$8-$E$8)*($G$8-$F$8))))</f>
        <v>0.990564856393752</v>
      </c>
      <c r="E317" s="51" t="n">
        <f aca="false">1+IF($G$9=$E$9,$F$9,IF(S317&lt;($F$9-$E$9)/($G$9-$E$9),$E$9+SQRT(S317*($G$9-$E$9)*($F$9-$E$9)),$G$9-SQRT((1-S317)*($G$9-$E$9)*($G$9-$F$9))))</f>
        <v>1.02099359745835</v>
      </c>
      <c r="F317" s="51" t="n">
        <f aca="false">1+IF($G$10=$E$10,$F$10,IF(T317&lt;($F$10-$E$10)/($G$10-$E$10),$E$10+SQRT(T317*($G$10-$E$10)*($F$10-$E$10)),$G$10-SQRT((1-T317)*($G$10-$E$10)*($G$10-$F$10))))</f>
        <v>1.04111414519339</v>
      </c>
      <c r="G317" s="52" t="n">
        <f aca="false">IF($G$11=$E$11,$F$11,IF(U317&lt;($F$11-$E$11)/($G$11-$E$11),$E$11+SQRT(U317*($G$11-$E$11)*($F$11-$E$11)),$G$11-SQRT((1-U317)*($G$11-$E$11)*($G$11-$F$11))))</f>
        <v>0.115396590654837</v>
      </c>
      <c r="H317" s="53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-2082228290.38677</v>
      </c>
      <c r="I317" s="53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10307192.159471</v>
      </c>
      <c r="J317" s="53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321456944.812507</v>
      </c>
      <c r="K317" s="53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684662404.725212</v>
      </c>
      <c r="L317" s="53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822742893.21999</v>
      </c>
      <c r="M317" s="53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1011744366.74403</v>
      </c>
      <c r="N317" s="53" t="n">
        <f aca="false">IF(COUNT('Business Case'!B11:G11)=0,"",H317+NPV(G317,I317:M317))</f>
        <v>-203627054.467918</v>
      </c>
      <c r="P317" s="54" t="n">
        <f aca="true">RAND()</f>
        <v>0.697003684602574</v>
      </c>
      <c r="Q317" s="54" t="n">
        <f aca="true">RAND()</f>
        <v>0.529244768325556</v>
      </c>
      <c r="R317" s="54" t="n">
        <f aca="true">RAND()</f>
        <v>0.253155011422413</v>
      </c>
      <c r="S317" s="54" t="n">
        <f aca="true">RAND()</f>
        <v>0.583865890495152</v>
      </c>
      <c r="T317" s="54" t="n">
        <f aca="true">RAND()</f>
        <v>0.495105702847438</v>
      </c>
      <c r="U317" s="54" t="n">
        <f aca="true">RAND()</f>
        <v>0.964681037334774</v>
      </c>
    </row>
    <row r="318" customFormat="false" ht="15" hidden="false" customHeight="false" outlineLevel="0" collapsed="false">
      <c r="A318" s="50" t="n">
        <v>238</v>
      </c>
      <c r="B318" s="51" t="n">
        <f aca="false">1+IF($G$6=$E$6,$F$6,IF(P318&lt;($F$6-$E$6)/($G$6-$E$6),$E$6+SQRT(P318*($G$6-$E$6)*($F$6-$E$6)),$G$6-SQRT((1-P318)*($G$6-$E$6)*($G$6-$F$6))))</f>
        <v>1.00472035522826</v>
      </c>
      <c r="C318" s="51" t="n">
        <f aca="false">1+IF($G$7=$E$7,$F$7,IF(Q318&lt;($F$7-$E$7)/($G$7-$E$7),$E$7+SQRT(Q318*($G$7-$E$7)*($F$7-$E$7)),$G$7-SQRT((1-Q318)*($G$7-$E$7)*($G$7-$F$7))))</f>
        <v>0.894585286621919</v>
      </c>
      <c r="D318" s="51" t="n">
        <f aca="false">1+IF($G$8=$E$8,$F$8,IF(R318&lt;($F$8-$E$8)/($G$8-$E$8),$E$8+SQRT(R318*($G$8-$E$8)*($F$8-$E$8)),$G$8-SQRT((1-R318)*($G$8-$E$8)*($G$8-$F$8))))</f>
        <v>1.03594165928033</v>
      </c>
      <c r="E318" s="51" t="n">
        <f aca="false">1+IF($G$9=$E$9,$F$9,IF(S318&lt;($F$9-$E$9)/($G$9-$E$9),$E$9+SQRT(S318*($G$9-$E$9)*($F$9-$E$9)),$G$9-SQRT((1-S318)*($G$9-$E$9)*($G$9-$F$9))))</f>
        <v>1.0299051199978</v>
      </c>
      <c r="F318" s="51" t="n">
        <f aca="false">1+IF($G$10=$E$10,$F$10,IF(T318&lt;($F$10-$E$10)/($G$10-$E$10),$E$10+SQRT(T318*($G$10-$E$10)*($F$10-$E$10)),$G$10-SQRT((1-T318)*($G$10-$E$10)*($G$10-$F$10))))</f>
        <v>0.961305928889741</v>
      </c>
      <c r="G318" s="52" t="n">
        <f aca="false">IF($G$11=$E$11,$F$11,IF(U318&lt;($F$11-$E$11)/($G$11-$E$11),$E$11+SQRT(U318*($G$11-$E$11)*($F$11-$E$11)),$G$11-SQRT((1-U318)*($G$11-$E$11)*($G$11-$F$11))))</f>
        <v>0.0985512333852399</v>
      </c>
      <c r="H318" s="53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-1922611857.77948</v>
      </c>
      <c r="I318" s="53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-27404607.5063773</v>
      </c>
      <c r="J318" s="53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234368095.094145</v>
      </c>
      <c r="K318" s="53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544206094.139155</v>
      </c>
      <c r="L318" s="53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662526467.775488</v>
      </c>
      <c r="M318" s="53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833371901.341027</v>
      </c>
      <c r="N318" s="53" t="n">
        <f aca="false">IF(COUNT('Business Case'!B11:G11)=0,"",H318+NPV(G318,I318:M318))</f>
        <v>-367078427.012039</v>
      </c>
      <c r="P318" s="54" t="n">
        <f aca="true">RAND()</f>
        <v>0.740697221829154</v>
      </c>
      <c r="Q318" s="54" t="n">
        <f aca="true">RAND()</f>
        <v>0.127805377790723</v>
      </c>
      <c r="R318" s="54" t="n">
        <f aca="true">RAND()</f>
        <v>0.813352174329787</v>
      </c>
      <c r="S318" s="54" t="n">
        <f aca="true">RAND()</f>
        <v>0.672447186498513</v>
      </c>
      <c r="T318" s="54" t="n">
        <f aca="true">RAND()</f>
        <v>0.0102259222447899</v>
      </c>
      <c r="U318" s="54" t="n">
        <f aca="true">RAND()</f>
        <v>0.243745308029474</v>
      </c>
    </row>
    <row r="319" customFormat="false" ht="15" hidden="false" customHeight="false" outlineLevel="0" collapsed="false">
      <c r="A319" s="50" t="n">
        <v>239</v>
      </c>
      <c r="B319" s="51" t="n">
        <f aca="false">1+IF($G$6=$E$6,$F$6,IF(P319&lt;($F$6-$E$6)/($G$6-$E$6),$E$6+SQRT(P319*($G$6-$E$6)*($F$6-$E$6)),$G$6-SQRT((1-P319)*($G$6-$E$6)*($G$6-$F$6))))</f>
        <v>0.943092017583567</v>
      </c>
      <c r="C319" s="51" t="n">
        <f aca="false">1+IF($G$7=$E$7,$F$7,IF(Q319&lt;($F$7-$E$7)/($G$7-$E$7),$E$7+SQRT(Q319*($G$7-$E$7)*($F$7-$E$7)),$G$7-SQRT((1-Q319)*($G$7-$E$7)*($G$7-$F$7))))</f>
        <v>0.816065330531828</v>
      </c>
      <c r="D319" s="51" t="n">
        <f aca="false">1+IF($G$8=$E$8,$F$8,IF(R319&lt;($F$8-$E$8)/($G$8-$E$8),$E$8+SQRT(R319*($G$8-$E$8)*($F$8-$E$8)),$G$8-SQRT((1-R319)*($G$8-$E$8)*($G$8-$F$8))))</f>
        <v>1.05692701959487</v>
      </c>
      <c r="E319" s="51" t="n">
        <f aca="false">1+IF($G$9=$E$9,$F$9,IF(S319&lt;($F$9-$E$9)/($G$9-$E$9),$E$9+SQRT(S319*($G$9-$E$9)*($F$9-$E$9)),$G$9-SQRT((1-S319)*($G$9-$E$9)*($G$9-$F$9))))</f>
        <v>0.994550851819907</v>
      </c>
      <c r="F319" s="51" t="n">
        <f aca="false">1+IF($G$10=$E$10,$F$10,IF(T319&lt;($F$10-$E$10)/($G$10-$E$10),$E$10+SQRT(T319*($G$10-$E$10)*($F$10-$E$10)),$G$10-SQRT((1-T319)*($G$10-$E$10)*($G$10-$F$10))))</f>
        <v>1.02183939755674</v>
      </c>
      <c r="G319" s="52" t="n">
        <f aca="false">IF($G$11=$E$11,$F$11,IF(U319&lt;($F$11-$E$11)/($G$11-$E$11),$E$11+SQRT(U319*($G$11-$E$11)*($F$11-$E$11)),$G$11-SQRT((1-U319)*($G$11-$E$11)*($G$11-$F$11))))</f>
        <v>0.0995827747933921</v>
      </c>
      <c r="H319" s="53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-2043678795.11348</v>
      </c>
      <c r="I319" s="53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-94670378.8301361</v>
      </c>
      <c r="J319" s="53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94165657.6230099</v>
      </c>
      <c r="K319" s="53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334093663.953993</v>
      </c>
      <c r="L319" s="53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423637239.037587</v>
      </c>
      <c r="M319" s="53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569927501.833251</v>
      </c>
      <c r="N319" s="53" t="n">
        <f aca="false">IF(COUNT('Business Case'!B11:G11)=0,"",H319+NPV(G319,I319:M319))</f>
        <v>-1156256776.67018</v>
      </c>
      <c r="P319" s="54" t="n">
        <f aca="true">RAND()</f>
        <v>0.05554596625831</v>
      </c>
      <c r="Q319" s="54" t="n">
        <f aca="true">RAND()</f>
        <v>0.00368706921566986</v>
      </c>
      <c r="R319" s="54" t="n">
        <f aca="true">RAND()</f>
        <v>0.948811305310035</v>
      </c>
      <c r="S319" s="54" t="n">
        <f aca="true">RAND()</f>
        <v>0.264637119717239</v>
      </c>
      <c r="T319" s="54" t="n">
        <f aca="true">RAND()</f>
        <v>0.365175994741077</v>
      </c>
      <c r="U319" s="54" t="n">
        <f aca="true">RAND()</f>
        <v>0.306098575802903</v>
      </c>
    </row>
    <row r="320" customFormat="false" ht="15" hidden="false" customHeight="false" outlineLevel="0" collapsed="false">
      <c r="A320" s="50" t="n">
        <v>240</v>
      </c>
      <c r="B320" s="51" t="n">
        <f aca="false">1+IF($G$6=$E$6,$F$6,IF(P320&lt;($F$6-$E$6)/($G$6-$E$6),$E$6+SQRT(P320*($G$6-$E$6)*($F$6-$E$6)),$G$6-SQRT((1-P320)*($G$6-$E$6)*($G$6-$F$6))))</f>
        <v>1.00877026962906</v>
      </c>
      <c r="C320" s="51" t="n">
        <f aca="false">1+IF($G$7=$E$7,$F$7,IF(Q320&lt;($F$7-$E$7)/($G$7-$E$7),$E$7+SQRT(Q320*($G$7-$E$7)*($F$7-$E$7)),$G$7-SQRT((1-Q320)*($G$7-$E$7)*($G$7-$F$7))))</f>
        <v>1.01082507883828</v>
      </c>
      <c r="D320" s="51" t="n">
        <f aca="false">1+IF($G$8=$E$8,$F$8,IF(R320&lt;($F$8-$E$8)/($G$8-$E$8),$E$8+SQRT(R320*($G$8-$E$8)*($F$8-$E$8)),$G$8-SQRT((1-R320)*($G$8-$E$8)*($G$8-$F$8))))</f>
        <v>1.04858882145869</v>
      </c>
      <c r="E320" s="51" t="n">
        <f aca="false">1+IF($G$9=$E$9,$F$9,IF(S320&lt;($F$9-$E$9)/($G$9-$E$9),$E$9+SQRT(S320*($G$9-$E$9)*($F$9-$E$9)),$G$9-SQRT((1-S320)*($G$9-$E$9)*($G$9-$F$9))))</f>
        <v>1.05233070878558</v>
      </c>
      <c r="F320" s="51" t="n">
        <f aca="false">1+IF($G$10=$E$10,$F$10,IF(T320&lt;($F$10-$E$10)/($G$10-$E$10),$E$10+SQRT(T320*($G$10-$E$10)*($F$10-$E$10)),$G$10-SQRT((1-T320)*($G$10-$E$10)*($G$10-$F$10))))</f>
        <v>1.03432478015622</v>
      </c>
      <c r="G320" s="52" t="n">
        <f aca="false">IF($G$11=$E$11,$F$11,IF(U320&lt;($F$11-$E$11)/($G$11-$E$11),$E$11+SQRT(U320*($G$11-$E$11)*($F$11-$E$11)),$G$11-SQRT((1-U320)*($G$11-$E$11)*($G$11-$F$11))))</f>
        <v>0.104952154262163</v>
      </c>
      <c r="H320" s="53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-2068649560.31244</v>
      </c>
      <c r="I320" s="53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-13339308.6852273</v>
      </c>
      <c r="J320" s="53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279256031.929536</v>
      </c>
      <c r="K320" s="53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623567611.55211</v>
      </c>
      <c r="L320" s="53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756339888.087069</v>
      </c>
      <c r="M320" s="53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950162617.902282</v>
      </c>
      <c r="N320" s="53" t="n">
        <f aca="false">IF(COUNT('Business Case'!B11:G11)=0,"",H320+NPV(G320,I320:M320))</f>
        <v>-305506237.641219</v>
      </c>
      <c r="P320" s="54" t="n">
        <f aca="true">RAND()</f>
        <v>0.796813321032943</v>
      </c>
      <c r="Q320" s="54" t="n">
        <f aca="true">RAND()</f>
        <v>0.631054120373905</v>
      </c>
      <c r="R320" s="54" t="n">
        <f aca="true">RAND()</f>
        <v>0.905128640639055</v>
      </c>
      <c r="S320" s="54" t="n">
        <f aca="true">RAND()</f>
        <v>0.848509245007682</v>
      </c>
      <c r="T320" s="54" t="n">
        <f aca="true">RAND()</f>
        <v>0.451034430594302</v>
      </c>
      <c r="U320" s="54" t="n">
        <f aca="true">RAND()</f>
        <v>0.622603897750436</v>
      </c>
    </row>
    <row r="321" customFormat="false" ht="15" hidden="false" customHeight="false" outlineLevel="0" collapsed="false">
      <c r="A321" s="50" t="n">
        <v>241</v>
      </c>
      <c r="B321" s="51" t="n">
        <f aca="false">1+IF($G$6=$E$6,$F$6,IF(P321&lt;($F$6-$E$6)/($G$6-$E$6),$E$6+SQRT(P321*($G$6-$E$6)*($F$6-$E$6)),$G$6-SQRT((1-P321)*($G$6-$E$6)*($G$6-$F$6))))</f>
        <v>1.02893318523627</v>
      </c>
      <c r="C321" s="51" t="n">
        <f aca="false">1+IF($G$7=$E$7,$F$7,IF(Q321&lt;($F$7-$E$7)/($G$7-$E$7),$E$7+SQRT(Q321*($G$7-$E$7)*($F$7-$E$7)),$G$7-SQRT((1-Q321)*($G$7-$E$7)*($G$7-$F$7))))</f>
        <v>1.08816293089033</v>
      </c>
      <c r="D321" s="51" t="n">
        <f aca="false">1+IF($G$8=$E$8,$F$8,IF(R321&lt;($F$8-$E$8)/($G$8-$E$8),$E$8+SQRT(R321*($G$8-$E$8)*($F$8-$E$8)),$G$8-SQRT((1-R321)*($G$8-$E$8)*($G$8-$F$8))))</f>
        <v>0.964384401269421</v>
      </c>
      <c r="E321" s="51" t="n">
        <f aca="false">1+IF($G$9=$E$9,$F$9,IF(S321&lt;($F$9-$E$9)/($G$9-$E$9),$E$9+SQRT(S321*($G$9-$E$9)*($F$9-$E$9)),$G$9-SQRT((1-S321)*($G$9-$E$9)*($G$9-$F$9))))</f>
        <v>0.987352096755084</v>
      </c>
      <c r="F321" s="51" t="n">
        <f aca="false">1+IF($G$10=$E$10,$F$10,IF(T321&lt;($F$10-$E$10)/($G$10-$E$10),$E$10+SQRT(T321*($G$10-$E$10)*($F$10-$E$10)),$G$10-SQRT((1-T321)*($G$10-$E$10)*($G$10-$F$10))))</f>
        <v>0.955828876844235</v>
      </c>
      <c r="G321" s="52" t="n">
        <f aca="false">IF($G$11=$E$11,$F$11,IF(U321&lt;($F$11-$E$11)/($G$11-$E$11),$E$11+SQRT(U321*($G$11-$E$11)*($F$11-$E$11)),$G$11-SQRT((1-U321)*($G$11-$E$11)*($G$11-$F$11))))</f>
        <v>0.101770531176091</v>
      </c>
      <c r="H321" s="53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-1911657753.68847</v>
      </c>
      <c r="I321" s="53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85831999.3257472</v>
      </c>
      <c r="J321" s="53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465690852.41033</v>
      </c>
      <c r="K321" s="53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893341149.337125</v>
      </c>
      <c r="L321" s="53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1058655765.64255</v>
      </c>
      <c r="M321" s="53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1271478258.00062</v>
      </c>
      <c r="N321" s="53" t="n">
        <f aca="false">IF(COUNT('Business Case'!B11:G11)=0,"",H321+NPV(G321,I321:M321))</f>
        <v>719432603.620788</v>
      </c>
      <c r="P321" s="54" t="n">
        <f aca="true">RAND()</f>
        <v>0.97448450228862</v>
      </c>
      <c r="Q321" s="54" t="n">
        <f aca="true">RAND()</f>
        <v>0.927165273979542</v>
      </c>
      <c r="R321" s="54" t="n">
        <f aca="true">RAND()</f>
        <v>0.0318324615199584</v>
      </c>
      <c r="S321" s="54" t="n">
        <f aca="true">RAND()</f>
        <v>0.186023884266819</v>
      </c>
      <c r="T321" s="54" t="n">
        <f aca="true">RAND()</f>
        <v>0.00271806442122105</v>
      </c>
      <c r="U321" s="54" t="n">
        <f aca="true">RAND()</f>
        <v>0.446144110663542</v>
      </c>
    </row>
    <row r="322" customFormat="false" ht="15" hidden="false" customHeight="false" outlineLevel="0" collapsed="false">
      <c r="A322" s="50" t="n">
        <v>242</v>
      </c>
      <c r="B322" s="51" t="n">
        <f aca="false">1+IF($G$6=$E$6,$F$6,IF(P322&lt;($F$6-$E$6)/($G$6-$E$6),$E$6+SQRT(P322*($G$6-$E$6)*($F$6-$E$6)),$G$6-SQRT((1-P322)*($G$6-$E$6)*($G$6-$F$6))))</f>
        <v>0.986653649897597</v>
      </c>
      <c r="C322" s="51" t="n">
        <f aca="false">1+IF($G$7=$E$7,$F$7,IF(Q322&lt;($F$7-$E$7)/($G$7-$E$7),$E$7+SQRT(Q322*($G$7-$E$7)*($F$7-$E$7)),$G$7-SQRT((1-Q322)*($G$7-$E$7)*($G$7-$F$7))))</f>
        <v>1.00930827255419</v>
      </c>
      <c r="D322" s="51" t="n">
        <f aca="false">1+IF($G$8=$E$8,$F$8,IF(R322&lt;($F$8-$E$8)/($G$8-$E$8),$E$8+SQRT(R322*($G$8-$E$8)*($F$8-$E$8)),$G$8-SQRT((1-R322)*($G$8-$E$8)*($G$8-$F$8))))</f>
        <v>0.968655529288698</v>
      </c>
      <c r="E322" s="51" t="n">
        <f aca="false">1+IF($G$9=$E$9,$F$9,IF(S322&lt;($F$9-$E$9)/($G$9-$E$9),$E$9+SQRT(S322*($G$9-$E$9)*($F$9-$E$9)),$G$9-SQRT((1-S322)*($G$9-$E$9)*($G$9-$F$9))))</f>
        <v>1.0156249101875</v>
      </c>
      <c r="F322" s="51" t="n">
        <f aca="false">1+IF($G$10=$E$10,$F$10,IF(T322&lt;($F$10-$E$10)/($G$10-$E$10),$E$10+SQRT(T322*($G$10-$E$10)*($F$10-$E$10)),$G$10-SQRT((1-T322)*($G$10-$E$10)*($G$10-$F$10))))</f>
        <v>0.997897808906689</v>
      </c>
      <c r="G322" s="52" t="n">
        <f aca="false">IF($G$11=$E$11,$F$11,IF(U322&lt;($F$11-$E$11)/($G$11-$E$11),$E$11+SQRT(U322*($G$11-$E$11)*($F$11-$E$11)),$G$11-SQRT((1-U322)*($G$11-$E$11)*($G$11-$F$11))))</f>
        <v>0.0943074320756999</v>
      </c>
      <c r="H322" s="53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-1995795617.81338</v>
      </c>
      <c r="I322" s="53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19337030.0246375</v>
      </c>
      <c r="J322" s="53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334509929.069395</v>
      </c>
      <c r="K322" s="53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699577718.559487</v>
      </c>
      <c r="L322" s="53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839051502.174932</v>
      </c>
      <c r="M322" s="53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1028340330.47782</v>
      </c>
      <c r="N322" s="53" t="n">
        <f aca="false">IF(COUNT('Business Case'!B11:G11)=0,"",H322+NPV(G322,I322:M322))</f>
        <v>75462961.0157349</v>
      </c>
      <c r="P322" s="54" t="n">
        <f aca="true">RAND()</f>
        <v>0.46278219215327</v>
      </c>
      <c r="Q322" s="54" t="n">
        <f aca="true">RAND()</f>
        <v>0.622968339586958</v>
      </c>
      <c r="R322" s="54" t="n">
        <f aca="true">RAND()</f>
        <v>0.0535428881602261</v>
      </c>
      <c r="S322" s="54" t="n">
        <f aca="true">RAND()</f>
        <v>0.525389614608836</v>
      </c>
      <c r="T322" s="54" t="n">
        <f aca="true">RAND()</f>
        <v>0.183536007844935</v>
      </c>
      <c r="U322" s="54" t="n">
        <f aca="true">RAND()</f>
        <v>0.0618465702892264</v>
      </c>
    </row>
    <row r="323" customFormat="false" ht="15" hidden="false" customHeight="false" outlineLevel="0" collapsed="false">
      <c r="A323" s="50" t="n">
        <v>243</v>
      </c>
      <c r="B323" s="51" t="n">
        <f aca="false">1+IF($G$6=$E$6,$F$6,IF(P323&lt;($F$6-$E$6)/($G$6-$E$6),$E$6+SQRT(P323*($G$6-$E$6)*($F$6-$E$6)),$G$6-SQRT((1-P323)*($G$6-$E$6)*($G$6-$F$6))))</f>
        <v>1.0053543135659</v>
      </c>
      <c r="C323" s="51" t="n">
        <f aca="false">1+IF($G$7=$E$7,$F$7,IF(Q323&lt;($F$7-$E$7)/($G$7-$E$7),$E$7+SQRT(Q323*($G$7-$E$7)*($F$7-$E$7)),$G$7-SQRT((1-Q323)*($G$7-$E$7)*($G$7-$F$7))))</f>
        <v>0.929971489998406</v>
      </c>
      <c r="D323" s="51" t="n">
        <f aca="false">1+IF($G$8=$E$8,$F$8,IF(R323&lt;($F$8-$E$8)/($G$8-$E$8),$E$8+SQRT(R323*($G$8-$E$8)*($F$8-$E$8)),$G$8-SQRT((1-R323)*($G$8-$E$8)*($G$8-$F$8))))</f>
        <v>1.05757303302909</v>
      </c>
      <c r="E323" s="51" t="n">
        <f aca="false">1+IF($G$9=$E$9,$F$9,IF(S323&lt;($F$9-$E$9)/($G$9-$E$9),$E$9+SQRT(S323*($G$9-$E$9)*($F$9-$E$9)),$G$9-SQRT((1-S323)*($G$9-$E$9)*($G$9-$F$9))))</f>
        <v>1.03609819766519</v>
      </c>
      <c r="F323" s="51" t="n">
        <f aca="false">1+IF($G$10=$E$10,$F$10,IF(T323&lt;($F$10-$E$10)/($G$10-$E$10),$E$10+SQRT(T323*($G$10-$E$10)*($F$10-$E$10)),$G$10-SQRT((1-T323)*($G$10-$E$10)*($G$10-$F$10))))</f>
        <v>0.978421486133408</v>
      </c>
      <c r="G323" s="52" t="n">
        <f aca="false">IF($G$11=$E$11,$F$11,IF(U323&lt;($F$11-$E$11)/($G$11-$E$11),$E$11+SQRT(U323*($G$11-$E$11)*($F$11-$E$11)),$G$11-SQRT((1-U323)*($G$11-$E$11)*($G$11-$F$11))))</f>
        <v>0.10724971432231</v>
      </c>
      <c r="H323" s="53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-1956842972.26682</v>
      </c>
      <c r="I323" s="53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-31330959.4338472</v>
      </c>
      <c r="J323" s="53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230981245.463889</v>
      </c>
      <c r="K323" s="53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542214524.668294</v>
      </c>
      <c r="L323" s="53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661963827.641041</v>
      </c>
      <c r="M323" s="53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839679285.011967</v>
      </c>
      <c r="N323" s="53" t="n">
        <f aca="false">IF(COUNT('Business Case'!B11:G11)=0,"",H323+NPV(G323,I323:M323))</f>
        <v>-452379876.422853</v>
      </c>
      <c r="P323" s="54" t="n">
        <f aca="true">RAND()</f>
        <v>0.749932585731212</v>
      </c>
      <c r="Q323" s="54" t="n">
        <f aca="true">RAND()</f>
        <v>0.241322688748654</v>
      </c>
      <c r="R323" s="54" t="n">
        <f aca="true">RAND()</f>
        <v>0.951637610815937</v>
      </c>
      <c r="S323" s="54" t="n">
        <f aca="true">RAND()</f>
        <v>0.72777064389084</v>
      </c>
      <c r="T323" s="54" t="n">
        <f aca="true">RAND()</f>
        <v>0.06462246992252</v>
      </c>
      <c r="U323" s="54" t="n">
        <f aca="true">RAND()</f>
        <v>0.729050358562154</v>
      </c>
    </row>
    <row r="324" customFormat="false" ht="15" hidden="false" customHeight="false" outlineLevel="0" collapsed="false">
      <c r="A324" s="50" t="n">
        <v>244</v>
      </c>
      <c r="B324" s="51" t="n">
        <f aca="false">1+IF($G$6=$E$6,$F$6,IF(P324&lt;($F$6-$E$6)/($G$6-$E$6),$E$6+SQRT(P324*($G$6-$E$6)*($F$6-$E$6)),$G$6-SQRT((1-P324)*($G$6-$E$6)*($G$6-$F$6))))</f>
        <v>1.03205075259973</v>
      </c>
      <c r="C324" s="51" t="n">
        <f aca="false">1+IF($G$7=$E$7,$F$7,IF(Q324&lt;($F$7-$E$7)/($G$7-$E$7),$E$7+SQRT(Q324*($G$7-$E$7)*($F$7-$E$7)),$G$7-SQRT((1-Q324)*($G$7-$E$7)*($G$7-$F$7))))</f>
        <v>0.949248636009515</v>
      </c>
      <c r="D324" s="51" t="n">
        <f aca="false">1+IF($G$8=$E$8,$F$8,IF(R324&lt;($F$8-$E$8)/($G$8-$E$8),$E$8+SQRT(R324*($G$8-$E$8)*($F$8-$E$8)),$G$8-SQRT((1-R324)*($G$8-$E$8)*($G$8-$F$8))))</f>
        <v>0.986744838705502</v>
      </c>
      <c r="E324" s="51" t="n">
        <f aca="false">1+IF($G$9=$E$9,$F$9,IF(S324&lt;($F$9-$E$9)/($G$9-$E$9),$E$9+SQRT(S324*($G$9-$E$9)*($F$9-$E$9)),$G$9-SQRT((1-S324)*($G$9-$E$9)*($G$9-$F$9))))</f>
        <v>0.999481648125155</v>
      </c>
      <c r="F324" s="51" t="n">
        <f aca="false">1+IF($G$10=$E$10,$F$10,IF(T324&lt;($F$10-$E$10)/($G$10-$E$10),$E$10+SQRT(T324*($G$10-$E$10)*($F$10-$E$10)),$G$10-SQRT((1-T324)*($G$10-$E$10)*($G$10-$F$10))))</f>
        <v>1.12104519960872</v>
      </c>
      <c r="G324" s="52" t="n">
        <f aca="false">IF($G$11=$E$11,$F$11,IF(U324&lt;($F$11-$E$11)/($G$11-$E$11),$E$11+SQRT(U324*($G$11-$E$11)*($F$11-$E$11)),$G$11-SQRT((1-U324)*($G$11-$E$11)*($G$11-$F$11))))</f>
        <v>0.107686042462108</v>
      </c>
      <c r="H324" s="53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-2242090399.21743</v>
      </c>
      <c r="I324" s="53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17907330.6062591</v>
      </c>
      <c r="J324" s="53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340831707.892005</v>
      </c>
      <c r="K324" s="53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719808345.158187</v>
      </c>
      <c r="L324" s="53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861307295.156915</v>
      </c>
      <c r="M324" s="53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1047523495.12605</v>
      </c>
      <c r="N324" s="53" t="n">
        <f aca="false">IF(COUNT('Business Case'!B11:G11)=0,"",H324+NPV(G324,I324:M324))</f>
        <v>-218217173.708448</v>
      </c>
      <c r="P324" s="54" t="n">
        <f aca="true">RAND()</f>
        <v>0.98683530536859</v>
      </c>
      <c r="Q324" s="54" t="n">
        <f aca="true">RAND()</f>
        <v>0.318216505010008</v>
      </c>
      <c r="R324" s="54" t="n">
        <f aca="true">RAND()</f>
        <v>0.207720487922052</v>
      </c>
      <c r="S324" s="54" t="n">
        <f aca="true">RAND()</f>
        <v>0.326457800157554</v>
      </c>
      <c r="T324" s="54" t="n">
        <f aca="true">RAND()</f>
        <v>0.87532278990345</v>
      </c>
      <c r="U324" s="54" t="n">
        <f aca="true">RAND()</f>
        <v>0.74727741625832</v>
      </c>
    </row>
    <row r="325" customFormat="false" ht="15" hidden="false" customHeight="false" outlineLevel="0" collapsed="false">
      <c r="A325" s="50" t="n">
        <v>245</v>
      </c>
      <c r="B325" s="51" t="n">
        <f aca="false">1+IF($G$6=$E$6,$F$6,IF(P325&lt;($F$6-$E$6)/($G$6-$E$6),$E$6+SQRT(P325*($G$6-$E$6)*($F$6-$E$6)),$G$6-SQRT((1-P325)*($G$6-$E$6)*($G$6-$F$6))))</f>
        <v>1.00486329765916</v>
      </c>
      <c r="C325" s="51" t="n">
        <f aca="false">1+IF($G$7=$E$7,$F$7,IF(Q325&lt;($F$7-$E$7)/($G$7-$E$7),$E$7+SQRT(Q325*($G$7-$E$7)*($F$7-$E$7)),$G$7-SQRT((1-Q325)*($G$7-$E$7)*($G$7-$F$7))))</f>
        <v>0.945533972245302</v>
      </c>
      <c r="D325" s="51" t="n">
        <f aca="false">1+IF($G$8=$E$8,$F$8,IF(R325&lt;($F$8-$E$8)/($G$8-$E$8),$E$8+SQRT(R325*($G$8-$E$8)*($F$8-$E$8)),$G$8-SQRT((1-R325)*($G$8-$E$8)*($G$8-$F$8))))</f>
        <v>0.994916266256308</v>
      </c>
      <c r="E325" s="51" t="n">
        <f aca="false">1+IF($G$9=$E$9,$F$9,IF(S325&lt;($F$9-$E$9)/($G$9-$E$9),$E$9+SQRT(S325*($G$9-$E$9)*($F$9-$E$9)),$G$9-SQRT((1-S325)*($G$9-$E$9)*($G$9-$F$9))))</f>
        <v>0.962622031656582</v>
      </c>
      <c r="F325" s="51" t="n">
        <f aca="false">1+IF($G$10=$E$10,$F$10,IF(T325&lt;($F$10-$E$10)/($G$10-$E$10),$E$10+SQRT(T325*($G$10-$E$10)*($F$10-$E$10)),$G$10-SQRT((1-T325)*($G$10-$E$10)*($G$10-$F$10))))</f>
        <v>1.04415041610801</v>
      </c>
      <c r="G325" s="52" t="n">
        <f aca="false">IF($G$11=$E$11,$F$11,IF(U325&lt;($F$11-$E$11)/($G$11-$E$11),$E$11+SQRT(U325*($G$11-$E$11)*($F$11-$E$11)),$G$11-SQRT((1-U325)*($G$11-$E$11)*($G$11-$F$11))))</f>
        <v>0.111728784373721</v>
      </c>
      <c r="H325" s="53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-2088300832.21602</v>
      </c>
      <c r="I325" s="53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6095043.77874222</v>
      </c>
      <c r="J325" s="53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302744844.928944</v>
      </c>
      <c r="K325" s="53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651602166.884547</v>
      </c>
      <c r="L325" s="53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783322009.174009</v>
      </c>
      <c r="M325" s="53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963923172.990685</v>
      </c>
      <c r="N325" s="53" t="n">
        <f aca="false">IF(COUNT('Business Case'!B11:G11)=0,"",H325+NPV(G325,I325:M325))</f>
        <v>-283236857.323269</v>
      </c>
      <c r="P325" s="54" t="n">
        <f aca="true">RAND()</f>
        <v>0.742794197627265</v>
      </c>
      <c r="Q325" s="54" t="n">
        <f aca="true">RAND()</f>
        <v>0.302573386821377</v>
      </c>
      <c r="R325" s="54" t="n">
        <f aca="true">RAND()</f>
        <v>0.310380149908856</v>
      </c>
      <c r="S325" s="54" t="n">
        <f aca="true">RAND()</f>
        <v>0.0212420910852996</v>
      </c>
      <c r="T325" s="54" t="n">
        <f aca="true">RAND()</f>
        <v>0.514218144013863</v>
      </c>
      <c r="U325" s="54" t="n">
        <f aca="true">RAND()</f>
        <v>0.885978320105995</v>
      </c>
    </row>
    <row r="326" customFormat="false" ht="15" hidden="false" customHeight="false" outlineLevel="0" collapsed="false">
      <c r="A326" s="50" t="n">
        <v>246</v>
      </c>
      <c r="B326" s="51" t="n">
        <f aca="false">1+IF($G$6=$E$6,$F$6,IF(P326&lt;($F$6-$E$6)/($G$6-$E$6),$E$6+SQRT(P326*($G$6-$E$6)*($F$6-$E$6)),$G$6-SQRT((1-P326)*($G$6-$E$6)*($G$6-$F$6))))</f>
        <v>0.997686279120654</v>
      </c>
      <c r="C326" s="51" t="n">
        <f aca="false">1+IF($G$7=$E$7,$F$7,IF(Q326&lt;($F$7-$E$7)/($G$7-$E$7),$E$7+SQRT(Q326*($G$7-$E$7)*($F$7-$E$7)),$G$7-SQRT((1-Q326)*($G$7-$E$7)*($G$7-$F$7))))</f>
        <v>1.09995725536294</v>
      </c>
      <c r="D326" s="51" t="n">
        <f aca="false">1+IF($G$8=$E$8,$F$8,IF(R326&lt;($F$8-$E$8)/($G$8-$E$8),$E$8+SQRT(R326*($G$8-$E$8)*($F$8-$E$8)),$G$8-SQRT((1-R326)*($G$8-$E$8)*($G$8-$F$8))))</f>
        <v>1.0146676343362</v>
      </c>
      <c r="E326" s="51" t="n">
        <f aca="false">1+IF($G$9=$E$9,$F$9,IF(S326&lt;($F$9-$E$9)/($G$9-$E$9),$E$9+SQRT(S326*($G$9-$E$9)*($F$9-$E$9)),$G$9-SQRT((1-S326)*($G$9-$E$9)*($G$9-$F$9))))</f>
        <v>0.996026260497916</v>
      </c>
      <c r="F326" s="51" t="n">
        <f aca="false">1+IF($G$10=$E$10,$F$10,IF(T326&lt;($F$10-$E$10)/($G$10-$E$10),$E$10+SQRT(T326*($G$10-$E$10)*($F$10-$E$10)),$G$10-SQRT((1-T326)*($G$10-$E$10)*($G$10-$F$10))))</f>
        <v>1.12801317695607</v>
      </c>
      <c r="G326" s="52" t="n">
        <f aca="false">IF($G$11=$E$11,$F$11,IF(U326&lt;($F$11-$E$11)/($G$11-$E$11),$E$11+SQRT(U326*($G$11-$E$11)*($F$11-$E$11)),$G$11-SQRT((1-U326)*($G$11-$E$11)*($G$11-$F$11))))</f>
        <v>0.0978250192070849</v>
      </c>
      <c r="H326" s="53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-2256026353.91214</v>
      </c>
      <c r="I326" s="53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16184234.0023624</v>
      </c>
      <c r="J326" s="53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343694571.568659</v>
      </c>
      <c r="K326" s="53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727605567.98276</v>
      </c>
      <c r="L326" s="53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874702248.255208</v>
      </c>
      <c r="M326" s="53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1083298370.88213</v>
      </c>
      <c r="N326" s="53" t="n">
        <f aca="false">IF(COUNT('Business Case'!B11:G11)=0,"",H326+NPV(G326,I326:M326))</f>
        <v>-124681613.579786</v>
      </c>
      <c r="P326" s="54" t="n">
        <f aca="true">RAND()</f>
        <v>0.628662287876272</v>
      </c>
      <c r="Q326" s="54" t="n">
        <f aca="true">RAND()</f>
        <v>0.952299499222673</v>
      </c>
      <c r="R326" s="54" t="n">
        <f aca="true">RAND()</f>
        <v>0.589584807381883</v>
      </c>
      <c r="S326" s="54" t="n">
        <f aca="true">RAND()</f>
        <v>0.28245555405627</v>
      </c>
      <c r="T326" s="54" t="n">
        <f aca="true">RAND()</f>
        <v>0.896357946160844</v>
      </c>
      <c r="U326" s="54" t="n">
        <f aca="true">RAND()</f>
        <v>0.204103085304158</v>
      </c>
    </row>
    <row r="327" customFormat="false" ht="15" hidden="false" customHeight="false" outlineLevel="0" collapsed="false">
      <c r="A327" s="50" t="n">
        <v>247</v>
      </c>
      <c r="B327" s="51" t="n">
        <f aca="false">1+IF($G$6=$E$6,$F$6,IF(P327&lt;($F$6-$E$6)/($G$6-$E$6),$E$6+SQRT(P327*($G$6-$E$6)*($F$6-$E$6)),$G$6-SQRT((1-P327)*($G$6-$E$6)*($G$6-$F$6))))</f>
        <v>0.992342947352752</v>
      </c>
      <c r="C327" s="51" t="n">
        <f aca="false">1+IF($G$7=$E$7,$F$7,IF(Q327&lt;($F$7-$E$7)/($G$7-$E$7),$E$7+SQRT(Q327*($G$7-$E$7)*($F$7-$E$7)),$G$7-SQRT((1-Q327)*($G$7-$E$7)*($G$7-$F$7))))</f>
        <v>0.854310736645951</v>
      </c>
      <c r="D327" s="51" t="n">
        <f aca="false">1+IF($G$8=$E$8,$F$8,IF(R327&lt;($F$8-$E$8)/($G$8-$E$8),$E$8+SQRT(R327*($G$8-$E$8)*($F$8-$E$8)),$G$8-SQRT((1-R327)*($G$8-$E$8)*($G$8-$F$8))))</f>
        <v>1.06682268968328</v>
      </c>
      <c r="E327" s="51" t="n">
        <f aca="false">1+IF($G$9=$E$9,$F$9,IF(S327&lt;($F$9-$E$9)/($G$9-$E$9),$E$9+SQRT(S327*($G$9-$E$9)*($F$9-$E$9)),$G$9-SQRT((1-S327)*($G$9-$E$9)*($G$9-$F$9))))</f>
        <v>1.01158211675821</v>
      </c>
      <c r="F327" s="51" t="n">
        <f aca="false">1+IF($G$10=$E$10,$F$10,IF(T327&lt;($F$10-$E$10)/($G$10-$E$10),$E$10+SQRT(T327*($G$10-$E$10)*($F$10-$E$10)),$G$10-SQRT((1-T327)*($G$10-$E$10)*($G$10-$F$10))))</f>
        <v>0.978886297112865</v>
      </c>
      <c r="G327" s="52" t="n">
        <f aca="false">IF($G$11=$E$11,$F$11,IF(U327&lt;($F$11-$E$11)/($G$11-$E$11),$E$11+SQRT(U327*($G$11-$E$11)*($F$11-$E$11)),$G$11-SQRT((1-U327)*($G$11-$E$11)*($G$11-$F$11))))</f>
        <v>0.101570486096078</v>
      </c>
      <c r="H327" s="53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-1957772594.22573</v>
      </c>
      <c r="I327" s="53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-57862825.5345453</v>
      </c>
      <c r="J327" s="53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169958312.754349</v>
      </c>
      <c r="K327" s="53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446723765.898887</v>
      </c>
      <c r="L327" s="53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551963050.067943</v>
      </c>
      <c r="M327" s="53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713107026.134777</v>
      </c>
      <c r="N327" s="53" t="n">
        <f aca="false">IF(COUNT('Business Case'!B11:G11)=0,"",H327+NPV(G327,I327:M327))</f>
        <v>-721553373.792878</v>
      </c>
      <c r="P327" s="54" t="n">
        <f aca="true">RAND()</f>
        <v>0.545156461633657</v>
      </c>
      <c r="Q327" s="54" t="n">
        <f aca="true">RAND()</f>
        <v>0.0421379445003684</v>
      </c>
      <c r="R327" s="54" t="n">
        <f aca="true">RAND()</f>
        <v>0.983303701232381</v>
      </c>
      <c r="S327" s="54" t="n">
        <f aca="true">RAND()</f>
        <v>0.478818528202692</v>
      </c>
      <c r="T327" s="54" t="n">
        <f aca="true">RAND()</f>
        <v>0.066753452871416</v>
      </c>
      <c r="U327" s="54" t="n">
        <f aca="true">RAND()</f>
        <v>0.433921695441926</v>
      </c>
    </row>
    <row r="328" customFormat="false" ht="15" hidden="false" customHeight="false" outlineLevel="0" collapsed="false">
      <c r="A328" s="50" t="n">
        <v>248</v>
      </c>
      <c r="B328" s="51" t="n">
        <f aca="false">1+IF($G$6=$E$6,$F$6,IF(P328&lt;($F$6-$E$6)/($G$6-$E$6),$E$6+SQRT(P328*($G$6-$E$6)*($F$6-$E$6)),$G$6-SQRT((1-P328)*($G$6-$E$6)*($G$6-$F$6))))</f>
        <v>1.00303346337717</v>
      </c>
      <c r="C328" s="51" t="n">
        <f aca="false">1+IF($G$7=$E$7,$F$7,IF(Q328&lt;($F$7-$E$7)/($G$7-$E$7),$E$7+SQRT(Q328*($G$7-$E$7)*($F$7-$E$7)),$G$7-SQRT((1-Q328)*($G$7-$E$7)*($G$7-$F$7))))</f>
        <v>1.05130770672905</v>
      </c>
      <c r="D328" s="51" t="n">
        <f aca="false">1+IF($G$8=$E$8,$F$8,IF(R328&lt;($F$8-$E$8)/($G$8-$E$8),$E$8+SQRT(R328*($G$8-$E$8)*($F$8-$E$8)),$G$8-SQRT((1-R328)*($G$8-$E$8)*($G$8-$F$8))))</f>
        <v>1.01870006902195</v>
      </c>
      <c r="E328" s="51" t="n">
        <f aca="false">1+IF($G$9=$E$9,$F$9,IF(S328&lt;($F$9-$E$9)/($G$9-$E$9),$E$9+SQRT(S328*($G$9-$E$9)*($F$9-$E$9)),$G$9-SQRT((1-S328)*($G$9-$E$9)*($G$9-$F$9))))</f>
        <v>1.0120569777193</v>
      </c>
      <c r="F328" s="51" t="n">
        <f aca="false">1+IF($G$10=$E$10,$F$10,IF(T328&lt;($F$10-$E$10)/($G$10-$E$10),$E$10+SQRT(T328*($G$10-$E$10)*($F$10-$E$10)),$G$10-SQRT((1-T328)*($G$10-$E$10)*($G$10-$F$10))))</f>
        <v>0.989001575469495</v>
      </c>
      <c r="G328" s="52" t="n">
        <f aca="false">IF($G$11=$E$11,$F$11,IF(U328&lt;($F$11-$E$11)/($G$11-$E$11),$E$11+SQRT(U328*($G$11-$E$11)*($F$11-$E$11)),$G$11-SQRT((1-U328)*($G$11-$E$11)*($G$11-$F$11))))</f>
        <v>0.0991411467212076</v>
      </c>
      <c r="H328" s="53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-1978003150.93899</v>
      </c>
      <c r="I328" s="53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17979490.7443025</v>
      </c>
      <c r="J328" s="53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333438755.905703</v>
      </c>
      <c r="K328" s="53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698348099.840578</v>
      </c>
      <c r="L328" s="53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839944597.986687</v>
      </c>
      <c r="M328" s="53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1040383351.66105</v>
      </c>
      <c r="N328" s="53" t="n">
        <f aca="false">IF(COUNT('Business Case'!B11:G11)=0,"",H328+NPV(G328,I328:M328))</f>
        <v>64277492.2428985</v>
      </c>
      <c r="P328" s="54" t="n">
        <f aca="true">RAND()</f>
        <v>0.715307327106801</v>
      </c>
      <c r="Q328" s="54" t="n">
        <f aca="true">RAND()</f>
        <v>0.814472976169937</v>
      </c>
      <c r="R328" s="54" t="n">
        <f aca="true">RAND()</f>
        <v>0.638684467508344</v>
      </c>
      <c r="S328" s="54" t="n">
        <f aca="true">RAND()</f>
        <v>0.484401655475766</v>
      </c>
      <c r="T328" s="54" t="n">
        <f aca="true">RAND()</f>
        <v>0.121689831128217</v>
      </c>
      <c r="U328" s="54" t="n">
        <f aca="true">RAND()</f>
        <v>0.278535211262146</v>
      </c>
    </row>
    <row r="329" customFormat="false" ht="15" hidden="false" customHeight="false" outlineLevel="0" collapsed="false">
      <c r="A329" s="50" t="n">
        <v>249</v>
      </c>
      <c r="B329" s="51" t="n">
        <f aca="false">1+IF($G$6=$E$6,$F$6,IF(P329&lt;($F$6-$E$6)/($G$6-$E$6),$E$6+SQRT(P329*($G$6-$E$6)*($F$6-$E$6)),$G$6-SQRT((1-P329)*($G$6-$E$6)*($G$6-$F$6))))</f>
        <v>1.01007072819002</v>
      </c>
      <c r="C329" s="51" t="n">
        <f aca="false">1+IF($G$7=$E$7,$F$7,IF(Q329&lt;($F$7-$E$7)/($G$7-$E$7),$E$7+SQRT(Q329*($G$7-$E$7)*($F$7-$E$7)),$G$7-SQRT((1-Q329)*($G$7-$E$7)*($G$7-$F$7))))</f>
        <v>0.900158040023051</v>
      </c>
      <c r="D329" s="51" t="n">
        <f aca="false">1+IF($G$8=$E$8,$F$8,IF(R329&lt;($F$8-$E$8)/($G$8-$E$8),$E$8+SQRT(R329*($G$8-$E$8)*($F$8-$E$8)),$G$8-SQRT((1-R329)*($G$8-$E$8)*($G$8-$F$8))))</f>
        <v>0.992993497537248</v>
      </c>
      <c r="E329" s="51" t="n">
        <f aca="false">1+IF($G$9=$E$9,$F$9,IF(S329&lt;($F$9-$E$9)/($G$9-$E$9),$E$9+SQRT(S329*($G$9-$E$9)*($F$9-$E$9)),$G$9-SQRT((1-S329)*($G$9-$E$9)*($G$9-$F$9))))</f>
        <v>0.99355895306711</v>
      </c>
      <c r="F329" s="51" t="n">
        <f aca="false">1+IF($G$10=$E$10,$F$10,IF(T329&lt;($F$10-$E$10)/($G$10-$E$10),$E$10+SQRT(T329*($G$10-$E$10)*($F$10-$E$10)),$G$10-SQRT((1-T329)*($G$10-$E$10)*($G$10-$F$10))))</f>
        <v>1.04148078839003</v>
      </c>
      <c r="G329" s="52" t="n">
        <f aca="false">IF($G$11=$E$11,$F$11,IF(U329&lt;($F$11-$E$11)/($G$11-$E$11),$E$11+SQRT(U329*($G$11-$E$11)*($F$11-$E$11)),$G$11-SQRT((1-U329)*($G$11-$E$11)*($G$11-$F$11))))</f>
        <v>0.099094859721725</v>
      </c>
      <c r="H329" s="53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-2082961576.78007</v>
      </c>
      <c r="I329" s="53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-5427206.1838273</v>
      </c>
      <c r="J329" s="53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281711884.79413</v>
      </c>
      <c r="K329" s="53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620925015.19159</v>
      </c>
      <c r="L329" s="53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748060802.315334</v>
      </c>
      <c r="M329" s="53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920885964.703007</v>
      </c>
      <c r="N329" s="53" t="n">
        <f aca="false">IF(COUNT('Business Case'!B11:G11)=0,"",H329+NPV(G329,I329:M329))</f>
        <v>-300255590.291453</v>
      </c>
      <c r="P329" s="54" t="n">
        <f aca="true">RAND()</f>
        <v>0.813383060192628</v>
      </c>
      <c r="Q329" s="54" t="n">
        <f aca="true">RAND()</f>
        <v>0.143309042589416</v>
      </c>
      <c r="R329" s="54" t="n">
        <f aca="true">RAND()</f>
        <v>0.284375512382362</v>
      </c>
      <c r="S329" s="54" t="n">
        <f aca="true">RAND()</f>
        <v>0.252984318973697</v>
      </c>
      <c r="T329" s="54" t="n">
        <f aca="true">RAND()</f>
        <v>0.497433191011093</v>
      </c>
      <c r="U329" s="54" t="n">
        <f aca="true">RAND()</f>
        <v>0.275721577859519</v>
      </c>
    </row>
    <row r="330" customFormat="false" ht="15" hidden="false" customHeight="false" outlineLevel="0" collapsed="false">
      <c r="A330" s="50" t="n">
        <v>250</v>
      </c>
      <c r="B330" s="51" t="n">
        <f aca="false">1+IF($G$6=$E$6,$F$6,IF(P330&lt;($F$6-$E$6)/($G$6-$E$6),$E$6+SQRT(P330*($G$6-$E$6)*($F$6-$E$6)),$G$6-SQRT((1-P330)*($G$6-$E$6)*($G$6-$F$6))))</f>
        <v>0.998380911071686</v>
      </c>
      <c r="C330" s="51" t="n">
        <f aca="false">1+IF($G$7=$E$7,$F$7,IF(Q330&lt;($F$7-$E$7)/($G$7-$E$7),$E$7+SQRT(Q330*($G$7-$E$7)*($F$7-$E$7)),$G$7-SQRT((1-Q330)*($G$7-$E$7)*($G$7-$F$7))))</f>
        <v>1.01759616354868</v>
      </c>
      <c r="D330" s="51" t="n">
        <f aca="false">1+IF($G$8=$E$8,$F$8,IF(R330&lt;($F$8-$E$8)/($G$8-$E$8),$E$8+SQRT(R330*($G$8-$E$8)*($F$8-$E$8)),$G$8-SQRT((1-R330)*($G$8-$E$8)*($G$8-$F$8))))</f>
        <v>0.965938434305235</v>
      </c>
      <c r="E330" s="51" t="n">
        <f aca="false">1+IF($G$9=$E$9,$F$9,IF(S330&lt;($F$9-$E$9)/($G$9-$E$9),$E$9+SQRT(S330*($G$9-$E$9)*($F$9-$E$9)),$G$9-SQRT((1-S330)*($G$9-$E$9)*($G$9-$F$9))))</f>
        <v>0.985595119835514</v>
      </c>
      <c r="F330" s="51" t="n">
        <f aca="false">1+IF($G$10=$E$10,$F$10,IF(T330&lt;($F$10-$E$10)/($G$10-$E$10),$E$10+SQRT(T330*($G$10-$E$10)*($F$10-$E$10)),$G$10-SQRT((1-T330)*($G$10-$E$10)*($G$10-$F$10))))</f>
        <v>1.00099036352558</v>
      </c>
      <c r="G330" s="52" t="n">
        <f aca="false">IF($G$11=$E$11,$F$11,IF(U330&lt;($F$11-$E$11)/($G$11-$E$11),$E$11+SQRT(U330*($G$11-$E$11)*($F$11-$E$11)),$G$11-SQRT((1-U330)*($G$11-$E$11)*($G$11-$F$11))))</f>
        <v>0.098822523618792</v>
      </c>
      <c r="H330" s="53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-2001980727.05116</v>
      </c>
      <c r="I330" s="53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36033391.6646496</v>
      </c>
      <c r="J330" s="53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364984220.361961</v>
      </c>
      <c r="K330" s="53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743984567.235552</v>
      </c>
      <c r="L330" s="53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888746026.560986</v>
      </c>
      <c r="M330" s="53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1081857533.57246</v>
      </c>
      <c r="N330" s="53" t="n">
        <f aca="false">IF(COUNT('Business Case'!B11:G11)=0,"",H330+NPV(G330,I330:M330))</f>
        <v>178851020.205958</v>
      </c>
      <c r="P330" s="54" t="n">
        <f aca="true">RAND()</f>
        <v>0.639954918794535</v>
      </c>
      <c r="Q330" s="54" t="n">
        <f aca="true">RAND()</f>
        <v>0.666080458913745</v>
      </c>
      <c r="R330" s="54" t="n">
        <f aca="true">RAND()</f>
        <v>0.0390821058618904</v>
      </c>
      <c r="S330" s="54" t="n">
        <f aca="true">RAND()</f>
        <v>0.168935007480611</v>
      </c>
      <c r="T330" s="54" t="n">
        <f aca="true">RAND()</f>
        <v>0.207903291806401</v>
      </c>
      <c r="U330" s="54" t="n">
        <f aca="true">RAND()</f>
        <v>0.259456410013811</v>
      </c>
    </row>
    <row r="331" customFormat="false" ht="15" hidden="false" customHeight="false" outlineLevel="0" collapsed="false">
      <c r="A331" s="50" t="n">
        <v>251</v>
      </c>
      <c r="B331" s="51" t="n">
        <f aca="false">1+IF($G$6=$E$6,$F$6,IF(P331&lt;($F$6-$E$6)/($G$6-$E$6),$E$6+SQRT(P331*($G$6-$E$6)*($F$6-$E$6)),$G$6-SQRT((1-P331)*($G$6-$E$6)*($G$6-$F$6))))</f>
        <v>0.990199167133117</v>
      </c>
      <c r="C331" s="51" t="n">
        <f aca="false">1+IF($G$7=$E$7,$F$7,IF(Q331&lt;($F$7-$E$7)/($G$7-$E$7),$E$7+SQRT(Q331*($G$7-$E$7)*($F$7-$E$7)),$G$7-SQRT((1-Q331)*($G$7-$E$7)*($G$7-$F$7))))</f>
        <v>1.08729253746918</v>
      </c>
      <c r="D331" s="51" t="n">
        <f aca="false">1+IF($G$8=$E$8,$F$8,IF(R331&lt;($F$8-$E$8)/($G$8-$E$8),$E$8+SQRT(R331*($G$8-$E$8)*($F$8-$E$8)),$G$8-SQRT((1-R331)*($G$8-$E$8)*($G$8-$F$8))))</f>
        <v>0.982093061361363</v>
      </c>
      <c r="E331" s="51" t="n">
        <f aca="false">1+IF($G$9=$E$9,$F$9,IF(S331&lt;($F$9-$E$9)/($G$9-$E$9),$E$9+SQRT(S331*($G$9-$E$9)*($F$9-$E$9)),$G$9-SQRT((1-S331)*($G$9-$E$9)*($G$9-$F$9))))</f>
        <v>1.01036732971714</v>
      </c>
      <c r="F331" s="51" t="n">
        <f aca="false">1+IF($G$10=$E$10,$F$10,IF(T331&lt;($F$10-$E$10)/($G$10-$E$10),$E$10+SQRT(T331*($G$10-$E$10)*($F$10-$E$10)),$G$10-SQRT((1-T331)*($G$10-$E$10)*($G$10-$F$10))))</f>
        <v>1.01664658634097</v>
      </c>
      <c r="G331" s="52" t="n">
        <f aca="false">IF($G$11=$E$11,$F$11,IF(U331&lt;($F$11-$E$11)/($G$11-$E$11),$E$11+SQRT(U331*($G$11-$E$11)*($F$11-$E$11)),$G$11-SQRT((1-U331)*($G$11-$E$11)*($G$11-$F$11))))</f>
        <v>0.0980336553406156</v>
      </c>
      <c r="H331" s="53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-2033293172.68193</v>
      </c>
      <c r="I331" s="53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34051153.2066646</v>
      </c>
      <c r="J331" s="53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369254018.128463</v>
      </c>
      <c r="K331" s="53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755289212.36731</v>
      </c>
      <c r="L331" s="53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904232046.538083</v>
      </c>
      <c r="M331" s="53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1108879048.78737</v>
      </c>
      <c r="N331" s="53" t="n">
        <f aca="false">IF(COUNT('Business Case'!B11:G11)=0,"",H331+NPV(G331,I331:M331))</f>
        <v>191246777.851836</v>
      </c>
      <c r="P331" s="54" t="n">
        <f aca="true">RAND()</f>
        <v>0.513325319394091</v>
      </c>
      <c r="Q331" s="54" t="n">
        <f aca="true">RAND()</f>
        <v>0.925100459865629</v>
      </c>
      <c r="R331" s="54" t="n">
        <f aca="true">RAND()</f>
        <v>0.158456090391415</v>
      </c>
      <c r="S331" s="54" t="n">
        <f aca="true">RAND()</f>
        <v>0.464398961197586</v>
      </c>
      <c r="T331" s="54" t="n">
        <f aca="true">RAND()</f>
        <v>0.327630513991578</v>
      </c>
      <c r="U331" s="54" t="n">
        <f aca="true">RAND()</f>
        <v>0.215132060439337</v>
      </c>
    </row>
    <row r="332" customFormat="false" ht="15" hidden="false" customHeight="false" outlineLevel="0" collapsed="false">
      <c r="A332" s="50" t="n">
        <v>252</v>
      </c>
      <c r="B332" s="51" t="n">
        <f aca="false">1+IF($G$6=$E$6,$F$6,IF(P332&lt;($F$6-$E$6)/($G$6-$E$6),$E$6+SQRT(P332*($G$6-$E$6)*($F$6-$E$6)),$G$6-SQRT((1-P332)*($G$6-$E$6)*($G$6-$F$6))))</f>
        <v>1.00311265619451</v>
      </c>
      <c r="C332" s="51" t="n">
        <f aca="false">1+IF($G$7=$E$7,$F$7,IF(Q332&lt;($F$7-$E$7)/($G$7-$E$7),$E$7+SQRT(Q332*($G$7-$E$7)*($F$7-$E$7)),$G$7-SQRT((1-Q332)*($G$7-$E$7)*($G$7-$F$7))))</f>
        <v>0.887660602609797</v>
      </c>
      <c r="D332" s="51" t="n">
        <f aca="false">1+IF($G$8=$E$8,$F$8,IF(R332&lt;($F$8-$E$8)/($G$8-$E$8),$E$8+SQRT(R332*($G$8-$E$8)*($F$8-$E$8)),$G$8-SQRT((1-R332)*($G$8-$E$8)*($G$8-$F$8))))</f>
        <v>1.05005829057475</v>
      </c>
      <c r="E332" s="51" t="n">
        <f aca="false">1+IF($G$9=$E$9,$F$9,IF(S332&lt;($F$9-$E$9)/($G$9-$E$9),$E$9+SQRT(S332*($G$9-$E$9)*($F$9-$E$9)),$G$9-SQRT((1-S332)*($G$9-$E$9)*($G$9-$F$9))))</f>
        <v>0.989151718818339</v>
      </c>
      <c r="F332" s="51" t="n">
        <f aca="false">1+IF($G$10=$E$10,$F$10,IF(T332&lt;($F$10-$E$10)/($G$10-$E$10),$E$10+SQRT(T332*($G$10-$E$10)*($F$10-$E$10)),$G$10-SQRT((1-T332)*($G$10-$E$10)*($G$10-$F$10))))</f>
        <v>1.09954947313218</v>
      </c>
      <c r="G332" s="52" t="n">
        <f aca="false">IF($G$11=$E$11,$F$11,IF(U332&lt;($F$11-$E$11)/($G$11-$E$11),$E$11+SQRT(U332*($G$11-$E$11)*($F$11-$E$11)),$G$11-SQRT((1-U332)*($G$11-$E$11)*($G$11-$F$11))))</f>
        <v>0.0992242430851377</v>
      </c>
      <c r="H332" s="53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-2199098946.26437</v>
      </c>
      <c r="I332" s="53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-44609118.2154739</v>
      </c>
      <c r="J332" s="53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207553643.93858</v>
      </c>
      <c r="K332" s="53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514693879.749243</v>
      </c>
      <c r="L332" s="53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629521172.894155</v>
      </c>
      <c r="M332" s="53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798772887.90874</v>
      </c>
      <c r="N332" s="53" t="n">
        <f aca="false">IF(COUNT('Business Case'!B11:G11)=0,"",H332+NPV(G332,I332:M332))</f>
        <v>-751476545.929664</v>
      </c>
      <c r="P332" s="54" t="n">
        <f aca="true">RAND()</f>
        <v>0.716525805619874</v>
      </c>
      <c r="Q332" s="54" t="n">
        <f aca="true">RAND()</f>
        <v>0.109776874998754</v>
      </c>
      <c r="R332" s="54" t="n">
        <f aca="true">RAND()</f>
        <v>0.913797503528245</v>
      </c>
      <c r="S332" s="54" t="n">
        <f aca="true">RAND()</f>
        <v>0.204380944857372</v>
      </c>
      <c r="T332" s="54" t="n">
        <f aca="true">RAND()</f>
        <v>0.798193833039563</v>
      </c>
      <c r="U332" s="54" t="n">
        <f aca="true">RAND()</f>
        <v>0.283622201645704</v>
      </c>
    </row>
    <row r="333" customFormat="false" ht="15" hidden="false" customHeight="false" outlineLevel="0" collapsed="false">
      <c r="A333" s="50" t="n">
        <v>253</v>
      </c>
      <c r="B333" s="51" t="n">
        <f aca="false">1+IF($G$6=$E$6,$F$6,IF(P333&lt;($F$6-$E$6)/($G$6-$E$6),$E$6+SQRT(P333*($G$6-$E$6)*($F$6-$E$6)),$G$6-SQRT((1-P333)*($G$6-$E$6)*($G$6-$F$6))))</f>
        <v>0.980053763907261</v>
      </c>
      <c r="C333" s="51" t="n">
        <f aca="false">1+IF($G$7=$E$7,$F$7,IF(Q333&lt;($F$7-$E$7)/($G$7-$E$7),$E$7+SQRT(Q333*($G$7-$E$7)*($F$7-$E$7)),$G$7-SQRT((1-Q333)*($G$7-$E$7)*($G$7-$F$7))))</f>
        <v>0.887798215736207</v>
      </c>
      <c r="D333" s="51" t="n">
        <f aca="false">1+IF($G$8=$E$8,$F$8,IF(R333&lt;($F$8-$E$8)/($G$8-$E$8),$E$8+SQRT(R333*($G$8-$E$8)*($F$8-$E$8)),$G$8-SQRT((1-R333)*($G$8-$E$8)*($G$8-$F$8))))</f>
        <v>0.997498410620965</v>
      </c>
      <c r="E333" s="51" t="n">
        <f aca="false">1+IF($G$9=$E$9,$F$9,IF(S333&lt;($F$9-$E$9)/($G$9-$E$9),$E$9+SQRT(S333*($G$9-$E$9)*($F$9-$E$9)),$G$9-SQRT((1-S333)*($G$9-$E$9)*($G$9-$F$9))))</f>
        <v>0.999172887792182</v>
      </c>
      <c r="F333" s="51" t="n">
        <f aca="false">1+IF($G$10=$E$10,$F$10,IF(T333&lt;($F$10-$E$10)/($G$10-$E$10),$E$10+SQRT(T333*($G$10-$E$10)*($F$10-$E$10)),$G$10-SQRT((1-T333)*($G$10-$E$10)*($G$10-$F$10))))</f>
        <v>1.01818912593692</v>
      </c>
      <c r="G333" s="52" t="n">
        <f aca="false">IF($G$11=$E$11,$F$11,IF(U333&lt;($F$11-$E$11)/($G$11-$E$11),$E$11+SQRT(U333*($G$11-$E$11)*($F$11-$E$11)),$G$11-SQRT((1-U333)*($G$11-$E$11)*($G$11-$F$11))))</f>
        <v>0.104534001381709</v>
      </c>
      <c r="H333" s="53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-2036378251.87384</v>
      </c>
      <c r="I333" s="53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-29685155.5597599</v>
      </c>
      <c r="J333" s="53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229636450.832919</v>
      </c>
      <c r="K333" s="53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539867513.522443</v>
      </c>
      <c r="L333" s="53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656378358.796469</v>
      </c>
      <c r="M333" s="53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821765062.750362</v>
      </c>
      <c r="N333" s="53" t="n">
        <f aca="false">IF(COUNT('Business Case'!B11:G11)=0,"",H333+NPV(G333,I333:M333))</f>
        <v>-533526990.347832</v>
      </c>
      <c r="P333" s="54" t="n">
        <f aca="true">RAND()</f>
        <v>0.375672349940521</v>
      </c>
      <c r="Q333" s="54" t="n">
        <f aca="true">RAND()</f>
        <v>0.110121809806593</v>
      </c>
      <c r="R333" s="54" t="n">
        <f aca="true">RAND()</f>
        <v>0.347092155618124</v>
      </c>
      <c r="S333" s="54" t="n">
        <f aca="true">RAND()</f>
        <v>0.322396385843006</v>
      </c>
      <c r="T333" s="54" t="n">
        <f aca="true">RAND()</f>
        <v>0.33889612144837</v>
      </c>
      <c r="U333" s="54" t="n">
        <f aca="true">RAND()</f>
        <v>0.601338144565051</v>
      </c>
    </row>
    <row r="334" customFormat="false" ht="15" hidden="false" customHeight="false" outlineLevel="0" collapsed="false">
      <c r="A334" s="50" t="n">
        <v>254</v>
      </c>
      <c r="B334" s="51" t="n">
        <f aca="false">1+IF($G$6=$E$6,$F$6,IF(P334&lt;($F$6-$E$6)/($G$6-$E$6),$E$6+SQRT(P334*($G$6-$E$6)*($F$6-$E$6)),$G$6-SQRT((1-P334)*($G$6-$E$6)*($G$6-$F$6))))</f>
        <v>0.991928498997653</v>
      </c>
      <c r="C334" s="51" t="n">
        <f aca="false">1+IF($G$7=$E$7,$F$7,IF(Q334&lt;($F$7-$E$7)/($G$7-$E$7),$E$7+SQRT(Q334*($G$7-$E$7)*($F$7-$E$7)),$G$7-SQRT((1-Q334)*($G$7-$E$7)*($G$7-$F$7))))</f>
        <v>1.02081147179279</v>
      </c>
      <c r="D334" s="51" t="n">
        <f aca="false">1+IF($G$8=$E$8,$F$8,IF(R334&lt;($F$8-$E$8)/($G$8-$E$8),$E$8+SQRT(R334*($G$8-$E$8)*($F$8-$E$8)),$G$8-SQRT((1-R334)*($G$8-$E$8)*($G$8-$F$8))))</f>
        <v>1.00617920321283</v>
      </c>
      <c r="E334" s="51" t="n">
        <f aca="false">1+IF($G$9=$E$9,$F$9,IF(S334&lt;($F$9-$E$9)/($G$9-$E$9),$E$9+SQRT(S334*($G$9-$E$9)*($F$9-$E$9)),$G$9-SQRT((1-S334)*($G$9-$E$9)*($G$9-$F$9))))</f>
        <v>0.999428762345504</v>
      </c>
      <c r="F334" s="51" t="n">
        <f aca="false">1+IF($G$10=$E$10,$F$10,IF(T334&lt;($F$10-$E$10)/($G$10-$E$10),$E$10+SQRT(T334*($G$10-$E$10)*($F$10-$E$10)),$G$10-SQRT((1-T334)*($G$10-$E$10)*($G$10-$F$10))))</f>
        <v>0.974459702430052</v>
      </c>
      <c r="G334" s="52" t="n">
        <f aca="false">IF($G$11=$E$11,$F$11,IF(U334&lt;($F$11-$E$11)/($G$11-$E$11),$E$11+SQRT(U334*($G$11-$E$11)*($F$11-$E$11)),$G$11-SQRT((1-U334)*($G$11-$E$11)*($G$11-$F$11))))</f>
        <v>0.0969227208617571</v>
      </c>
      <c r="H334" s="53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-1948919404.8601</v>
      </c>
      <c r="I334" s="53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11509995.1337453</v>
      </c>
      <c r="J334" s="53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315076462.528171</v>
      </c>
      <c r="K334" s="53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667365915.044099</v>
      </c>
      <c r="L334" s="53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803549225.517004</v>
      </c>
      <c r="M334" s="53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996018909.561534</v>
      </c>
      <c r="N334" s="53" t="n">
        <f aca="false">IF(COUNT('Business Case'!B11:G11)=0,"",H334+NPV(G334,I334:M334))</f>
        <v>11256752.769963</v>
      </c>
      <c r="P334" s="54" t="n">
        <f aca="true">RAND()</f>
        <v>0.538928017505761</v>
      </c>
      <c r="Q334" s="54" t="n">
        <f aca="true">RAND()</f>
        <v>0.68210141294581</v>
      </c>
      <c r="R334" s="54" t="n">
        <f aca="true">RAND()</f>
        <v>0.47600865016417</v>
      </c>
      <c r="S334" s="54" t="n">
        <f aca="true">RAND()</f>
        <v>0.325760339601113</v>
      </c>
      <c r="T334" s="54" t="n">
        <f aca="true">RAND()</f>
        <v>0.0478621634373362</v>
      </c>
      <c r="U334" s="54" t="n">
        <f aca="true">RAND()</f>
        <v>0.159746880432691</v>
      </c>
    </row>
    <row r="335" customFormat="false" ht="15" hidden="false" customHeight="false" outlineLevel="0" collapsed="false">
      <c r="A335" s="50" t="n">
        <v>255</v>
      </c>
      <c r="B335" s="51" t="n">
        <f aca="false">1+IF($G$6=$E$6,$F$6,IF(P335&lt;($F$6-$E$6)/($G$6-$E$6),$E$6+SQRT(P335*($G$6-$E$6)*($F$6-$E$6)),$G$6-SQRT((1-P335)*($G$6-$E$6)*($G$6-$F$6))))</f>
        <v>0.980798778324125</v>
      </c>
      <c r="C335" s="51" t="n">
        <f aca="false">1+IF($G$7=$E$7,$F$7,IF(Q335&lt;($F$7-$E$7)/($G$7-$E$7),$E$7+SQRT(Q335*($G$7-$E$7)*($F$7-$E$7)),$G$7-SQRT((1-Q335)*($G$7-$E$7)*($G$7-$F$7))))</f>
        <v>1.12378946908414</v>
      </c>
      <c r="D335" s="51" t="n">
        <f aca="false">1+IF($G$8=$E$8,$F$8,IF(R335&lt;($F$8-$E$8)/($G$8-$E$8),$E$8+SQRT(R335*($G$8-$E$8)*($F$8-$E$8)),$G$8-SQRT((1-R335)*($G$8-$E$8)*($G$8-$F$8))))</f>
        <v>1.0555442452042</v>
      </c>
      <c r="E335" s="51" t="n">
        <f aca="false">1+IF($G$9=$E$9,$F$9,IF(S335&lt;($F$9-$E$9)/($G$9-$E$9),$E$9+SQRT(S335*($G$9-$E$9)*($F$9-$E$9)),$G$9-SQRT((1-S335)*($G$9-$E$9)*($G$9-$F$9))))</f>
        <v>0.990562210248526</v>
      </c>
      <c r="F335" s="51" t="n">
        <f aca="false">1+IF($G$10=$E$10,$F$10,IF(T335&lt;($F$10-$E$10)/($G$10-$E$10),$E$10+SQRT(T335*($G$10-$E$10)*($F$10-$E$10)),$G$10-SQRT((1-T335)*($G$10-$E$10)*($G$10-$F$10))))</f>
        <v>1.00464750833734</v>
      </c>
      <c r="G335" s="52" t="n">
        <f aca="false">IF($G$11=$E$11,$F$11,IF(U335&lt;($F$11-$E$11)/($G$11-$E$11),$E$11+SQRT(U335*($G$11-$E$11)*($F$11-$E$11)),$G$11-SQRT((1-U335)*($G$11-$E$11)*($G$11-$F$11))))</f>
        <v>0.100495249375697</v>
      </c>
      <c r="H335" s="53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-2009295016.67469</v>
      </c>
      <c r="I335" s="53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-2915258.34865174</v>
      </c>
      <c r="J335" s="53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292630816.214937</v>
      </c>
      <c r="K335" s="53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638409266.195392</v>
      </c>
      <c r="L335" s="53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775017048.237365</v>
      </c>
      <c r="M335" s="53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984525379.434971</v>
      </c>
      <c r="N335" s="53" t="n">
        <f aca="false">IF(COUNT('Business Case'!B11:G11)=0,"",H335+NPV(G335,I335:M335))</f>
        <v>-152985615.579228</v>
      </c>
      <c r="P335" s="54" t="n">
        <f aca="true">RAND()</f>
        <v>0.385051192261049</v>
      </c>
      <c r="Q335" s="54" t="n">
        <f aca="true">RAND()</f>
        <v>0.986914439411599</v>
      </c>
      <c r="R335" s="54" t="n">
        <f aca="true">RAND()</f>
        <v>0.942491928593027</v>
      </c>
      <c r="S335" s="54" t="n">
        <f aca="true">RAND()</f>
        <v>0.219372386699416</v>
      </c>
      <c r="T335" s="54" t="n">
        <f aca="true">RAND()</f>
        <v>0.236748080023829</v>
      </c>
      <c r="U335" s="54" t="n">
        <f aca="true">RAND()</f>
        <v>0.365941171806283</v>
      </c>
    </row>
    <row r="336" customFormat="false" ht="15" hidden="false" customHeight="false" outlineLevel="0" collapsed="false">
      <c r="A336" s="50" t="n">
        <v>256</v>
      </c>
      <c r="B336" s="51" t="n">
        <f aca="false">1+IF($G$6=$E$6,$F$6,IF(P336&lt;($F$6-$E$6)/($G$6-$E$6),$E$6+SQRT(P336*($G$6-$E$6)*($F$6-$E$6)),$G$6-SQRT((1-P336)*($G$6-$E$6)*($G$6-$F$6))))</f>
        <v>1.00729969815086</v>
      </c>
      <c r="C336" s="51" t="n">
        <f aca="false">1+IF($G$7=$E$7,$F$7,IF(Q336&lt;($F$7-$E$7)/($G$7-$E$7),$E$7+SQRT(Q336*($G$7-$E$7)*($F$7-$E$7)),$G$7-SQRT((1-Q336)*($G$7-$E$7)*($G$7-$F$7))))</f>
        <v>0.852923006214051</v>
      </c>
      <c r="D336" s="51" t="n">
        <f aca="false">1+IF($G$8=$E$8,$F$8,IF(R336&lt;($F$8-$E$8)/($G$8-$E$8),$E$8+SQRT(R336*($G$8-$E$8)*($F$8-$E$8)),$G$8-SQRT((1-R336)*($G$8-$E$8)*($G$8-$F$8))))</f>
        <v>1.04418096707513</v>
      </c>
      <c r="E336" s="51" t="n">
        <f aca="false">1+IF($G$9=$E$9,$F$9,IF(S336&lt;($F$9-$E$9)/($G$9-$E$9),$E$9+SQRT(S336*($G$9-$E$9)*($F$9-$E$9)),$G$9-SQRT((1-S336)*($G$9-$E$9)*($G$9-$F$9))))</f>
        <v>1.04930705707679</v>
      </c>
      <c r="F336" s="51" t="n">
        <f aca="false">1+IF($G$10=$E$10,$F$10,IF(T336&lt;($F$10-$E$10)/($G$10-$E$10),$E$10+SQRT(T336*($G$10-$E$10)*($F$10-$E$10)),$G$10-SQRT((1-T336)*($G$10-$E$10)*($G$10-$F$10))))</f>
        <v>1.09444747582641</v>
      </c>
      <c r="G336" s="52" t="n">
        <f aca="false">IF($G$11=$E$11,$F$11,IF(U336&lt;($F$11-$E$11)/($G$11-$E$11),$E$11+SQRT(U336*($G$11-$E$11)*($F$11-$E$11)),$G$11-SQRT((1-U336)*($G$11-$E$11)*($G$11-$F$11))))</f>
        <v>0.100171368821359</v>
      </c>
      <c r="H336" s="53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-2188894951.65282</v>
      </c>
      <c r="I336" s="53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-55408546.8985333</v>
      </c>
      <c r="J336" s="53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192377405.956699</v>
      </c>
      <c r="K336" s="53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494885732.603251</v>
      </c>
      <c r="L336" s="53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607173242.658199</v>
      </c>
      <c r="M336" s="53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770480301.059149</v>
      </c>
      <c r="N336" s="53" t="n">
        <f aca="false">IF(COUNT('Business Case'!B11:G11)=0,"",H336+NPV(G336,I336:M336))</f>
        <v>-816192858.617936</v>
      </c>
      <c r="P336" s="54" t="n">
        <f aca="true">RAND()</f>
        <v>0.777227137286485</v>
      </c>
      <c r="Q336" s="54" t="n">
        <f aca="true">RAND()</f>
        <v>0.0400120655247492</v>
      </c>
      <c r="R336" s="54" t="n">
        <f aca="true">RAND()</f>
        <v>0.876634315416088</v>
      </c>
      <c r="S336" s="54" t="n">
        <f aca="true">RAND()</f>
        <v>0.828681702518971</v>
      </c>
      <c r="T336" s="54" t="n">
        <f aca="true">RAND()</f>
        <v>0.777173292811668</v>
      </c>
      <c r="U336" s="54" t="n">
        <f aca="true">RAND()</f>
        <v>0.34470897596907</v>
      </c>
    </row>
    <row r="337" customFormat="false" ht="15" hidden="false" customHeight="false" outlineLevel="0" collapsed="false">
      <c r="A337" s="50" t="n">
        <v>257</v>
      </c>
      <c r="B337" s="51" t="n">
        <f aca="false">1+IF($G$6=$E$6,$F$6,IF(P337&lt;($F$6-$E$6)/($G$6-$E$6),$E$6+SQRT(P337*($G$6-$E$6)*($F$6-$E$6)),$G$6-SQRT((1-P337)*($G$6-$E$6)*($G$6-$F$6))))</f>
        <v>1.01341431002189</v>
      </c>
      <c r="C337" s="51" t="n">
        <f aca="false">1+IF($G$7=$E$7,$F$7,IF(Q337&lt;($F$7-$E$7)/($G$7-$E$7),$E$7+SQRT(Q337*($G$7-$E$7)*($F$7-$E$7)),$G$7-SQRT((1-Q337)*($G$7-$E$7)*($G$7-$F$7))))</f>
        <v>1.05777702735318</v>
      </c>
      <c r="D337" s="51" t="n">
        <f aca="false">1+IF($G$8=$E$8,$F$8,IF(R337&lt;($F$8-$E$8)/($G$8-$E$8),$E$8+SQRT(R337*($G$8-$E$8)*($F$8-$E$8)),$G$8-SQRT((1-R337)*($G$8-$E$8)*($G$8-$F$8))))</f>
        <v>0.997204351008806</v>
      </c>
      <c r="E337" s="51" t="n">
        <f aca="false">1+IF($G$9=$E$9,$F$9,IF(S337&lt;($F$9-$E$9)/($G$9-$E$9),$E$9+SQRT(S337*($G$9-$E$9)*($F$9-$E$9)),$G$9-SQRT((1-S337)*($G$9-$E$9)*($G$9-$F$9))))</f>
        <v>1.00618779543248</v>
      </c>
      <c r="F337" s="51" t="n">
        <f aca="false">1+IF($G$10=$E$10,$F$10,IF(T337&lt;($F$10-$E$10)/($G$10-$E$10),$E$10+SQRT(T337*($G$10-$E$10)*($F$10-$E$10)),$G$10-SQRT((1-T337)*($G$10-$E$10)*($G$10-$F$10))))</f>
        <v>1.09190928188791</v>
      </c>
      <c r="G337" s="52" t="n">
        <f aca="false">IF($G$11=$E$11,$F$11,IF(U337&lt;($F$11-$E$11)/($G$11-$E$11),$E$11+SQRT(U337*($G$11-$E$11)*($F$11-$E$11)),$G$11-SQRT((1-U337)*($G$11-$E$11)*($G$11-$F$11))))</f>
        <v>0.101800360062757</v>
      </c>
      <c r="H337" s="53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-2183818563.77583</v>
      </c>
      <c r="I337" s="53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30192694.4493285</v>
      </c>
      <c r="J337" s="53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368226958.547005</v>
      </c>
      <c r="K337" s="53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760856686.739078</v>
      </c>
      <c r="L337" s="53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910581932.737676</v>
      </c>
      <c r="M337" s="53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1114341301.55089</v>
      </c>
      <c r="N337" s="53" t="n">
        <f aca="false">IF(COUNT('Business Case'!B11:G11)=0,"",H337+NPV(G337,I337:M337))</f>
        <v>19924135.7772675</v>
      </c>
      <c r="P337" s="54" t="n">
        <f aca="true">RAND()</f>
        <v>0.852750226747494</v>
      </c>
      <c r="Q337" s="54" t="n">
        <f aca="true">RAND()</f>
        <v>0.837998539355884</v>
      </c>
      <c r="R337" s="54" t="n">
        <f aca="true">RAND()</f>
        <v>0.342807808332707</v>
      </c>
      <c r="S337" s="54" t="n">
        <f aca="true">RAND()</f>
        <v>0.413284684945476</v>
      </c>
      <c r="T337" s="54" t="n">
        <f aca="true">RAND()</f>
        <v>0.766327933160275</v>
      </c>
      <c r="U337" s="54" t="n">
        <f aca="true">RAND()</f>
        <v>0.447955176924494</v>
      </c>
    </row>
    <row r="338" customFormat="false" ht="15" hidden="false" customHeight="false" outlineLevel="0" collapsed="false">
      <c r="A338" s="50" t="n">
        <v>258</v>
      </c>
      <c r="B338" s="51" t="n">
        <f aca="false">1+IF($G$6=$E$6,$F$6,IF(P338&lt;($F$6-$E$6)/($G$6-$E$6),$E$6+SQRT(P338*($G$6-$E$6)*($F$6-$E$6)),$G$6-SQRT((1-P338)*($G$6-$E$6)*($G$6-$F$6))))</f>
        <v>0.972363561640474</v>
      </c>
      <c r="C338" s="51" t="n">
        <f aca="false">1+IF($G$7=$E$7,$F$7,IF(Q338&lt;($F$7-$E$7)/($G$7-$E$7),$E$7+SQRT(Q338*($G$7-$E$7)*($F$7-$E$7)),$G$7-SQRT((1-Q338)*($G$7-$E$7)*($G$7-$F$7))))</f>
        <v>1.0275818663544</v>
      </c>
      <c r="D338" s="51" t="n">
        <f aca="false">1+IF($G$8=$E$8,$F$8,IF(R338&lt;($F$8-$E$8)/($G$8-$E$8),$E$8+SQRT(R338*($G$8-$E$8)*($F$8-$E$8)),$G$8-SQRT((1-R338)*($G$8-$E$8)*($G$8-$F$8))))</f>
        <v>1.00141299341474</v>
      </c>
      <c r="E338" s="51" t="n">
        <f aca="false">1+IF($G$9=$E$9,$F$9,IF(S338&lt;($F$9-$E$9)/($G$9-$E$9),$E$9+SQRT(S338*($G$9-$E$9)*($F$9-$E$9)),$G$9-SQRT((1-S338)*($G$9-$E$9)*($G$9-$F$9))))</f>
        <v>1.04448635016574</v>
      </c>
      <c r="F338" s="51" t="n">
        <f aca="false">1+IF($G$10=$E$10,$F$10,IF(T338&lt;($F$10-$E$10)/($G$10-$E$10),$E$10+SQRT(T338*($G$10-$E$10)*($F$10-$E$10)),$G$10-SQRT((1-T338)*($G$10-$E$10)*($G$10-$F$10))))</f>
        <v>1.08345071327561</v>
      </c>
      <c r="G338" s="52" t="n">
        <f aca="false">IF($G$11=$E$11,$F$11,IF(U338&lt;($F$11-$E$11)/($G$11-$E$11),$E$11+SQRT(U338*($G$11-$E$11)*($F$11-$E$11)),$G$11-SQRT((1-U338)*($G$11-$E$11)*($G$11-$F$11))))</f>
        <v>0.104813961811858</v>
      </c>
      <c r="H338" s="53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-2166901426.55123</v>
      </c>
      <c r="I338" s="53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-17048733.1333769</v>
      </c>
      <c r="J338" s="53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274571219.247393</v>
      </c>
      <c r="K338" s="53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620363707.291943</v>
      </c>
      <c r="L338" s="53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752102128.214211</v>
      </c>
      <c r="M338" s="53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942026863.921938</v>
      </c>
      <c r="N338" s="53" t="n">
        <f aca="false">IF(COUNT('Business Case'!B11:G11)=0,"",H338+NPV(G338,I338:M338))</f>
        <v>-420272429.411538</v>
      </c>
      <c r="P338" s="54" t="n">
        <f aca="true">RAND()</f>
        <v>0.285619019549557</v>
      </c>
      <c r="Q338" s="54" t="n">
        <f aca="true">RAND()</f>
        <v>0.714548581994825</v>
      </c>
      <c r="R338" s="54" t="n">
        <f aca="true">RAND()</f>
        <v>0.406161768843126</v>
      </c>
      <c r="S338" s="54" t="n">
        <f aca="true">RAND()</f>
        <v>0.794548978805303</v>
      </c>
      <c r="T338" s="54" t="n">
        <f aca="true">RAND()</f>
        <v>0.72832527528074</v>
      </c>
      <c r="U338" s="54" t="n">
        <f aca="true">RAND()</f>
        <v>0.615640406913826</v>
      </c>
    </row>
    <row r="339" customFormat="false" ht="15" hidden="false" customHeight="false" outlineLevel="0" collapsed="false">
      <c r="A339" s="50" t="n">
        <v>259</v>
      </c>
      <c r="B339" s="51" t="n">
        <f aca="false">1+IF($G$6=$E$6,$F$6,IF(P339&lt;($F$6-$E$6)/($G$6-$E$6),$E$6+SQRT(P339*($G$6-$E$6)*($F$6-$E$6)),$G$6-SQRT((1-P339)*($G$6-$E$6)*($G$6-$F$6))))</f>
        <v>1.00759305084368</v>
      </c>
      <c r="C339" s="51" t="n">
        <f aca="false">1+IF($G$7=$E$7,$F$7,IF(Q339&lt;($F$7-$E$7)/($G$7-$E$7),$E$7+SQRT(Q339*($G$7-$E$7)*($F$7-$E$7)),$G$7-SQRT((1-Q339)*($G$7-$E$7)*($G$7-$F$7))))</f>
        <v>0.993994200195205</v>
      </c>
      <c r="D339" s="51" t="n">
        <f aca="false">1+IF($G$8=$E$8,$F$8,IF(R339&lt;($F$8-$E$8)/($G$8-$E$8),$E$8+SQRT(R339*($G$8-$E$8)*($F$8-$E$8)),$G$8-SQRT((1-R339)*($G$8-$E$8)*($G$8-$F$8))))</f>
        <v>0.968368712807757</v>
      </c>
      <c r="E339" s="51" t="n">
        <f aca="false">1+IF($G$9=$E$9,$F$9,IF(S339&lt;($F$9-$E$9)/($G$9-$E$9),$E$9+SQRT(S339*($G$9-$E$9)*($F$9-$E$9)),$G$9-SQRT((1-S339)*($G$9-$E$9)*($G$9-$F$9))))</f>
        <v>1.05308979674577</v>
      </c>
      <c r="F339" s="51" t="n">
        <f aca="false">1+IF($G$10=$E$10,$F$10,IF(T339&lt;($F$10-$E$10)/($G$10-$E$10),$E$10+SQRT(T339*($G$10-$E$10)*($F$10-$E$10)),$G$10-SQRT((1-T339)*($G$10-$E$10)*($G$10-$F$10))))</f>
        <v>1.04941296005</v>
      </c>
      <c r="G339" s="52" t="n">
        <f aca="false">IF($G$11=$E$11,$F$11,IF(U339&lt;($F$11-$E$11)/($G$11-$E$11),$E$11+SQRT(U339*($G$11-$E$11)*($F$11-$E$11)),$G$11-SQRT((1-U339)*($G$11-$E$11)*($G$11-$F$11))))</f>
        <v>0.103142879712505</v>
      </c>
      <c r="H339" s="53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-2098825920.09999</v>
      </c>
      <c r="I339" s="53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20974064.6396358</v>
      </c>
      <c r="J339" s="53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348558713.4499</v>
      </c>
      <c r="K339" s="53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728614010.262663</v>
      </c>
      <c r="L339" s="53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872422172.578338</v>
      </c>
      <c r="M339" s="53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1062795209.1624</v>
      </c>
      <c r="N339" s="53" t="n">
        <f aca="false">IF(COUNT('Business Case'!B11:G11)=0,"",H339+NPV(G339,I339:M339))</f>
        <v>-10954463.8805745</v>
      </c>
      <c r="P339" s="54" t="n">
        <f aca="true">RAND()</f>
        <v>0.781206176329081</v>
      </c>
      <c r="Q339" s="54" t="n">
        <f aca="true">RAND()</f>
        <v>0.537624995848246</v>
      </c>
      <c r="R339" s="54" t="n">
        <f aca="true">RAND()</f>
        <v>0.0519091708021319</v>
      </c>
      <c r="S339" s="54" t="n">
        <f aca="true">RAND()</f>
        <v>0.8532955220431</v>
      </c>
      <c r="T339" s="54" t="n">
        <f aca="true">RAND()</f>
        <v>0.546470867981919</v>
      </c>
      <c r="U339" s="54" t="n">
        <f aca="true">RAND()</f>
        <v>0.52639582602154</v>
      </c>
    </row>
    <row r="340" customFormat="false" ht="15" hidden="false" customHeight="false" outlineLevel="0" collapsed="false">
      <c r="A340" s="50" t="n">
        <v>260</v>
      </c>
      <c r="B340" s="51" t="n">
        <f aca="false">1+IF($G$6=$E$6,$F$6,IF(P340&lt;($F$6-$E$6)/($G$6-$E$6),$E$6+SQRT(P340*($G$6-$E$6)*($F$6-$E$6)),$G$6-SQRT((1-P340)*($G$6-$E$6)*($G$6-$F$6))))</f>
        <v>0.982311828495417</v>
      </c>
      <c r="C340" s="51" t="n">
        <f aca="false">1+IF($G$7=$E$7,$F$7,IF(Q340&lt;($F$7-$E$7)/($G$7-$E$7),$E$7+SQRT(Q340*($G$7-$E$7)*($F$7-$E$7)),$G$7-SQRT((1-Q340)*($G$7-$E$7)*($G$7-$F$7))))</f>
        <v>0.809508603711889</v>
      </c>
      <c r="D340" s="51" t="n">
        <f aca="false">1+IF($G$8=$E$8,$F$8,IF(R340&lt;($F$8-$E$8)/($G$8-$E$8),$E$8+SQRT(R340*($G$8-$E$8)*($F$8-$E$8)),$G$8-SQRT((1-R340)*($G$8-$E$8)*($G$8-$F$8))))</f>
        <v>1.00664711626494</v>
      </c>
      <c r="E340" s="51" t="n">
        <f aca="false">1+IF($G$9=$E$9,$F$9,IF(S340&lt;($F$9-$E$9)/($G$9-$E$9),$E$9+SQRT(S340*($G$9-$E$9)*($F$9-$E$9)),$G$9-SQRT((1-S340)*($G$9-$E$9)*($G$9-$F$9))))</f>
        <v>0.996518567848842</v>
      </c>
      <c r="F340" s="51" t="n">
        <f aca="false">1+IF($G$10=$E$10,$F$10,IF(T340&lt;($F$10-$E$10)/($G$10-$E$10),$E$10+SQRT(T340*($G$10-$E$10)*($F$10-$E$10)),$G$10-SQRT((1-T340)*($G$10-$E$10)*($G$10-$F$10))))</f>
        <v>1.05024073269219</v>
      </c>
      <c r="G340" s="52" t="n">
        <f aca="false">IF($G$11=$E$11,$F$11,IF(U340&lt;($F$11-$E$11)/($G$11-$E$11),$E$11+SQRT(U340*($G$11-$E$11)*($F$11-$E$11)),$G$11-SQRT((1-U340)*($G$11-$E$11)*($G$11-$F$11))))</f>
        <v>0.106074815052709</v>
      </c>
      <c r="H340" s="53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-2100481465.38438</v>
      </c>
      <c r="I340" s="53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-53792127.7580813</v>
      </c>
      <c r="J340" s="53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180367401.309031</v>
      </c>
      <c r="K340" s="53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467038967.010752</v>
      </c>
      <c r="L340" s="53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572573905.505035</v>
      </c>
      <c r="M340" s="53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723723597.26722</v>
      </c>
      <c r="N340" s="53" t="n">
        <f aca="false">IF(COUNT('Business Case'!B11:G11)=0,"",H340+NPV(G340,I340:M340))</f>
        <v>-836815757.503417</v>
      </c>
      <c r="P340" s="54" t="n">
        <f aca="true">RAND()</f>
        <v>0.404454580254396</v>
      </c>
      <c r="Q340" s="54" t="n">
        <f aca="true">RAND()</f>
        <v>0.00129162206499633</v>
      </c>
      <c r="R340" s="54" t="n">
        <f aca="true">RAND()</f>
        <v>0.482630235360651</v>
      </c>
      <c r="S340" s="54" t="n">
        <f aca="true">RAND()</f>
        <v>0.288530287294311</v>
      </c>
      <c r="T340" s="54" t="n">
        <f aca="true">RAND()</f>
        <v>0.551443237108566</v>
      </c>
      <c r="U340" s="54" t="n">
        <f aca="true">RAND()</f>
        <v>0.676815373639551</v>
      </c>
    </row>
    <row r="341" customFormat="false" ht="15" hidden="false" customHeight="false" outlineLevel="0" collapsed="false">
      <c r="A341" s="50" t="n">
        <v>261</v>
      </c>
      <c r="B341" s="51" t="n">
        <f aca="false">1+IF($G$6=$E$6,$F$6,IF(P341&lt;($F$6-$E$6)/($G$6-$E$6),$E$6+SQRT(P341*($G$6-$E$6)*($F$6-$E$6)),$G$6-SQRT((1-P341)*($G$6-$E$6)*($G$6-$F$6))))</f>
        <v>0.943843135622527</v>
      </c>
      <c r="C341" s="51" t="n">
        <f aca="false">1+IF($G$7=$E$7,$F$7,IF(Q341&lt;($F$7-$E$7)/($G$7-$E$7),$E$7+SQRT(Q341*($G$7-$E$7)*($F$7-$E$7)),$G$7-SQRT((1-Q341)*($G$7-$E$7)*($G$7-$F$7))))</f>
        <v>0.980445540490868</v>
      </c>
      <c r="D341" s="51" t="n">
        <f aca="false">1+IF($G$8=$E$8,$F$8,IF(R341&lt;($F$8-$E$8)/($G$8-$E$8),$E$8+SQRT(R341*($G$8-$E$8)*($F$8-$E$8)),$G$8-SQRT((1-R341)*($G$8-$E$8)*($G$8-$F$8))))</f>
        <v>1.02500675379241</v>
      </c>
      <c r="E341" s="51" t="n">
        <f aca="false">1+IF($G$9=$E$9,$F$9,IF(S341&lt;($F$9-$E$9)/($G$9-$E$9),$E$9+SQRT(S341*($G$9-$E$9)*($F$9-$E$9)),$G$9-SQRT((1-S341)*($G$9-$E$9)*($G$9-$F$9))))</f>
        <v>1.01244960223293</v>
      </c>
      <c r="F341" s="51" t="n">
        <f aca="false">1+IF($G$10=$E$10,$F$10,IF(T341&lt;($F$10-$E$10)/($G$10-$E$10),$E$10+SQRT(T341*($G$10-$E$10)*($F$10-$E$10)),$G$10-SQRT((1-T341)*($G$10-$E$10)*($G$10-$F$10))))</f>
        <v>1.01444769629917</v>
      </c>
      <c r="G341" s="52" t="n">
        <f aca="false">IF($G$11=$E$11,$F$11,IF(U341&lt;($F$11-$E$11)/($G$11-$E$11),$E$11+SQRT(U341*($G$11-$E$11)*($F$11-$E$11)),$G$11-SQRT((1-U341)*($G$11-$E$11)*($G$11-$F$11))))</f>
        <v>0.0990542319121656</v>
      </c>
      <c r="H341" s="53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-2028895392.59833</v>
      </c>
      <c r="I341" s="53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-49889555.8223211</v>
      </c>
      <c r="J341" s="53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193608042.784567</v>
      </c>
      <c r="K341" s="53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487828026.206414</v>
      </c>
      <c r="L341" s="53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600975259.983223</v>
      </c>
      <c r="M341" s="53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776872781.643047</v>
      </c>
      <c r="N341" s="53" t="n">
        <f aca="false">IF(COUNT('Business Case'!B11:G11)=0,"",H341+NPV(G341,I341:M341))</f>
        <v>-650202141.413077</v>
      </c>
      <c r="P341" s="54" t="n">
        <f aca="true">RAND()</f>
        <v>0.0592182412827321</v>
      </c>
      <c r="Q341" s="54" t="n">
        <f aca="true">RAND()</f>
        <v>0.465151329757737</v>
      </c>
      <c r="R341" s="54" t="n">
        <f aca="true">RAND()</f>
        <v>0.70920604534147</v>
      </c>
      <c r="S341" s="54" t="n">
        <f aca="true">RAND()</f>
        <v>0.488995190055151</v>
      </c>
      <c r="T341" s="54" t="n">
        <f aca="true">RAND()</f>
        <v>0.311406851826274</v>
      </c>
      <c r="U341" s="54" t="n">
        <f aca="true">RAND()</f>
        <v>0.273263718397595</v>
      </c>
    </row>
    <row r="342" customFormat="false" ht="15" hidden="false" customHeight="false" outlineLevel="0" collapsed="false">
      <c r="A342" s="50" t="n">
        <v>262</v>
      </c>
      <c r="B342" s="51" t="n">
        <f aca="false">1+IF($G$6=$E$6,$F$6,IF(P342&lt;($F$6-$E$6)/($G$6-$E$6),$E$6+SQRT(P342*($G$6-$E$6)*($F$6-$E$6)),$G$6-SQRT((1-P342)*($G$6-$E$6)*($G$6-$F$6))))</f>
        <v>0.99520166965133</v>
      </c>
      <c r="C342" s="51" t="n">
        <f aca="false">1+IF($G$7=$E$7,$F$7,IF(Q342&lt;($F$7-$E$7)/($G$7-$E$7),$E$7+SQRT(Q342*($G$7-$E$7)*($F$7-$E$7)),$G$7-SQRT((1-Q342)*($G$7-$E$7)*($G$7-$F$7))))</f>
        <v>0.990873412932012</v>
      </c>
      <c r="D342" s="51" t="n">
        <f aca="false">1+IF($G$8=$E$8,$F$8,IF(R342&lt;($F$8-$E$8)/($G$8-$E$8),$E$8+SQRT(R342*($G$8-$E$8)*($F$8-$E$8)),$G$8-SQRT((1-R342)*($G$8-$E$8)*($G$8-$F$8))))</f>
        <v>1.06914654887554</v>
      </c>
      <c r="E342" s="51" t="n">
        <f aca="false">1+IF($G$9=$E$9,$F$9,IF(S342&lt;($F$9-$E$9)/($G$9-$E$9),$E$9+SQRT(S342*($G$9-$E$9)*($F$9-$E$9)),$G$9-SQRT((1-S342)*($G$9-$E$9)*($G$9-$F$9))))</f>
        <v>1.00021015105663</v>
      </c>
      <c r="F342" s="51" t="n">
        <f aca="false">1+IF($G$10=$E$10,$F$10,IF(T342&lt;($F$10-$E$10)/($G$10-$E$10),$E$10+SQRT(T342*($G$10-$E$10)*($F$10-$E$10)),$G$10-SQRT((1-T342)*($G$10-$E$10)*($G$10-$F$10))))</f>
        <v>1.06497344457014</v>
      </c>
      <c r="G342" s="52" t="n">
        <f aca="false">IF($G$11=$E$11,$F$11,IF(U342&lt;($F$11-$E$11)/($G$11-$E$11),$E$11+SQRT(U342*($G$11-$E$11)*($F$11-$E$11)),$G$11-SQRT((1-U342)*($G$11-$E$11)*($G$11-$F$11))))</f>
        <v>0.101921968896865</v>
      </c>
      <c r="H342" s="53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-2129946889.14029</v>
      </c>
      <c r="I342" s="53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-34467631.7325313</v>
      </c>
      <c r="J342" s="53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230912366.950289</v>
      </c>
      <c r="K342" s="53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549541037.861616</v>
      </c>
      <c r="L342" s="53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672081305.741279</v>
      </c>
      <c r="M342" s="53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859522781.494256</v>
      </c>
      <c r="N342" s="53" t="n">
        <f aca="false">IF(COUNT('Business Case'!B11:G11)=0,"",H342+NPV(G342,I342:M342))</f>
        <v>-575429063.1193</v>
      </c>
      <c r="P342" s="54" t="n">
        <f aca="true">RAND()</f>
        <v>0.589092824827891</v>
      </c>
      <c r="Q342" s="54" t="n">
        <f aca="true">RAND()</f>
        <v>0.520466568061633</v>
      </c>
      <c r="R342" s="54" t="n">
        <f aca="true">RAND()</f>
        <v>0.988673326797016</v>
      </c>
      <c r="S342" s="54" t="n">
        <f aca="true">RAND()</f>
        <v>0.336132403190607</v>
      </c>
      <c r="T342" s="54" t="n">
        <f aca="true">RAND()</f>
        <v>0.635356586574958</v>
      </c>
      <c r="U342" s="54" t="n">
        <f aca="true">RAND()</f>
        <v>0.45530798572345</v>
      </c>
    </row>
    <row r="343" customFormat="false" ht="15" hidden="false" customHeight="false" outlineLevel="0" collapsed="false">
      <c r="A343" s="50" t="n">
        <v>263</v>
      </c>
      <c r="B343" s="51" t="n">
        <f aca="false">1+IF($G$6=$E$6,$F$6,IF(P343&lt;($F$6-$E$6)/($G$6-$E$6),$E$6+SQRT(P343*($G$6-$E$6)*($F$6-$E$6)),$G$6-SQRT((1-P343)*($G$6-$E$6)*($G$6-$F$6))))</f>
        <v>1.02656017429588</v>
      </c>
      <c r="C343" s="51" t="n">
        <f aca="false">1+IF($G$7=$E$7,$F$7,IF(Q343&lt;($F$7-$E$7)/($G$7-$E$7),$E$7+SQRT(Q343*($G$7-$E$7)*($F$7-$E$7)),$G$7-SQRT((1-Q343)*($G$7-$E$7)*($G$7-$F$7))))</f>
        <v>0.921866822622786</v>
      </c>
      <c r="D343" s="51" t="n">
        <f aca="false">1+IF($G$8=$E$8,$F$8,IF(R343&lt;($F$8-$E$8)/($G$8-$E$8),$E$8+SQRT(R343*($G$8-$E$8)*($F$8-$E$8)),$G$8-SQRT((1-R343)*($G$8-$E$8)*($G$8-$F$8))))</f>
        <v>0.994391243922509</v>
      </c>
      <c r="E343" s="51" t="n">
        <f aca="false">1+IF($G$9=$E$9,$F$9,IF(S343&lt;($F$9-$E$9)/($G$9-$E$9),$E$9+SQRT(S343*($G$9-$E$9)*($F$9-$E$9)),$G$9-SQRT((1-S343)*($G$9-$E$9)*($G$9-$F$9))))</f>
        <v>1.03685531610124</v>
      </c>
      <c r="F343" s="51" t="n">
        <f aca="false">1+IF($G$10=$E$10,$F$10,IF(T343&lt;($F$10-$E$10)/($G$10-$E$10),$E$10+SQRT(T343*($G$10-$E$10)*($F$10-$E$10)),$G$10-SQRT((1-T343)*($G$10-$E$10)*($G$10-$F$10))))</f>
        <v>0.991878633238162</v>
      </c>
      <c r="G343" s="52" t="n">
        <f aca="false">IF($G$11=$E$11,$F$11,IF(U343&lt;($F$11-$E$11)/($G$11-$E$11),$E$11+SQRT(U343*($G$11-$E$11)*($F$11-$E$11)),$G$11-SQRT((1-U343)*($G$11-$E$11)*($G$11-$F$11))))</f>
        <v>0.117914123738969</v>
      </c>
      <c r="H343" s="53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-1983757266.47632</v>
      </c>
      <c r="I343" s="53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10167500.8487031</v>
      </c>
      <c r="J343" s="53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316022566.525922</v>
      </c>
      <c r="K343" s="53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671471563.865049</v>
      </c>
      <c r="L343" s="53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806129169.460858</v>
      </c>
      <c r="M343" s="53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986011713.162902</v>
      </c>
      <c r="N343" s="53" t="n">
        <f aca="false">IF(COUNT('Business Case'!B11:G11)=0,"",H343+NPV(G343,I343:M343))</f>
        <v>-160296748.651312</v>
      </c>
      <c r="P343" s="54" t="n">
        <f aca="true">RAND()</f>
        <v>0.962368976050623</v>
      </c>
      <c r="Q343" s="54" t="n">
        <f aca="true">RAND()</f>
        <v>0.212164606516765</v>
      </c>
      <c r="R343" s="54" t="n">
        <f aca="true">RAND()</f>
        <v>0.303166544151959</v>
      </c>
      <c r="S343" s="54" t="n">
        <f aca="true">RAND()</f>
        <v>0.734183259688396</v>
      </c>
      <c r="T343" s="54" t="n">
        <f aca="true">RAND()</f>
        <v>0.140305593751719</v>
      </c>
      <c r="U343" s="54" t="n">
        <f aca="true">RAND()</f>
        <v>0.992748533706111</v>
      </c>
    </row>
    <row r="344" customFormat="false" ht="15" hidden="false" customHeight="false" outlineLevel="0" collapsed="false">
      <c r="A344" s="50" t="n">
        <v>264</v>
      </c>
      <c r="B344" s="51" t="n">
        <f aca="false">1+IF($G$6=$E$6,$F$6,IF(P344&lt;($F$6-$E$6)/($G$6-$E$6),$E$6+SQRT(P344*($G$6-$E$6)*($F$6-$E$6)),$G$6-SQRT((1-P344)*($G$6-$E$6)*($G$6-$F$6))))</f>
        <v>0.983487076135719</v>
      </c>
      <c r="C344" s="51" t="n">
        <f aca="false">1+IF($G$7=$E$7,$F$7,IF(Q344&lt;($F$7-$E$7)/($G$7-$E$7),$E$7+SQRT(Q344*($G$7-$E$7)*($F$7-$E$7)),$G$7-SQRT((1-Q344)*($G$7-$E$7)*($G$7-$F$7))))</f>
        <v>1.06951456327239</v>
      </c>
      <c r="D344" s="51" t="n">
        <f aca="false">1+IF($G$8=$E$8,$F$8,IF(R344&lt;($F$8-$E$8)/($G$8-$E$8),$E$8+SQRT(R344*($G$8-$E$8)*($F$8-$E$8)),$G$8-SQRT((1-R344)*($G$8-$E$8)*($G$8-$F$8))))</f>
        <v>1.01745169451224</v>
      </c>
      <c r="E344" s="51" t="n">
        <f aca="false">1+IF($G$9=$E$9,$F$9,IF(S344&lt;($F$9-$E$9)/($G$9-$E$9),$E$9+SQRT(S344*($G$9-$E$9)*($F$9-$E$9)),$G$9-SQRT((1-S344)*($G$9-$E$9)*($G$9-$F$9))))</f>
        <v>1.02523433400689</v>
      </c>
      <c r="F344" s="51" t="n">
        <f aca="false">1+IF($G$10=$E$10,$F$10,IF(T344&lt;($F$10-$E$10)/($G$10-$E$10),$E$10+SQRT(T344*($G$10-$E$10)*($F$10-$E$10)),$G$10-SQRT((1-T344)*($G$10-$E$10)*($G$10-$F$10))))</f>
        <v>1.03412106957459</v>
      </c>
      <c r="G344" s="52" t="n">
        <f aca="false">IF($G$11=$E$11,$F$11,IF(U344&lt;($F$11-$E$11)/($G$11-$E$11),$E$11+SQRT(U344*($G$11-$E$11)*($F$11-$E$11)),$G$11-SQRT((1-U344)*($G$11-$E$11)*($G$11-$F$11))))</f>
        <v>0.105628877536268</v>
      </c>
      <c r="H344" s="53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-2068242139.14918</v>
      </c>
      <c r="I344" s="53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754626.759508699</v>
      </c>
      <c r="J344" s="53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305237781.209443</v>
      </c>
      <c r="K344" s="53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661426989.138107</v>
      </c>
      <c r="L344" s="53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799273439.579543</v>
      </c>
      <c r="M344" s="53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999209800.515895</v>
      </c>
      <c r="N344" s="53" t="n">
        <f aca="false">IF(COUNT('Business Case'!B11:G11)=0,"",H344+NPV(G344,I344:M344))</f>
        <v>-188791349.63361</v>
      </c>
      <c r="P344" s="54" t="n">
        <f aca="true">RAND()</f>
        <v>0.419855087110691</v>
      </c>
      <c r="Q344" s="54" t="n">
        <f aca="true">RAND()</f>
        <v>0.876611323328884</v>
      </c>
      <c r="R344" s="54" t="n">
        <f aca="true">RAND()</f>
        <v>0.623818219289435</v>
      </c>
      <c r="S344" s="54" t="n">
        <f aca="true">RAND()</f>
        <v>0.627339679240449</v>
      </c>
      <c r="T344" s="54" t="n">
        <f aca="true">RAND()</f>
        <v>0.449683608818437</v>
      </c>
      <c r="U344" s="54" t="n">
        <f aca="true">RAND()</f>
        <v>0.655784731887372</v>
      </c>
    </row>
    <row r="345" customFormat="false" ht="15" hidden="false" customHeight="false" outlineLevel="0" collapsed="false">
      <c r="A345" s="50" t="n">
        <v>265</v>
      </c>
      <c r="B345" s="51" t="n">
        <f aca="false">1+IF($G$6=$E$6,$F$6,IF(P345&lt;($F$6-$E$6)/($G$6-$E$6),$E$6+SQRT(P345*($G$6-$E$6)*($F$6-$E$6)),$G$6-SQRT((1-P345)*($G$6-$E$6)*($G$6-$F$6))))</f>
        <v>0.989746668155696</v>
      </c>
      <c r="C345" s="51" t="n">
        <f aca="false">1+IF($G$7=$E$7,$F$7,IF(Q345&lt;($F$7-$E$7)/($G$7-$E$7),$E$7+SQRT(Q345*($G$7-$E$7)*($F$7-$E$7)),$G$7-SQRT((1-Q345)*($G$7-$E$7)*($G$7-$F$7))))</f>
        <v>1.05088000994768</v>
      </c>
      <c r="D345" s="51" t="n">
        <f aca="false">1+IF($G$8=$E$8,$F$8,IF(R345&lt;($F$8-$E$8)/($G$8-$E$8),$E$8+SQRT(R345*($G$8-$E$8)*($F$8-$E$8)),$G$8-SQRT((1-R345)*($G$8-$E$8)*($G$8-$F$8))))</f>
        <v>1.02349626353065</v>
      </c>
      <c r="E345" s="51" t="n">
        <f aca="false">1+IF($G$9=$E$9,$F$9,IF(S345&lt;($F$9-$E$9)/($G$9-$E$9),$E$9+SQRT(S345*($G$9-$E$9)*($F$9-$E$9)),$G$9-SQRT((1-S345)*($G$9-$E$9)*($G$9-$F$9))))</f>
        <v>1.00184296170023</v>
      </c>
      <c r="F345" s="51" t="n">
        <f aca="false">1+IF($G$10=$E$10,$F$10,IF(T345&lt;($F$10-$E$10)/($G$10-$E$10),$E$10+SQRT(T345*($G$10-$E$10)*($F$10-$E$10)),$G$10-SQRT((1-T345)*($G$10-$E$10)*($G$10-$F$10))))</f>
        <v>1.05430699001137</v>
      </c>
      <c r="G345" s="52" t="n">
        <f aca="false">IF($G$11=$E$11,$F$11,IF(U345&lt;($F$11-$E$11)/($G$11-$E$11),$E$11+SQRT(U345*($G$11-$E$11)*($F$11-$E$11)),$G$11-SQRT((1-U345)*($G$11-$E$11)*($G$11-$F$11))))</f>
        <v>0.104209496019523</v>
      </c>
      <c r="H345" s="53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-2108613980.02274</v>
      </c>
      <c r="I345" s="53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-497634.85798724</v>
      </c>
      <c r="J345" s="53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300816541.041591</v>
      </c>
      <c r="K345" s="53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654846066.441736</v>
      </c>
      <c r="L345" s="53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791230153.476699</v>
      </c>
      <c r="M345" s="53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988933309.686435</v>
      </c>
      <c r="N345" s="53" t="n">
        <f aca="false">IF(COUNT('Business Case'!B11:G11)=0,"",H345+NPV(G345,I345:M345))</f>
        <v>-241296442.730805</v>
      </c>
      <c r="P345" s="54" t="n">
        <f aca="true">RAND()</f>
        <v>0.506728929043829</v>
      </c>
      <c r="Q345" s="54" t="n">
        <f aca="true">RAND()</f>
        <v>0.812861477562444</v>
      </c>
      <c r="R345" s="54" t="n">
        <f aca="true">RAND()</f>
        <v>0.693012285096411</v>
      </c>
      <c r="S345" s="54" t="n">
        <f aca="true">RAND()</f>
        <v>0.357679722147854</v>
      </c>
      <c r="T345" s="54" t="n">
        <f aca="true">RAND()</f>
        <v>0.575470936809071</v>
      </c>
      <c r="U345" s="54" t="n">
        <f aca="true">RAND()</f>
        <v>0.58443330673758</v>
      </c>
    </row>
    <row r="346" customFormat="false" ht="15" hidden="false" customHeight="false" outlineLevel="0" collapsed="false">
      <c r="A346" s="50" t="n">
        <v>266</v>
      </c>
      <c r="B346" s="51" t="n">
        <f aca="false">1+IF($G$6=$E$6,$F$6,IF(P346&lt;($F$6-$E$6)/($G$6-$E$6),$E$6+SQRT(P346*($G$6-$E$6)*($F$6-$E$6)),$G$6-SQRT((1-P346)*($G$6-$E$6)*($G$6-$F$6))))</f>
        <v>0.929053713504484</v>
      </c>
      <c r="C346" s="51" t="n">
        <f aca="false">1+IF($G$7=$E$7,$F$7,IF(Q346&lt;($F$7-$E$7)/($G$7-$E$7),$E$7+SQRT(Q346*($G$7-$E$7)*($F$7-$E$7)),$G$7-SQRT((1-Q346)*($G$7-$E$7)*($G$7-$F$7))))</f>
        <v>0.896916480724237</v>
      </c>
      <c r="D346" s="51" t="n">
        <f aca="false">1+IF($G$8=$E$8,$F$8,IF(R346&lt;($F$8-$E$8)/($G$8-$E$8),$E$8+SQRT(R346*($G$8-$E$8)*($F$8-$E$8)),$G$8-SQRT((1-R346)*($G$8-$E$8)*($G$8-$F$8))))</f>
        <v>1.00299933573353</v>
      </c>
      <c r="E346" s="51" t="n">
        <f aca="false">1+IF($G$9=$E$9,$F$9,IF(S346&lt;($F$9-$E$9)/($G$9-$E$9),$E$9+SQRT(S346*($G$9-$E$9)*($F$9-$E$9)),$G$9-SQRT((1-S346)*($G$9-$E$9)*($G$9-$F$9))))</f>
        <v>1.01184540790974</v>
      </c>
      <c r="F346" s="51" t="n">
        <f aca="false">1+IF($G$10=$E$10,$F$10,IF(T346&lt;($F$10-$E$10)/($G$10-$E$10),$E$10+SQRT(T346*($G$10-$E$10)*($F$10-$E$10)),$G$10-SQRT((1-T346)*($G$10-$E$10)*($G$10-$F$10))))</f>
        <v>0.989942162044531</v>
      </c>
      <c r="G346" s="52" t="n">
        <f aca="false">IF($G$11=$E$11,$F$11,IF(U346&lt;($F$11-$E$11)/($G$11-$E$11),$E$11+SQRT(U346*($G$11-$E$11)*($F$11-$E$11)),$G$11-SQRT((1-U346)*($G$11-$E$11)*($G$11-$F$11))))</f>
        <v>0.0967542229231269</v>
      </c>
      <c r="H346" s="53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-1979884324.08906</v>
      </c>
      <c r="I346" s="53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-64083428.3649756</v>
      </c>
      <c r="J346" s="53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157909197.63558</v>
      </c>
      <c r="K346" s="53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429398931.738362</v>
      </c>
      <c r="L346" s="53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532194754.509422</v>
      </c>
      <c r="M346" s="53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690585298.749234</v>
      </c>
      <c r="N346" s="53" t="n">
        <f aca="false">IF(COUNT('Business Case'!B11:G11)=0,"",H346+NPV(G346,I346:M346))</f>
        <v>-778550700.252816</v>
      </c>
      <c r="P346" s="54" t="n">
        <f aca="true">RAND()</f>
        <v>0.00853851335638222</v>
      </c>
      <c r="Q346" s="54" t="n">
        <f aca="true">RAND()</f>
        <v>0.134182917656735</v>
      </c>
      <c r="R346" s="54" t="n">
        <f aca="true">RAND()</f>
        <v>0.42989400985794</v>
      </c>
      <c r="S346" s="54" t="n">
        <f aca="true">RAND()</f>
        <v>0.481917859560018</v>
      </c>
      <c r="T346" s="54" t="n">
        <f aca="true">RAND()</f>
        <v>0.127630104703326</v>
      </c>
      <c r="U346" s="54" t="n">
        <f aca="true">RAND()</f>
        <v>0.152065090984307</v>
      </c>
    </row>
    <row r="347" customFormat="false" ht="15" hidden="false" customHeight="false" outlineLevel="0" collapsed="false">
      <c r="A347" s="50" t="n">
        <v>267</v>
      </c>
      <c r="B347" s="51" t="n">
        <f aca="false">1+IF($G$6=$E$6,$F$6,IF(P347&lt;($F$6-$E$6)/($G$6-$E$6),$E$6+SQRT(P347*($G$6-$E$6)*($F$6-$E$6)),$G$6-SQRT((1-P347)*($G$6-$E$6)*($G$6-$F$6))))</f>
        <v>1.02838825771991</v>
      </c>
      <c r="C347" s="51" t="n">
        <f aca="false">1+IF($G$7=$E$7,$F$7,IF(Q347&lt;($F$7-$E$7)/($G$7-$E$7),$E$7+SQRT(Q347*($G$7-$E$7)*($F$7-$E$7)),$G$7-SQRT((1-Q347)*($G$7-$E$7)*($G$7-$F$7))))</f>
        <v>0.891190471430872</v>
      </c>
      <c r="D347" s="51" t="n">
        <f aca="false">1+IF($G$8=$E$8,$F$8,IF(R347&lt;($F$8-$E$8)/($G$8-$E$8),$E$8+SQRT(R347*($G$8-$E$8)*($F$8-$E$8)),$G$8-SQRT((1-R347)*($G$8-$E$8)*($G$8-$F$8))))</f>
        <v>1.01855575194538</v>
      </c>
      <c r="E347" s="51" t="n">
        <f aca="false">1+IF($G$9=$E$9,$F$9,IF(S347&lt;($F$9-$E$9)/($G$9-$E$9),$E$9+SQRT(S347*($G$9-$E$9)*($F$9-$E$9)),$G$9-SQRT((1-S347)*($G$9-$E$9)*($G$9-$F$9))))</f>
        <v>1.0207816788278</v>
      </c>
      <c r="F347" s="51" t="n">
        <f aca="false">1+IF($G$10=$E$10,$F$10,IF(T347&lt;($F$10-$E$10)/($G$10-$E$10),$E$10+SQRT(T347*($G$10-$E$10)*($F$10-$E$10)),$G$10-SQRT((1-T347)*($G$10-$E$10)*($G$10-$F$10))))</f>
        <v>1.05989573468178</v>
      </c>
      <c r="G347" s="52" t="n">
        <f aca="false">IF($G$11=$E$11,$F$11,IF(U347&lt;($F$11-$E$11)/($G$11-$E$11),$E$11+SQRT(U347*($G$11-$E$11)*($F$11-$E$11)),$G$11-SQRT((1-U347)*($G$11-$E$11)*($G$11-$F$11))))</f>
        <v>0.100747113637341</v>
      </c>
      <c r="H347" s="53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-2119791469.36356</v>
      </c>
      <c r="I347" s="53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-12668111.8980181</v>
      </c>
      <c r="J347" s="53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273319336.473852</v>
      </c>
      <c r="K347" s="53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612301571.579812</v>
      </c>
      <c r="L347" s="53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739304609.085367</v>
      </c>
      <c r="M347" s="53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913510993.350825</v>
      </c>
      <c r="N347" s="53" t="n">
        <f aca="false">IF(COUNT('Business Case'!B11:G11)=0,"",H347+NPV(G347,I347:M347))</f>
        <v>-377746153.34276</v>
      </c>
      <c r="P347" s="54" t="n">
        <f aca="true">RAND()</f>
        <v>0.971909883587643</v>
      </c>
      <c r="Q347" s="54" t="n">
        <f aca="true">RAND()</f>
        <v>0.118795743996924</v>
      </c>
      <c r="R347" s="54" t="n">
        <f aca="true">RAND()</f>
        <v>0.636981190481039</v>
      </c>
      <c r="S347" s="54" t="n">
        <f aca="true">RAND()</f>
        <v>0.581630506043855</v>
      </c>
      <c r="T347" s="54" t="n">
        <f aca="true">RAND()</f>
        <v>0.607415896792833</v>
      </c>
      <c r="U347" s="54" t="n">
        <f aca="true">RAND()</f>
        <v>0.382210611177576</v>
      </c>
    </row>
    <row r="348" customFormat="false" ht="15" hidden="false" customHeight="false" outlineLevel="0" collapsed="false">
      <c r="A348" s="50" t="n">
        <v>268</v>
      </c>
      <c r="B348" s="51" t="n">
        <f aca="false">1+IF($G$6=$E$6,$F$6,IF(P348&lt;($F$6-$E$6)/($G$6-$E$6),$E$6+SQRT(P348*($G$6-$E$6)*($F$6-$E$6)),$G$6-SQRT((1-P348)*($G$6-$E$6)*($G$6-$F$6))))</f>
        <v>1.0014469427072</v>
      </c>
      <c r="C348" s="51" t="n">
        <f aca="false">1+IF($G$7=$E$7,$F$7,IF(Q348&lt;($F$7-$E$7)/($G$7-$E$7),$E$7+SQRT(Q348*($G$7-$E$7)*($F$7-$E$7)),$G$7-SQRT((1-Q348)*($G$7-$E$7)*($G$7-$F$7))))</f>
        <v>0.950348529473266</v>
      </c>
      <c r="D348" s="51" t="n">
        <f aca="false">1+IF($G$8=$E$8,$F$8,IF(R348&lt;($F$8-$E$8)/($G$8-$E$8),$E$8+SQRT(R348*($G$8-$E$8)*($F$8-$E$8)),$G$8-SQRT((1-R348)*($G$8-$E$8)*($G$8-$F$8))))</f>
        <v>0.995089886901696</v>
      </c>
      <c r="E348" s="51" t="n">
        <f aca="false">1+IF($G$9=$E$9,$F$9,IF(S348&lt;($F$9-$E$9)/($G$9-$E$9),$E$9+SQRT(S348*($G$9-$E$9)*($F$9-$E$9)),$G$9-SQRT((1-S348)*($G$9-$E$9)*($G$9-$F$9))))</f>
        <v>1.01919688925336</v>
      </c>
      <c r="F348" s="51" t="n">
        <f aca="false">1+IF($G$10=$E$10,$F$10,IF(T348&lt;($F$10-$E$10)/($G$10-$E$10),$E$10+SQRT(T348*($G$10-$E$10)*($F$10-$E$10)),$G$10-SQRT((1-T348)*($G$10-$E$10)*($G$10-$F$10))))</f>
        <v>0.979896311335008</v>
      </c>
      <c r="G348" s="52" t="n">
        <f aca="false">IF($G$11=$E$11,$F$11,IF(U348&lt;($F$11-$E$11)/($G$11-$E$11),$E$11+SQRT(U348*($G$11-$E$11)*($F$11-$E$11)),$G$11-SQRT((1-U348)*($G$11-$E$11)*($G$11-$F$11))))</f>
        <v>0.101505395807216</v>
      </c>
      <c r="H348" s="53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-1959792622.67002</v>
      </c>
      <c r="I348" s="53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3159757.4990056</v>
      </c>
      <c r="J348" s="53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298576296.728704</v>
      </c>
      <c r="K348" s="53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642987651.525152</v>
      </c>
      <c r="L348" s="53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774351399.898627</v>
      </c>
      <c r="M348" s="53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955255027.36496</v>
      </c>
      <c r="N348" s="53" t="n">
        <f aca="false">IF(COUNT('Business Case'!B11:G11)=0,"",H348+NPV(G348,I348:M348))</f>
        <v>-114629384.964515</v>
      </c>
      <c r="P348" s="54" t="n">
        <f aca="true">RAND()</f>
        <v>0.690346202787162</v>
      </c>
      <c r="Q348" s="54" t="n">
        <f aca="true">RAND()</f>
        <v>0.322924004496764</v>
      </c>
      <c r="R348" s="54" t="n">
        <f aca="true">RAND()</f>
        <v>0.31278429243196</v>
      </c>
      <c r="S348" s="54" t="n">
        <f aca="true">RAND()</f>
        <v>0.564723819577784</v>
      </c>
      <c r="T348" s="54" t="n">
        <f aca="true">RAND()</f>
        <v>0.0715031545151782</v>
      </c>
      <c r="U348" s="54" t="n">
        <f aca="true">RAND()</f>
        <v>0.429916026253765</v>
      </c>
    </row>
    <row r="349" customFormat="false" ht="15" hidden="false" customHeight="false" outlineLevel="0" collapsed="false">
      <c r="A349" s="50" t="n">
        <v>269</v>
      </c>
      <c r="B349" s="51" t="n">
        <f aca="false">1+IF($G$6=$E$6,$F$6,IF(P349&lt;($F$6-$E$6)/($G$6-$E$6),$E$6+SQRT(P349*($G$6-$E$6)*($F$6-$E$6)),$G$6-SQRT((1-P349)*($G$6-$E$6)*($G$6-$F$6))))</f>
        <v>0.974950161275598</v>
      </c>
      <c r="C349" s="51" t="n">
        <f aca="false">1+IF($G$7=$E$7,$F$7,IF(Q349&lt;($F$7-$E$7)/($G$7-$E$7),$E$7+SQRT(Q349*($G$7-$E$7)*($F$7-$E$7)),$G$7-SQRT((1-Q349)*($G$7-$E$7)*($G$7-$F$7))))</f>
        <v>1.07540942503463</v>
      </c>
      <c r="D349" s="51" t="n">
        <f aca="false">1+IF($G$8=$E$8,$F$8,IF(R349&lt;($F$8-$E$8)/($G$8-$E$8),$E$8+SQRT(R349*($G$8-$E$8)*($F$8-$E$8)),$G$8-SQRT((1-R349)*($G$8-$E$8)*($G$8-$F$8))))</f>
        <v>0.973625393555423</v>
      </c>
      <c r="E349" s="51" t="n">
        <f aca="false">1+IF($G$9=$E$9,$F$9,IF(S349&lt;($F$9-$E$9)/($G$9-$E$9),$E$9+SQRT(S349*($G$9-$E$9)*($F$9-$E$9)),$G$9-SQRT((1-S349)*($G$9-$E$9)*($G$9-$F$9))))</f>
        <v>1.04084144813456</v>
      </c>
      <c r="F349" s="51" t="n">
        <f aca="false">1+IF($G$10=$E$10,$F$10,IF(T349&lt;($F$10-$E$10)/($G$10-$E$10),$E$10+SQRT(T349*($G$10-$E$10)*($F$10-$E$10)),$G$10-SQRT((1-T349)*($G$10-$E$10)*($G$10-$F$10))))</f>
        <v>1.06258184203698</v>
      </c>
      <c r="G349" s="52" t="n">
        <f aca="false">IF($G$11=$E$11,$F$11,IF(U349&lt;($F$11-$E$11)/($G$11-$E$11),$E$11+SQRT(U349*($G$11-$E$11)*($F$11-$E$11)),$G$11-SQRT((1-U349)*($G$11-$E$11)*($G$11-$F$11))))</f>
        <v>0.103006889887572</v>
      </c>
      <c r="H349" s="53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-2125163684.07397</v>
      </c>
      <c r="I349" s="53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14150601.6369865</v>
      </c>
      <c r="J349" s="53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336919756.911116</v>
      </c>
      <c r="K349" s="53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712818004.287096</v>
      </c>
      <c r="L349" s="53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856642866.384279</v>
      </c>
      <c r="M349" s="53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1055936156.58288</v>
      </c>
      <c r="N349" s="53" t="n">
        <f aca="false">IF(COUNT('Business Case'!B11:G11)=0,"",H349+NPV(G349,I349:M349))</f>
        <v>-78712208.4833891</v>
      </c>
      <c r="P349" s="54" t="n">
        <f aca="true">RAND()</f>
        <v>0.314533356688983</v>
      </c>
      <c r="Q349" s="54" t="n">
        <f aca="true">RAND()</f>
        <v>0.894023735739738</v>
      </c>
      <c r="R349" s="54" t="n">
        <f aca="true">RAND()</f>
        <v>0.0858706493305597</v>
      </c>
      <c r="S349" s="54" t="n">
        <f aca="true">RAND()</f>
        <v>0.766684382745619</v>
      </c>
      <c r="T349" s="54" t="n">
        <f aca="true">RAND()</f>
        <v>0.622324997241028</v>
      </c>
      <c r="U349" s="54" t="n">
        <f aca="true">RAND()</f>
        <v>0.518723681178179</v>
      </c>
    </row>
    <row r="350" customFormat="false" ht="15" hidden="false" customHeight="false" outlineLevel="0" collapsed="false">
      <c r="A350" s="50" t="n">
        <v>270</v>
      </c>
      <c r="B350" s="51" t="n">
        <f aca="false">1+IF($G$6=$E$6,$F$6,IF(P350&lt;($F$6-$E$6)/($G$6-$E$6),$E$6+SQRT(P350*($G$6-$E$6)*($F$6-$E$6)),$G$6-SQRT((1-P350)*($G$6-$E$6)*($G$6-$F$6))))</f>
        <v>0.942850420279157</v>
      </c>
      <c r="C350" s="51" t="n">
        <f aca="false">1+IF($G$7=$E$7,$F$7,IF(Q350&lt;($F$7-$E$7)/($G$7-$E$7),$E$7+SQRT(Q350*($G$7-$E$7)*($F$7-$E$7)),$G$7-SQRT((1-Q350)*($G$7-$E$7)*($G$7-$F$7))))</f>
        <v>0.886693207121672</v>
      </c>
      <c r="D350" s="51" t="n">
        <f aca="false">1+IF($G$8=$E$8,$F$8,IF(R350&lt;($F$8-$E$8)/($G$8-$E$8),$E$8+SQRT(R350*($G$8-$E$8)*($F$8-$E$8)),$G$8-SQRT((1-R350)*($G$8-$E$8)*($G$8-$F$8))))</f>
        <v>0.985926178137184</v>
      </c>
      <c r="E350" s="51" t="n">
        <f aca="false">1+IF($G$9=$E$9,$F$9,IF(S350&lt;($F$9-$E$9)/($G$9-$E$9),$E$9+SQRT(S350*($G$9-$E$9)*($F$9-$E$9)),$G$9-SQRT((1-S350)*($G$9-$E$9)*($G$9-$F$9))))</f>
        <v>1.04085676913573</v>
      </c>
      <c r="F350" s="51" t="n">
        <f aca="false">1+IF($G$10=$E$10,$F$10,IF(T350&lt;($F$10-$E$10)/($G$10-$E$10),$E$10+SQRT(T350*($G$10-$E$10)*($F$10-$E$10)),$G$10-SQRT((1-T350)*($G$10-$E$10)*($G$10-$F$10))))</f>
        <v>1.0247115730505</v>
      </c>
      <c r="G350" s="52" t="n">
        <f aca="false">IF($G$11=$E$11,$F$11,IF(U350&lt;($F$11-$E$11)/($G$11-$E$11),$E$11+SQRT(U350*($G$11-$E$11)*($F$11-$E$11)),$G$11-SQRT((1-U350)*($G$11-$E$11)*($G$11-$F$11))))</f>
        <v>0.0999227010006574</v>
      </c>
      <c r="H350" s="53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-2049423146.10099</v>
      </c>
      <c r="I350" s="53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-56588065.9914206</v>
      </c>
      <c r="J350" s="53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180644086.118884</v>
      </c>
      <c r="K350" s="53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469111816.881713</v>
      </c>
      <c r="L350" s="53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577082019.735531</v>
      </c>
      <c r="M350" s="53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735992523.229306</v>
      </c>
      <c r="N350" s="53" t="n">
        <f aca="false">IF(COUNT('Business Case'!B11:G11)=0,"",H350+NPV(G350,I350:M350))</f>
        <v>-747612226.835987</v>
      </c>
      <c r="P350" s="54" t="n">
        <f aca="true">RAND()</f>
        <v>0.0543897611389701</v>
      </c>
      <c r="Q350" s="54" t="n">
        <f aca="true">RAND()</f>
        <v>0.107367316586302</v>
      </c>
      <c r="R350" s="54" t="n">
        <f aca="true">RAND()</f>
        <v>0.198567734699184</v>
      </c>
      <c r="S350" s="54" t="n">
        <f aca="true">RAND()</f>
        <v>0.766805216195704</v>
      </c>
      <c r="T350" s="54" t="n">
        <f aca="true">RAND()</f>
        <v>0.385479347551361</v>
      </c>
      <c r="U350" s="54" t="n">
        <f aca="true">RAND()</f>
        <v>0.328199983828155</v>
      </c>
    </row>
    <row r="351" customFormat="false" ht="15" hidden="false" customHeight="false" outlineLevel="0" collapsed="false">
      <c r="A351" s="50" t="n">
        <v>271</v>
      </c>
      <c r="B351" s="51" t="n">
        <f aca="false">1+IF($G$6=$E$6,$F$6,IF(P351&lt;($F$6-$E$6)/($G$6-$E$6),$E$6+SQRT(P351*($G$6-$E$6)*($F$6-$E$6)),$G$6-SQRT((1-P351)*($G$6-$E$6)*($G$6-$F$6))))</f>
        <v>1.01445005886243</v>
      </c>
      <c r="C351" s="51" t="n">
        <f aca="false">1+IF($G$7=$E$7,$F$7,IF(Q351&lt;($F$7-$E$7)/($G$7-$E$7),$E$7+SQRT(Q351*($G$7-$E$7)*($F$7-$E$7)),$G$7-SQRT((1-Q351)*($G$7-$E$7)*($G$7-$F$7))))</f>
        <v>0.867699668563743</v>
      </c>
      <c r="D351" s="51" t="n">
        <f aca="false">1+IF($G$8=$E$8,$F$8,IF(R351&lt;($F$8-$E$8)/($G$8-$E$8),$E$8+SQRT(R351*($G$8-$E$8)*($F$8-$E$8)),$G$8-SQRT((1-R351)*($G$8-$E$8)*($G$8-$F$8))))</f>
        <v>1.01251884862437</v>
      </c>
      <c r="E351" s="51" t="n">
        <f aca="false">1+IF($G$9=$E$9,$F$9,IF(S351&lt;($F$9-$E$9)/($G$9-$E$9),$E$9+SQRT(S351*($G$9-$E$9)*($F$9-$E$9)),$G$9-SQRT((1-S351)*($G$9-$E$9)*($G$9-$F$9))))</f>
        <v>1.08937230823552</v>
      </c>
      <c r="F351" s="51" t="n">
        <f aca="false">1+IF($G$10=$E$10,$F$10,IF(T351&lt;($F$10-$E$10)/($G$10-$E$10),$E$10+SQRT(T351*($G$10-$E$10)*($F$10-$E$10)),$G$10-SQRT((1-T351)*($G$10-$E$10)*($G$10-$F$10))))</f>
        <v>1.10068197846958</v>
      </c>
      <c r="G351" s="52" t="n">
        <f aca="false">IF($G$11=$E$11,$F$11,IF(U351&lt;($F$11-$E$11)/($G$11-$E$11),$E$11+SQRT(U351*($G$11-$E$11)*($F$11-$E$11)),$G$11-SQRT((1-U351)*($G$11-$E$11)*($G$11-$F$11))))</f>
        <v>0.10746811478628</v>
      </c>
      <c r="H351" s="53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-2201363956.93915</v>
      </c>
      <c r="I351" s="53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-39383791.2560314</v>
      </c>
      <c r="J351" s="53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231840894.441379</v>
      </c>
      <c r="K351" s="53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558099679.062268</v>
      </c>
      <c r="L351" s="53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678928932.211667</v>
      </c>
      <c r="M351" s="53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846244567.42144</v>
      </c>
      <c r="N351" s="53" t="n">
        <f aca="false">IF(COUNT('Business Case'!B11:G11)=0,"",H351+NPV(G351,I351:M351))</f>
        <v>-677707077.810892</v>
      </c>
      <c r="P351" s="54" t="n">
        <f aca="true">RAND()</f>
        <v>0.864000105805519</v>
      </c>
      <c r="Q351" s="54" t="n">
        <f aca="true">RAND()</f>
        <v>0.0654749303377238</v>
      </c>
      <c r="R351" s="54" t="n">
        <f aca="true">RAND()</f>
        <v>0.562143673944123</v>
      </c>
      <c r="S351" s="54" t="n">
        <f aca="true">RAND()</f>
        <v>0.992470144517285</v>
      </c>
      <c r="T351" s="54" t="n">
        <f aca="true">RAND()</f>
        <v>0.802718611985641</v>
      </c>
      <c r="U351" s="54" t="n">
        <f aca="true">RAND()</f>
        <v>0.738253088316929</v>
      </c>
    </row>
    <row r="352" customFormat="false" ht="15" hidden="false" customHeight="false" outlineLevel="0" collapsed="false">
      <c r="A352" s="50" t="n">
        <v>272</v>
      </c>
      <c r="B352" s="51" t="n">
        <f aca="false">1+IF($G$6=$E$6,$F$6,IF(P352&lt;($F$6-$E$6)/($G$6-$E$6),$E$6+SQRT(P352*($G$6-$E$6)*($F$6-$E$6)),$G$6-SQRT((1-P352)*($G$6-$E$6)*($G$6-$F$6))))</f>
        <v>1.00178916518675</v>
      </c>
      <c r="C352" s="51" t="n">
        <f aca="false">1+IF($G$7=$E$7,$F$7,IF(Q352&lt;($F$7-$E$7)/($G$7-$E$7),$E$7+SQRT(Q352*($G$7-$E$7)*($F$7-$E$7)),$G$7-SQRT((1-Q352)*($G$7-$E$7)*($G$7-$F$7))))</f>
        <v>0.965778239771554</v>
      </c>
      <c r="D352" s="51" t="n">
        <f aca="false">1+IF($G$8=$E$8,$F$8,IF(R352&lt;($F$8-$E$8)/($G$8-$E$8),$E$8+SQRT(R352*($G$8-$E$8)*($F$8-$E$8)),$G$8-SQRT((1-R352)*($G$8-$E$8)*($G$8-$F$8))))</f>
        <v>0.994486935835074</v>
      </c>
      <c r="E352" s="51" t="n">
        <f aca="false">1+IF($G$9=$E$9,$F$9,IF(S352&lt;($F$9-$E$9)/($G$9-$E$9),$E$9+SQRT(S352*($G$9-$E$9)*($F$9-$E$9)),$G$9-SQRT((1-S352)*($G$9-$E$9)*($G$9-$F$9))))</f>
        <v>1.00358544987269</v>
      </c>
      <c r="F352" s="51" t="n">
        <f aca="false">1+IF($G$10=$E$10,$F$10,IF(T352&lt;($F$10-$E$10)/($G$10-$E$10),$E$10+SQRT(T352*($G$10-$E$10)*($F$10-$E$10)),$G$10-SQRT((1-T352)*($G$10-$E$10)*($G$10-$F$10))))</f>
        <v>1.04699776396217</v>
      </c>
      <c r="G352" s="52" t="n">
        <f aca="false">IF($G$11=$E$11,$F$11,IF(U352&lt;($F$11-$E$11)/($G$11-$E$11),$E$11+SQRT(U352*($G$11-$E$11)*($F$11-$E$11)),$G$11-SQRT((1-U352)*($G$11-$E$11)*($G$11-$F$11))))</f>
        <v>0.103522638405627</v>
      </c>
      <c r="H352" s="53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-2093995527.92434</v>
      </c>
      <c r="I352" s="53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3216540.51453854</v>
      </c>
      <c r="J352" s="53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303998228.590904</v>
      </c>
      <c r="K352" s="53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657129804.865379</v>
      </c>
      <c r="L352" s="53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790827381.019977</v>
      </c>
      <c r="M352" s="53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974730955.063594</v>
      </c>
      <c r="N352" s="53" t="n">
        <f aca="false">IF(COUNT('Business Case'!B11:G11)=0,"",H352+NPV(G352,I352:M352))</f>
        <v>-223531154.138083</v>
      </c>
      <c r="P352" s="54" t="n">
        <f aca="true">RAND()</f>
        <v>0.695819188098783</v>
      </c>
      <c r="Q352" s="54" t="n">
        <f aca="true">RAND()</f>
        <v>0.392606068310782</v>
      </c>
      <c r="R352" s="54" t="n">
        <f aca="true">RAND()</f>
        <v>0.304474993845233</v>
      </c>
      <c r="S352" s="54" t="n">
        <f aca="true">RAND()</f>
        <v>0.38028230158323</v>
      </c>
      <c r="T352" s="54" t="n">
        <f aca="true">RAND()</f>
        <v>0.53180631534848</v>
      </c>
      <c r="U352" s="54" t="n">
        <f aca="true">RAND()</f>
        <v>0.54749425814716</v>
      </c>
    </row>
    <row r="353" customFormat="false" ht="15" hidden="false" customHeight="false" outlineLevel="0" collapsed="false">
      <c r="A353" s="50" t="n">
        <v>273</v>
      </c>
      <c r="B353" s="51" t="n">
        <f aca="false">1+IF($G$6=$E$6,$F$6,IF(P353&lt;($F$6-$E$6)/($G$6-$E$6),$E$6+SQRT(P353*($G$6-$E$6)*($F$6-$E$6)),$G$6-SQRT((1-P353)*($G$6-$E$6)*($G$6-$F$6))))</f>
        <v>0.968374114303393</v>
      </c>
      <c r="C353" s="51" t="n">
        <f aca="false">1+IF($G$7=$E$7,$F$7,IF(Q353&lt;($F$7-$E$7)/($G$7-$E$7),$E$7+SQRT(Q353*($G$7-$E$7)*($F$7-$E$7)),$G$7-SQRT((1-Q353)*($G$7-$E$7)*($G$7-$F$7))))</f>
        <v>0.979161689516235</v>
      </c>
      <c r="D353" s="51" t="n">
        <f aca="false">1+IF($G$8=$E$8,$F$8,IF(R353&lt;($F$8-$E$8)/($G$8-$E$8),$E$8+SQRT(R353*($G$8-$E$8)*($F$8-$E$8)),$G$8-SQRT((1-R353)*($G$8-$E$8)*($G$8-$F$8))))</f>
        <v>1.03873877171869</v>
      </c>
      <c r="E353" s="51" t="n">
        <f aca="false">1+IF($G$9=$E$9,$F$9,IF(S353&lt;($F$9-$E$9)/($G$9-$E$9),$E$9+SQRT(S353*($G$9-$E$9)*($F$9-$E$9)),$G$9-SQRT((1-S353)*($G$9-$E$9)*($G$9-$F$9))))</f>
        <v>1.00125443935156</v>
      </c>
      <c r="F353" s="51" t="n">
        <f aca="false">1+IF($G$10=$E$10,$F$10,IF(T353&lt;($F$10-$E$10)/($G$10-$E$10),$E$10+SQRT(T353*($G$10-$E$10)*($F$10-$E$10)),$G$10-SQRT((1-T353)*($G$10-$E$10)*($G$10-$F$10))))</f>
        <v>0.985814471792647</v>
      </c>
      <c r="G353" s="52" t="n">
        <f aca="false">IF($G$11=$E$11,$F$11,IF(U353&lt;($F$11-$E$11)/($G$11-$E$11),$E$11+SQRT(U353*($G$11-$E$11)*($F$11-$E$11)),$G$11-SQRT((1-U353)*($G$11-$E$11)*($G$11-$F$11))))</f>
        <v>0.107725697948996</v>
      </c>
      <c r="H353" s="53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-1971628943.58529</v>
      </c>
      <c r="I353" s="53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-34144766.1067925</v>
      </c>
      <c r="J353" s="53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221824716.428001</v>
      </c>
      <c r="K353" s="53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527084922.552427</v>
      </c>
      <c r="L353" s="53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645177696.855045</v>
      </c>
      <c r="M353" s="53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825410570.872321</v>
      </c>
      <c r="N353" s="53" t="n">
        <f aca="false">IF(COUNT('Business Case'!B11:G11)=0,"",H353+NPV(G353,I353:M353))</f>
        <v>-510506716.978945</v>
      </c>
      <c r="P353" s="54" t="n">
        <f aca="true">RAND()</f>
        <v>0.243755722358098</v>
      </c>
      <c r="Q353" s="54" t="n">
        <f aca="true">RAND()</f>
        <v>0.458555871290167</v>
      </c>
      <c r="R353" s="54" t="n">
        <f aca="true">RAND()</f>
        <v>0.836299138530579</v>
      </c>
      <c r="S353" s="54" t="n">
        <f aca="true">RAND()</f>
        <v>0.349954283481653</v>
      </c>
      <c r="T353" s="54" t="n">
        <f aca="true">RAND()</f>
        <v>0.102614111182901</v>
      </c>
      <c r="U353" s="54" t="n">
        <f aca="true">RAND()</f>
        <v>0.748902515267871</v>
      </c>
    </row>
    <row r="354" customFormat="false" ht="15" hidden="false" customHeight="false" outlineLevel="0" collapsed="false">
      <c r="A354" s="50" t="n">
        <v>274</v>
      </c>
      <c r="B354" s="51" t="n">
        <f aca="false">1+IF($G$6=$E$6,$F$6,IF(P354&lt;($F$6-$E$6)/($G$6-$E$6),$E$6+SQRT(P354*($G$6-$E$6)*($F$6-$E$6)),$G$6-SQRT((1-P354)*($G$6-$E$6)*($G$6-$F$6))))</f>
        <v>0.966324692095287</v>
      </c>
      <c r="C354" s="51" t="n">
        <f aca="false">1+IF($G$7=$E$7,$F$7,IF(Q354&lt;($F$7-$E$7)/($G$7-$E$7),$E$7+SQRT(Q354*($G$7-$E$7)*($F$7-$E$7)),$G$7-SQRT((1-Q354)*($G$7-$E$7)*($G$7-$F$7))))</f>
        <v>1.02330175066984</v>
      </c>
      <c r="D354" s="51" t="n">
        <f aca="false">1+IF($G$8=$E$8,$F$8,IF(R354&lt;($F$8-$E$8)/($G$8-$E$8),$E$8+SQRT(R354*($G$8-$E$8)*($F$8-$E$8)),$G$8-SQRT((1-R354)*($G$8-$E$8)*($G$8-$F$8))))</f>
        <v>1.02394513740093</v>
      </c>
      <c r="E354" s="51" t="n">
        <f aca="false">1+IF($G$9=$E$9,$F$9,IF(S354&lt;($F$9-$E$9)/($G$9-$E$9),$E$9+SQRT(S354*($G$9-$E$9)*($F$9-$E$9)),$G$9-SQRT((1-S354)*($G$9-$E$9)*($G$9-$F$9))))</f>
        <v>1.00259416099499</v>
      </c>
      <c r="F354" s="51" t="n">
        <f aca="false">1+IF($G$10=$E$10,$F$10,IF(T354&lt;($F$10-$E$10)/($G$10-$E$10),$E$10+SQRT(T354*($G$10-$E$10)*($F$10-$E$10)),$G$10-SQRT((1-T354)*($G$10-$E$10)*($G$10-$F$10))))</f>
        <v>1.03320662789174</v>
      </c>
      <c r="G354" s="52" t="n">
        <f aca="false">IF($G$11=$E$11,$F$11,IF(U354&lt;($F$11-$E$11)/($G$11-$E$11),$E$11+SQRT(U354*($G$11-$E$11)*($F$11-$E$11)),$G$11-SQRT((1-U354)*($G$11-$E$11)*($G$11-$F$11))))</f>
        <v>0.102250569198548</v>
      </c>
      <c r="H354" s="53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-2066413255.78347</v>
      </c>
      <c r="I354" s="53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-23610779.2873795</v>
      </c>
      <c r="J354" s="53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249929550.183143</v>
      </c>
      <c r="K354" s="53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575130211.048252</v>
      </c>
      <c r="L354" s="53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700484691.721921</v>
      </c>
      <c r="M354" s="53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888443731.397806</v>
      </c>
      <c r="N354" s="53" t="n">
        <f aca="false">IF(COUNT('Business Case'!B11:G11)=0,"",H354+NPV(G354,I354:M354))</f>
        <v>-432070903.158398</v>
      </c>
      <c r="P354" s="54" t="n">
        <f aca="true">RAND()</f>
        <v>0.223539281012824</v>
      </c>
      <c r="Q354" s="54" t="n">
        <f aca="true">RAND()</f>
        <v>0.694239116508053</v>
      </c>
      <c r="R354" s="54" t="n">
        <f aca="true">RAND()</f>
        <v>0.697870421057623</v>
      </c>
      <c r="S354" s="54" t="n">
        <f aca="true">RAND()</f>
        <v>0.367473501848614</v>
      </c>
      <c r="T354" s="54" t="n">
        <f aca="true">RAND()</f>
        <v>0.443599420415081</v>
      </c>
      <c r="U354" s="54" t="n">
        <f aca="true">RAND()</f>
        <v>0.474929510374132</v>
      </c>
    </row>
    <row r="355" customFormat="false" ht="15" hidden="false" customHeight="false" outlineLevel="0" collapsed="false">
      <c r="A355" s="50" t="n">
        <v>275</v>
      </c>
      <c r="B355" s="51" t="n">
        <f aca="false">1+IF($G$6=$E$6,$F$6,IF(P355&lt;($F$6-$E$6)/($G$6-$E$6),$E$6+SQRT(P355*($G$6-$E$6)*($F$6-$E$6)),$G$6-SQRT((1-P355)*($G$6-$E$6)*($G$6-$F$6))))</f>
        <v>0.965264210867475</v>
      </c>
      <c r="C355" s="51" t="n">
        <f aca="false">1+IF($G$7=$E$7,$F$7,IF(Q355&lt;($F$7-$E$7)/($G$7-$E$7),$E$7+SQRT(Q355*($G$7-$E$7)*($F$7-$E$7)),$G$7-SQRT((1-Q355)*($G$7-$E$7)*($G$7-$F$7))))</f>
        <v>0.993938582420963</v>
      </c>
      <c r="D355" s="51" t="n">
        <f aca="false">1+IF($G$8=$E$8,$F$8,IF(R355&lt;($F$8-$E$8)/($G$8-$E$8),$E$8+SQRT(R355*($G$8-$E$8)*($F$8-$E$8)),$G$8-SQRT((1-R355)*($G$8-$E$8)*($G$8-$F$8))))</f>
        <v>1.01714225359352</v>
      </c>
      <c r="E355" s="51" t="n">
        <f aca="false">1+IF($G$9=$E$9,$F$9,IF(S355&lt;($F$9-$E$9)/($G$9-$E$9),$E$9+SQRT(S355*($G$9-$E$9)*($F$9-$E$9)),$G$9-SQRT((1-S355)*($G$9-$E$9)*($G$9-$F$9))))</f>
        <v>1.03941464183653</v>
      </c>
      <c r="F355" s="51" t="n">
        <f aca="false">1+IF($G$10=$E$10,$F$10,IF(T355&lt;($F$10-$E$10)/($G$10-$E$10),$E$10+SQRT(T355*($G$10-$E$10)*($F$10-$E$10)),$G$10-SQRT((1-T355)*($G$10-$E$10)*($G$10-$F$10))))</f>
        <v>0.973988175473942</v>
      </c>
      <c r="G355" s="52" t="n">
        <f aca="false">IF($G$11=$E$11,$F$11,IF(U355&lt;($F$11-$E$11)/($G$11-$E$11),$E$11+SQRT(U355*($G$11-$E$11)*($F$11-$E$11)),$G$11-SQRT((1-U355)*($G$11-$E$11)*($G$11-$F$11))))</f>
        <v>0.108097316079554</v>
      </c>
      <c r="H355" s="53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-1947976350.94788</v>
      </c>
      <c r="I355" s="53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-26650272.6889857</v>
      </c>
      <c r="J355" s="53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241639021.857339</v>
      </c>
      <c r="K355" s="53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558627725.177362</v>
      </c>
      <c r="L355" s="53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681214815.105312</v>
      </c>
      <c r="M355" s="53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863580103.040773</v>
      </c>
      <c r="N355" s="53" t="n">
        <f aca="false">IF(COUNT('Business Case'!B11:G11)=0,"",H355+NPV(G355,I355:M355))</f>
        <v>-395926482.404894</v>
      </c>
      <c r="P355" s="54" t="n">
        <f aca="true">RAND()</f>
        <v>0.213421748484919</v>
      </c>
      <c r="Q355" s="54" t="n">
        <f aca="true">RAND()</f>
        <v>0.537316767877895</v>
      </c>
      <c r="R355" s="54" t="n">
        <f aca="true">RAND()</f>
        <v>0.620086895836404</v>
      </c>
      <c r="S355" s="54" t="n">
        <f aca="true">RAND()</f>
        <v>0.755294291746929</v>
      </c>
      <c r="T355" s="54" t="n">
        <f aca="true">RAND()</f>
        <v>0.0460346050054906</v>
      </c>
      <c r="U355" s="54" t="n">
        <f aca="true">RAND()</f>
        <v>0.763876859149938</v>
      </c>
    </row>
    <row r="356" customFormat="false" ht="15" hidden="false" customHeight="false" outlineLevel="0" collapsed="false">
      <c r="A356" s="50" t="n">
        <v>276</v>
      </c>
      <c r="B356" s="51" t="n">
        <f aca="false">1+IF($G$6=$E$6,$F$6,IF(P356&lt;($F$6-$E$6)/($G$6-$E$6),$E$6+SQRT(P356*($G$6-$E$6)*($F$6-$E$6)),$G$6-SQRT((1-P356)*($G$6-$E$6)*($G$6-$F$6))))</f>
        <v>1.01216711471049</v>
      </c>
      <c r="C356" s="51" t="n">
        <f aca="false">1+IF($G$7=$E$7,$F$7,IF(Q356&lt;($F$7-$E$7)/($G$7-$E$7),$E$7+SQRT(Q356*($G$7-$E$7)*($F$7-$E$7)),$G$7-SQRT((1-Q356)*($G$7-$E$7)*($G$7-$F$7))))</f>
        <v>1.1116905843487</v>
      </c>
      <c r="D356" s="51" t="n">
        <f aca="false">1+IF($G$8=$E$8,$F$8,IF(R356&lt;($F$8-$E$8)/($G$8-$E$8),$E$8+SQRT(R356*($G$8-$E$8)*($F$8-$E$8)),$G$8-SQRT((1-R356)*($G$8-$E$8)*($G$8-$F$8))))</f>
        <v>1.00122287290356</v>
      </c>
      <c r="E356" s="51" t="n">
        <f aca="false">1+IF($G$9=$E$9,$F$9,IF(S356&lt;($F$9-$E$9)/($G$9-$E$9),$E$9+SQRT(S356*($G$9-$E$9)*($F$9-$E$9)),$G$9-SQRT((1-S356)*($G$9-$E$9)*($G$9-$F$9))))</f>
        <v>0.992380937241402</v>
      </c>
      <c r="F356" s="51" t="n">
        <f aca="false">1+IF($G$10=$E$10,$F$10,IF(T356&lt;($F$10-$E$10)/($G$10-$E$10),$E$10+SQRT(T356*($G$10-$E$10)*($F$10-$E$10)),$G$10-SQRT((1-T356)*($G$10-$E$10)*($G$10-$F$10))))</f>
        <v>1.0177493114622</v>
      </c>
      <c r="G356" s="52" t="n">
        <f aca="false">IF($G$11=$E$11,$F$11,IF(U356&lt;($F$11-$E$11)/($G$11-$E$11),$E$11+SQRT(U356*($G$11-$E$11)*($F$11-$E$11)),$G$11-SQRT((1-U356)*($G$11-$E$11)*($G$11-$F$11))))</f>
        <v>0.0984051924028255</v>
      </c>
      <c r="H356" s="53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-2035498622.92439</v>
      </c>
      <c r="I356" s="53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50618144.51484</v>
      </c>
      <c r="J356" s="53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402459020.650408</v>
      </c>
      <c r="K356" s="53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805187362.359085</v>
      </c>
      <c r="L356" s="53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961355141.870128</v>
      </c>
      <c r="M356" s="53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1175236322.93232</v>
      </c>
      <c r="N356" s="53" t="n">
        <f aca="false">IF(COUNT('Business Case'!B11:G11)=0,"",H356+NPV(G356,I356:M356))</f>
        <v>347232589.889399</v>
      </c>
      <c r="P356" s="54" t="n">
        <f aca="true">RAND()</f>
        <v>0.838610520096083</v>
      </c>
      <c r="Q356" s="54" t="n">
        <f aca="true">RAND()</f>
        <v>0.972045498522977</v>
      </c>
      <c r="R356" s="54" t="n">
        <f aca="true">RAND()</f>
        <v>0.403285023695343</v>
      </c>
      <c r="S356" s="54" t="n">
        <f aca="true">RAND()</f>
        <v>0.239485845527954</v>
      </c>
      <c r="T356" s="54" t="n">
        <f aca="true">RAND()</f>
        <v>0.335693730549919</v>
      </c>
      <c r="U356" s="54" t="n">
        <f aca="true">RAND()</f>
        <v>0.235490864428383</v>
      </c>
    </row>
    <row r="357" customFormat="false" ht="15" hidden="false" customHeight="false" outlineLevel="0" collapsed="false">
      <c r="A357" s="50" t="n">
        <v>277</v>
      </c>
      <c r="B357" s="51" t="n">
        <f aca="false">1+IF($G$6=$E$6,$F$6,IF(P357&lt;($F$6-$E$6)/($G$6-$E$6),$E$6+SQRT(P357*($G$6-$E$6)*($F$6-$E$6)),$G$6-SQRT((1-P357)*($G$6-$E$6)*($G$6-$F$6))))</f>
        <v>0.96985922455977</v>
      </c>
      <c r="C357" s="51" t="n">
        <f aca="false">1+IF($G$7=$E$7,$F$7,IF(Q357&lt;($F$7-$E$7)/($G$7-$E$7),$E$7+SQRT(Q357*($G$7-$E$7)*($F$7-$E$7)),$G$7-SQRT((1-Q357)*($G$7-$E$7)*($G$7-$F$7))))</f>
        <v>0.952003861175419</v>
      </c>
      <c r="D357" s="51" t="n">
        <f aca="false">1+IF($G$8=$E$8,$F$8,IF(R357&lt;($F$8-$E$8)/($G$8-$E$8),$E$8+SQRT(R357*($G$8-$E$8)*($F$8-$E$8)),$G$8-SQRT((1-R357)*($G$8-$E$8)*($G$8-$F$8))))</f>
        <v>1.02138573156086</v>
      </c>
      <c r="E357" s="51" t="n">
        <f aca="false">1+IF($G$9=$E$9,$F$9,IF(S357&lt;($F$9-$E$9)/($G$9-$E$9),$E$9+SQRT(S357*($G$9-$E$9)*($F$9-$E$9)),$G$9-SQRT((1-S357)*($G$9-$E$9)*($G$9-$F$9))))</f>
        <v>1.04514308213307</v>
      </c>
      <c r="F357" s="51" t="n">
        <f aca="false">1+IF($G$10=$E$10,$F$10,IF(T357&lt;($F$10-$E$10)/($G$10-$E$10),$E$10+SQRT(T357*($G$10-$E$10)*($F$10-$E$10)),$G$10-SQRT((1-T357)*($G$10-$E$10)*($G$10-$F$10))))</f>
        <v>1.06333005788134</v>
      </c>
      <c r="G357" s="52" t="n">
        <f aca="false">IF($G$11=$E$11,$F$11,IF(U357&lt;($F$11-$E$11)/($G$11-$E$11),$E$11+SQRT(U357*($G$11-$E$11)*($F$11-$E$11)),$G$11-SQRT((1-U357)*($G$11-$E$11)*($G$11-$F$11))))</f>
        <v>0.103197722999965</v>
      </c>
      <c r="H357" s="53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-2126660115.76268</v>
      </c>
      <c r="I357" s="53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-44331732.8931894</v>
      </c>
      <c r="J357" s="53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214153262.506855</v>
      </c>
      <c r="K357" s="53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525804760.800967</v>
      </c>
      <c r="L357" s="53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643876010.084834</v>
      </c>
      <c r="M357" s="53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819378722.912685</v>
      </c>
      <c r="N357" s="53" t="n">
        <f aca="false">IF(COUNT('Business Case'!B11:G11)=0,"",H357+NPV(G357,I357:M357))</f>
        <v>-663125686.075737</v>
      </c>
      <c r="P357" s="54" t="n">
        <f aca="true">RAND()</f>
        <v>0.258952320177244</v>
      </c>
      <c r="Q357" s="54" t="n">
        <f aca="true">RAND()</f>
        <v>0.330073911603373</v>
      </c>
      <c r="R357" s="54" t="n">
        <f aca="true">RAND()</f>
        <v>0.669650724552381</v>
      </c>
      <c r="S357" s="54" t="n">
        <f aca="true">RAND()</f>
        <v>0.799381237476052</v>
      </c>
      <c r="T357" s="54" t="n">
        <f aca="true">RAND()</f>
        <v>0.626426538425655</v>
      </c>
      <c r="U357" s="54" t="n">
        <f aca="true">RAND()</f>
        <v>0.529472479356831</v>
      </c>
    </row>
    <row r="358" customFormat="false" ht="15" hidden="false" customHeight="false" outlineLevel="0" collapsed="false">
      <c r="A358" s="50" t="n">
        <v>278</v>
      </c>
      <c r="B358" s="51" t="n">
        <f aca="false">1+IF($G$6=$E$6,$F$6,IF(P358&lt;($F$6-$E$6)/($G$6-$E$6),$E$6+SQRT(P358*($G$6-$E$6)*($F$6-$E$6)),$G$6-SQRT((1-P358)*($G$6-$E$6)*($G$6-$F$6))))</f>
        <v>1.03628715750036</v>
      </c>
      <c r="C358" s="51" t="n">
        <f aca="false">1+IF($G$7=$E$7,$F$7,IF(Q358&lt;($F$7-$E$7)/($G$7-$E$7),$E$7+SQRT(Q358*($G$7-$E$7)*($F$7-$E$7)),$G$7-SQRT((1-Q358)*($G$7-$E$7)*($G$7-$F$7))))</f>
        <v>1.0422383956098</v>
      </c>
      <c r="D358" s="51" t="n">
        <f aca="false">1+IF($G$8=$E$8,$F$8,IF(R358&lt;($F$8-$E$8)/($G$8-$E$8),$E$8+SQRT(R358*($G$8-$E$8)*($F$8-$E$8)),$G$8-SQRT((1-R358)*($G$8-$E$8)*($G$8-$F$8))))</f>
        <v>1.04215600740087</v>
      </c>
      <c r="E358" s="51" t="n">
        <f aca="false">1+IF($G$9=$E$9,$F$9,IF(S358&lt;($F$9-$E$9)/($G$9-$E$9),$E$9+SQRT(S358*($G$9-$E$9)*($F$9-$E$9)),$G$9-SQRT((1-S358)*($G$9-$E$9)*($G$9-$F$9))))</f>
        <v>0.987666250792618</v>
      </c>
      <c r="F358" s="51" t="n">
        <f aca="false">1+IF($G$10=$E$10,$F$10,IF(T358&lt;($F$10-$E$10)/($G$10-$E$10),$E$10+SQRT(T358*($G$10-$E$10)*($F$10-$E$10)),$G$10-SQRT((1-T358)*($G$10-$E$10)*($G$10-$F$10))))</f>
        <v>1.02317516032211</v>
      </c>
      <c r="G358" s="52" t="n">
        <f aca="false">IF($G$11=$E$11,$F$11,IF(U358&lt;($F$11-$E$11)/($G$11-$E$11),$E$11+SQRT(U358*($G$11-$E$11)*($F$11-$E$11)),$G$11-SQRT((1-U358)*($G$11-$E$11)*($G$11-$F$11))))</f>
        <v>0.103614166377443</v>
      </c>
      <c r="H358" s="53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-2046350320.64423</v>
      </c>
      <c r="I358" s="53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29856896.8103628</v>
      </c>
      <c r="J358" s="53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358467670.943398</v>
      </c>
      <c r="K358" s="53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738237203.092539</v>
      </c>
      <c r="L358" s="53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885100941.422052</v>
      </c>
      <c r="M358" s="53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1090398416.32381</v>
      </c>
      <c r="N358" s="53" t="n">
        <f aca="false">IF(COUNT('Business Case'!B11:G11)=0,"",H358+NPV(G358,I358:M358))</f>
        <v>86931121.8714755</v>
      </c>
      <c r="P358" s="54" t="n">
        <f aca="true">RAND()</f>
        <v>0.997128083452676</v>
      </c>
      <c r="Q358" s="54" t="n">
        <f aca="true">RAND()</f>
        <v>0.778808316557141</v>
      </c>
      <c r="R358" s="54" t="n">
        <f aca="true">RAND()</f>
        <v>0.862291560015113</v>
      </c>
      <c r="S358" s="54" t="n">
        <f aca="true">RAND()</f>
        <v>0.189166193169656</v>
      </c>
      <c r="T358" s="54" t="n">
        <f aca="true">RAND()</f>
        <v>0.374659521457787</v>
      </c>
      <c r="U358" s="54" t="n">
        <f aca="true">RAND()</f>
        <v>0.552507427489796</v>
      </c>
    </row>
    <row r="359" customFormat="false" ht="15" hidden="false" customHeight="false" outlineLevel="0" collapsed="false">
      <c r="A359" s="50" t="n">
        <v>279</v>
      </c>
      <c r="B359" s="51" t="n">
        <f aca="false">1+IF($G$6=$E$6,$F$6,IF(P359&lt;($F$6-$E$6)/($G$6-$E$6),$E$6+SQRT(P359*($G$6-$E$6)*($F$6-$E$6)),$G$6-SQRT((1-P359)*($G$6-$E$6)*($G$6-$F$6))))</f>
        <v>0.981288494820127</v>
      </c>
      <c r="C359" s="51" t="n">
        <f aca="false">1+IF($G$7=$E$7,$F$7,IF(Q359&lt;($F$7-$E$7)/($G$7-$E$7),$E$7+SQRT(Q359*($G$7-$E$7)*($F$7-$E$7)),$G$7-SQRT((1-Q359)*($G$7-$E$7)*($G$7-$F$7))))</f>
        <v>1.07948515404854</v>
      </c>
      <c r="D359" s="51" t="n">
        <f aca="false">1+IF($G$8=$E$8,$F$8,IF(R359&lt;($F$8-$E$8)/($G$8-$E$8),$E$8+SQRT(R359*($G$8-$E$8)*($F$8-$E$8)),$G$8-SQRT((1-R359)*($G$8-$E$8)*($G$8-$F$8))))</f>
        <v>1.02301291509809</v>
      </c>
      <c r="E359" s="51" t="n">
        <f aca="false">1+IF($G$9=$E$9,$F$9,IF(S359&lt;($F$9-$E$9)/($G$9-$E$9),$E$9+SQRT(S359*($G$9-$E$9)*($F$9-$E$9)),$G$9-SQRT((1-S359)*($G$9-$E$9)*($G$9-$F$9))))</f>
        <v>1.03605285605429</v>
      </c>
      <c r="F359" s="51" t="n">
        <f aca="false">1+IF($G$10=$E$10,$F$10,IF(T359&lt;($F$10-$E$10)/($G$10-$E$10),$E$10+SQRT(T359*($G$10-$E$10)*($F$10-$E$10)),$G$10-SQRT((1-T359)*($G$10-$E$10)*($G$10-$F$10))))</f>
        <v>1.11226758053502</v>
      </c>
      <c r="G359" s="52" t="n">
        <f aca="false">IF($G$11=$E$11,$F$11,IF(U359&lt;($F$11-$E$11)/($G$11-$E$11),$E$11+SQRT(U359*($G$11-$E$11)*($F$11-$E$11)),$G$11-SQRT((1-U359)*($G$11-$E$11)*($G$11-$F$11))))</f>
        <v>0.109165111828196</v>
      </c>
      <c r="H359" s="53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-2224535161.07003</v>
      </c>
      <c r="I359" s="53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-11162288.091564</v>
      </c>
      <c r="J359" s="53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291142303.007217</v>
      </c>
      <c r="K359" s="53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649060273.132749</v>
      </c>
      <c r="L359" s="53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786437406.836291</v>
      </c>
      <c r="M359" s="53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987786558.524674</v>
      </c>
      <c r="N359" s="53" t="n">
        <f aca="false">IF(COUNT('Business Case'!B11:G11)=0,"",H359+NPV(G359,I359:M359))</f>
        <v>-414260560.388788</v>
      </c>
      <c r="P359" s="54" t="n">
        <f aca="true">RAND()</f>
        <v>0.391279124720489</v>
      </c>
      <c r="Q359" s="54" t="n">
        <f aca="true">RAND()</f>
        <v>0.905288695246508</v>
      </c>
      <c r="R359" s="54" t="n">
        <f aca="true">RAND()</f>
        <v>0.687737707152211</v>
      </c>
      <c r="S359" s="54" t="n">
        <f aca="true">RAND()</f>
        <v>0.727384185412484</v>
      </c>
      <c r="T359" s="54" t="n">
        <f aca="true">RAND()</f>
        <v>0.846060451496404</v>
      </c>
      <c r="U359" s="54" t="n">
        <f aca="true">RAND()</f>
        <v>0.804341997174177</v>
      </c>
    </row>
    <row r="360" customFormat="false" ht="15" hidden="false" customHeight="false" outlineLevel="0" collapsed="false">
      <c r="A360" s="50" t="n">
        <v>280</v>
      </c>
      <c r="B360" s="51" t="n">
        <f aca="false">1+IF($G$6=$E$6,$F$6,IF(P360&lt;($F$6-$E$6)/($G$6-$E$6),$E$6+SQRT(P360*($G$6-$E$6)*($F$6-$E$6)),$G$6-SQRT((1-P360)*($G$6-$E$6)*($G$6-$F$6))))</f>
        <v>0.958663348930575</v>
      </c>
      <c r="C360" s="51" t="n">
        <f aca="false">1+IF($G$7=$E$7,$F$7,IF(Q360&lt;($F$7-$E$7)/($G$7-$E$7),$E$7+SQRT(Q360*($G$7-$E$7)*($F$7-$E$7)),$G$7-SQRT((1-Q360)*($G$7-$E$7)*($G$7-$F$7))))</f>
        <v>1.07467910917303</v>
      </c>
      <c r="D360" s="51" t="n">
        <f aca="false">1+IF($G$8=$E$8,$F$8,IF(R360&lt;($F$8-$E$8)/($G$8-$E$8),$E$8+SQRT(R360*($G$8-$E$8)*($F$8-$E$8)),$G$8-SQRT((1-R360)*($G$8-$E$8)*($G$8-$F$8))))</f>
        <v>1.02075597740868</v>
      </c>
      <c r="E360" s="51" t="n">
        <f aca="false">1+IF($G$9=$E$9,$F$9,IF(S360&lt;($F$9-$E$9)/($G$9-$E$9),$E$9+SQRT(S360*($G$9-$E$9)*($F$9-$E$9)),$G$9-SQRT((1-S360)*($G$9-$E$9)*($G$9-$F$9))))</f>
        <v>1.02409434713278</v>
      </c>
      <c r="F360" s="51" t="n">
        <f aca="false">1+IF($G$10=$E$10,$F$10,IF(T360&lt;($F$10-$E$10)/($G$10-$E$10),$E$10+SQRT(T360*($G$10-$E$10)*($F$10-$E$10)),$G$10-SQRT((1-T360)*($G$10-$E$10)*($G$10-$F$10))))</f>
        <v>1.05291917688683</v>
      </c>
      <c r="G360" s="52" t="n">
        <f aca="false">IF($G$11=$E$11,$F$11,IF(U360&lt;($F$11-$E$11)/($G$11-$E$11),$E$11+SQRT(U360*($G$11-$E$11)*($F$11-$E$11)),$G$11-SQRT((1-U360)*($G$11-$E$11)*($G$11-$F$11))))</f>
        <v>0.0921592123842044</v>
      </c>
      <c r="H360" s="53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-2105838353.77366</v>
      </c>
      <c r="I360" s="53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-22041791.0830049</v>
      </c>
      <c r="J360" s="53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260242995.448071</v>
      </c>
      <c r="K360" s="53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595173740.823488</v>
      </c>
      <c r="L360" s="53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724874298.84259</v>
      </c>
      <c r="M360" s="53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920705259.307351</v>
      </c>
      <c r="N360" s="53" t="n">
        <f aca="false">IF(COUNT('Business Case'!B11:G11)=0,"",H360+NPV(G360,I360:M360))</f>
        <v>-349007474.622805</v>
      </c>
      <c r="P360" s="54" t="n">
        <f aca="true">RAND()</f>
        <v>0.155714015679936</v>
      </c>
      <c r="Q360" s="54" t="n">
        <f aca="true">RAND()</f>
        <v>0.891938350572046</v>
      </c>
      <c r="R360" s="54" t="n">
        <f aca="true">RAND()</f>
        <v>0.662514017999966</v>
      </c>
      <c r="S360" s="54" t="n">
        <f aca="true">RAND()</f>
        <v>0.615888790853396</v>
      </c>
      <c r="T360" s="54" t="n">
        <f aca="true">RAND()</f>
        <v>0.567344629447039</v>
      </c>
      <c r="U360" s="54" t="n">
        <f aca="true">RAND()</f>
        <v>0.0155406604003383</v>
      </c>
    </row>
    <row r="361" customFormat="false" ht="15" hidden="false" customHeight="false" outlineLevel="0" collapsed="false">
      <c r="A361" s="50" t="n">
        <v>281</v>
      </c>
      <c r="B361" s="51" t="n">
        <f aca="false">1+IF($G$6=$E$6,$F$6,IF(P361&lt;($F$6-$E$6)/($G$6-$E$6),$E$6+SQRT(P361*($G$6-$E$6)*($F$6-$E$6)),$G$6-SQRT((1-P361)*($G$6-$E$6)*($G$6-$F$6))))</f>
        <v>1.03968720430699</v>
      </c>
      <c r="C361" s="51" t="n">
        <f aca="false">1+IF($G$7=$E$7,$F$7,IF(Q361&lt;($F$7-$E$7)/($G$7-$E$7),$E$7+SQRT(Q361*($G$7-$E$7)*($F$7-$E$7)),$G$7-SQRT((1-Q361)*($G$7-$E$7)*($G$7-$F$7))))</f>
        <v>0.970000435534101</v>
      </c>
      <c r="D361" s="51" t="n">
        <f aca="false">1+IF($G$8=$E$8,$F$8,IF(R361&lt;($F$8-$E$8)/($G$8-$E$8),$E$8+SQRT(R361*($G$8-$E$8)*($F$8-$E$8)),$G$8-SQRT((1-R361)*($G$8-$E$8)*($G$8-$F$8))))</f>
        <v>0.973756976009021</v>
      </c>
      <c r="E361" s="51" t="n">
        <f aca="false">1+IF($G$9=$E$9,$F$9,IF(S361&lt;($F$9-$E$9)/($G$9-$E$9),$E$9+SQRT(S361*($G$9-$E$9)*($F$9-$E$9)),$G$9-SQRT((1-S361)*($G$9-$E$9)*($G$9-$F$9))))</f>
        <v>1.06205323288135</v>
      </c>
      <c r="F361" s="51" t="n">
        <f aca="false">1+IF($G$10=$E$10,$F$10,IF(T361&lt;($F$10-$E$10)/($G$10-$E$10),$E$10+SQRT(T361*($G$10-$E$10)*($F$10-$E$10)),$G$10-SQRT((1-T361)*($G$10-$E$10)*($G$10-$F$10))))</f>
        <v>1.07269618215672</v>
      </c>
      <c r="G361" s="52" t="n">
        <f aca="false">IF($G$11=$E$11,$F$11,IF(U361&lt;($F$11-$E$11)/($G$11-$E$11),$E$11+SQRT(U361*($G$11-$E$11)*($F$11-$E$11)),$G$11-SQRT((1-U361)*($G$11-$E$11)*($G$11-$F$11))))</f>
        <v>0.0935567556677529</v>
      </c>
      <c r="H361" s="53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-2145392364.31344</v>
      </c>
      <c r="I361" s="53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31926295.6955275</v>
      </c>
      <c r="J361" s="53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374426665.92774</v>
      </c>
      <c r="K361" s="53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770561845.267789</v>
      </c>
      <c r="L361" s="53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919582293.08205</v>
      </c>
      <c r="M361" s="53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1111277410.63476</v>
      </c>
      <c r="N361" s="53" t="n">
        <f aca="false">IF(COUNT('Business Case'!B11:G11)=0,"",H361+NPV(G361,I361:M361))</f>
        <v>139737383.61939</v>
      </c>
      <c r="P361" s="54" t="n">
        <f aca="true">RAND()</f>
        <v>0.999979616428007</v>
      </c>
      <c r="Q361" s="54" t="n">
        <f aca="true">RAND()</f>
        <v>0.412859258311201</v>
      </c>
      <c r="R361" s="54" t="n">
        <f aca="true">RAND()</f>
        <v>0.0868298321681876</v>
      </c>
      <c r="S361" s="54" t="n">
        <f aca="true">RAND()</f>
        <v>0.90400285768286</v>
      </c>
      <c r="T361" s="54" t="n">
        <f aca="true">RAND()</f>
        <v>0.675874759250511</v>
      </c>
      <c r="U361" s="54" t="n">
        <f aca="true">RAND()</f>
        <v>0.0421683696003085</v>
      </c>
    </row>
    <row r="362" customFormat="false" ht="15" hidden="false" customHeight="false" outlineLevel="0" collapsed="false">
      <c r="A362" s="50" t="n">
        <v>282</v>
      </c>
      <c r="B362" s="51" t="n">
        <f aca="false">1+IF($G$6=$E$6,$F$6,IF(P362&lt;($F$6-$E$6)/($G$6-$E$6),$E$6+SQRT(P362*($G$6-$E$6)*($F$6-$E$6)),$G$6-SQRT((1-P362)*($G$6-$E$6)*($G$6-$F$6))))</f>
        <v>0.992150166012161</v>
      </c>
      <c r="C362" s="51" t="n">
        <f aca="false">1+IF($G$7=$E$7,$F$7,IF(Q362&lt;($F$7-$E$7)/($G$7-$E$7),$E$7+SQRT(Q362*($G$7-$E$7)*($F$7-$E$7)),$G$7-SQRT((1-Q362)*($G$7-$E$7)*($G$7-$F$7))))</f>
        <v>1.04954324258917</v>
      </c>
      <c r="D362" s="51" t="n">
        <f aca="false">1+IF($G$8=$E$8,$F$8,IF(R362&lt;($F$8-$E$8)/($G$8-$E$8),$E$8+SQRT(R362*($G$8-$E$8)*($F$8-$E$8)),$G$8-SQRT((1-R362)*($G$8-$E$8)*($G$8-$F$8))))</f>
        <v>1.01356381822298</v>
      </c>
      <c r="E362" s="51" t="n">
        <f aca="false">1+IF($G$9=$E$9,$F$9,IF(S362&lt;($F$9-$E$9)/($G$9-$E$9),$E$9+SQRT(S362*($G$9-$E$9)*($F$9-$E$9)),$G$9-SQRT((1-S362)*($G$9-$E$9)*($G$9-$F$9))))</f>
        <v>1.00473673448477</v>
      </c>
      <c r="F362" s="51" t="n">
        <f aca="false">1+IF($G$10=$E$10,$F$10,IF(T362&lt;($F$10-$E$10)/($G$10-$E$10),$E$10+SQRT(T362*($G$10-$E$10)*($F$10-$E$10)),$G$10-SQRT((1-T362)*($G$10-$E$10)*($G$10-$F$10))))</f>
        <v>0.996311063621287</v>
      </c>
      <c r="G362" s="52" t="n">
        <f aca="false">IF($G$11=$E$11,$F$11,IF(U362&lt;($F$11-$E$11)/($G$11-$E$11),$E$11+SQRT(U362*($G$11-$E$11)*($F$11-$E$11)),$G$11-SQRT((1-U362)*($G$11-$E$11)*($G$11-$F$11))))</f>
        <v>0.106551143976637</v>
      </c>
      <c r="H362" s="53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-1992622127.24257</v>
      </c>
      <c r="I362" s="53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11847691.4317656</v>
      </c>
      <c r="J362" s="53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320181278.272348</v>
      </c>
      <c r="K362" s="53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678330418.293994</v>
      </c>
      <c r="L362" s="53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817095764.176157</v>
      </c>
      <c r="M362" s="53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1015026923.98699</v>
      </c>
      <c r="N362" s="53" t="n">
        <f aca="false">IF(COUNT('Business Case'!B11:G11)=0,"",H362+NPV(G362,I362:M362))</f>
        <v>-62982037.6911042</v>
      </c>
      <c r="P362" s="54" t="n">
        <f aca="true">RAND()</f>
        <v>0.542254839123164</v>
      </c>
      <c r="Q362" s="54" t="n">
        <f aca="true">RAND()</f>
        <v>0.807779807438141</v>
      </c>
      <c r="R362" s="54" t="n">
        <f aca="true">RAND()</f>
        <v>0.57559939912416</v>
      </c>
      <c r="S362" s="54" t="n">
        <f aca="true">RAND()</f>
        <v>0.39499401622497</v>
      </c>
      <c r="T362" s="54" t="n">
        <f aca="true">RAND()</f>
        <v>0.171577169098792</v>
      </c>
      <c r="U362" s="54" t="n">
        <f aca="true">RAND()</f>
        <v>0.698547119438091</v>
      </c>
    </row>
    <row r="363" customFormat="false" ht="15" hidden="false" customHeight="false" outlineLevel="0" collapsed="false">
      <c r="A363" s="50" t="n">
        <v>283</v>
      </c>
      <c r="B363" s="51" t="n">
        <f aca="false">1+IF($G$6=$E$6,$F$6,IF(P363&lt;($F$6-$E$6)/($G$6-$E$6),$E$6+SQRT(P363*($G$6-$E$6)*($F$6-$E$6)),$G$6-SQRT((1-P363)*($G$6-$E$6)*($G$6-$F$6))))</f>
        <v>0.981238809090419</v>
      </c>
      <c r="C363" s="51" t="n">
        <f aca="false">1+IF($G$7=$E$7,$F$7,IF(Q363&lt;($F$7-$E$7)/($G$7-$E$7),$E$7+SQRT(Q363*($G$7-$E$7)*($F$7-$E$7)),$G$7-SQRT((1-Q363)*($G$7-$E$7)*($G$7-$F$7))))</f>
        <v>0.845925063727736</v>
      </c>
      <c r="D363" s="51" t="n">
        <f aca="false">1+IF($G$8=$E$8,$F$8,IF(R363&lt;($F$8-$E$8)/($G$8-$E$8),$E$8+SQRT(R363*($G$8-$E$8)*($F$8-$E$8)),$G$8-SQRT((1-R363)*($G$8-$E$8)*($G$8-$F$8))))</f>
        <v>1.0250127141066</v>
      </c>
      <c r="E363" s="51" t="n">
        <f aca="false">1+IF($G$9=$E$9,$F$9,IF(S363&lt;($F$9-$E$9)/($G$9-$E$9),$E$9+SQRT(S363*($G$9-$E$9)*($F$9-$E$9)),$G$9-SQRT((1-S363)*($G$9-$E$9)*($G$9-$F$9))))</f>
        <v>1.02785133181081</v>
      </c>
      <c r="F363" s="51" t="n">
        <f aca="false">1+IF($G$10=$E$10,$F$10,IF(T363&lt;($F$10-$E$10)/($G$10-$E$10),$E$10+SQRT(T363*($G$10-$E$10)*($F$10-$E$10)),$G$10-SQRT((1-T363)*($G$10-$E$10)*($G$10-$F$10))))</f>
        <v>1.06452429193647</v>
      </c>
      <c r="G363" s="52" t="n">
        <f aca="false">IF($G$11=$E$11,$F$11,IF(U363&lt;($F$11-$E$11)/($G$11-$E$11),$E$11+SQRT(U363*($G$11-$E$11)*($F$11-$E$11)),$G$11-SQRT((1-U363)*($G$11-$E$11)*($G$11-$F$11))))</f>
        <v>0.0948773241836936</v>
      </c>
      <c r="H363" s="53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-2129048583.87294</v>
      </c>
      <c r="I363" s="53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-59646126.1943687</v>
      </c>
      <c r="J363" s="53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176350661.57789</v>
      </c>
      <c r="K363" s="53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465573663.946972</v>
      </c>
      <c r="L363" s="53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572925943.464047</v>
      </c>
      <c r="M363" s="53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730702703.225485</v>
      </c>
      <c r="N363" s="53" t="n">
        <f aca="false">IF(COUNT('Business Case'!B11:G11)=0,"",H363+NPV(G363,I363:M363))</f>
        <v>-818575644.65728</v>
      </c>
      <c r="P363" s="54" t="n">
        <f aca="true">RAND()</f>
        <v>0.390644972793004</v>
      </c>
      <c r="Q363" s="54" t="n">
        <f aca="true">RAND()</f>
        <v>0.0301301639770941</v>
      </c>
      <c r="R363" s="54" t="n">
        <f aca="true">RAND()</f>
        <v>0.709269075969035</v>
      </c>
      <c r="S363" s="54" t="n">
        <f aca="true">RAND()</f>
        <v>0.652971311901785</v>
      </c>
      <c r="T363" s="54" t="n">
        <f aca="true">RAND()</f>
        <v>0.632926650493692</v>
      </c>
      <c r="U363" s="54" t="n">
        <f aca="true">RAND()</f>
        <v>0.0792943039761411</v>
      </c>
    </row>
    <row r="364" customFormat="false" ht="15" hidden="false" customHeight="false" outlineLevel="0" collapsed="false">
      <c r="A364" s="50" t="n">
        <v>284</v>
      </c>
      <c r="B364" s="51" t="n">
        <f aca="false">1+IF($G$6=$E$6,$F$6,IF(P364&lt;($F$6-$E$6)/($G$6-$E$6),$E$6+SQRT(P364*($G$6-$E$6)*($F$6-$E$6)),$G$6-SQRT((1-P364)*($G$6-$E$6)*($G$6-$F$6))))</f>
        <v>1.01193776596601</v>
      </c>
      <c r="C364" s="51" t="n">
        <f aca="false">1+IF($G$7=$E$7,$F$7,IF(Q364&lt;($F$7-$E$7)/($G$7-$E$7),$E$7+SQRT(Q364*($G$7-$E$7)*($F$7-$E$7)),$G$7-SQRT((1-Q364)*($G$7-$E$7)*($G$7-$F$7))))</f>
        <v>1.02153969844478</v>
      </c>
      <c r="D364" s="51" t="n">
        <f aca="false">1+IF($G$8=$E$8,$F$8,IF(R364&lt;($F$8-$E$8)/($G$8-$E$8),$E$8+SQRT(R364*($G$8-$E$8)*($F$8-$E$8)),$G$8-SQRT((1-R364)*($G$8-$E$8)*($G$8-$F$8))))</f>
        <v>1.00564383425203</v>
      </c>
      <c r="E364" s="51" t="n">
        <f aca="false">1+IF($G$9=$E$9,$F$9,IF(S364&lt;($F$9-$E$9)/($G$9-$E$9),$E$9+SQRT(S364*($G$9-$E$9)*($F$9-$E$9)),$G$9-SQRT((1-S364)*($G$9-$E$9)*($G$9-$F$9))))</f>
        <v>0.986559874997395</v>
      </c>
      <c r="F364" s="51" t="n">
        <f aca="false">1+IF($G$10=$E$10,$F$10,IF(T364&lt;($F$10-$E$10)/($G$10-$E$10),$E$10+SQRT(T364*($G$10-$E$10)*($F$10-$E$10)),$G$10-SQRT((1-T364)*($G$10-$E$10)*($G$10-$F$10))))</f>
        <v>1.03256053706518</v>
      </c>
      <c r="G364" s="52" t="n">
        <f aca="false">IF($G$11=$E$11,$F$11,IF(U364&lt;($F$11-$E$11)/($G$11-$E$11),$E$11+SQRT(U364*($G$11-$E$11)*($F$11-$E$11)),$G$11-SQRT((1-U364)*($G$11-$E$11)*($G$11-$F$11))))</f>
        <v>0.106465007976832</v>
      </c>
      <c r="H364" s="53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-2065121074.13037</v>
      </c>
      <c r="I364" s="53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23671370.5437808</v>
      </c>
      <c r="J364" s="53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344476410.697733</v>
      </c>
      <c r="K364" s="53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716909477.704944</v>
      </c>
      <c r="L364" s="53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859570358.87561</v>
      </c>
      <c r="M364" s="53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1056062631.6987</v>
      </c>
      <c r="N364" s="53" t="n">
        <f aca="false">IF(COUNT('Business Case'!B11:G11)=0,"",H364+NPV(G364,I364:M364))</f>
        <v>-22821215.2445054</v>
      </c>
      <c r="P364" s="54" t="n">
        <f aca="true">RAND()</f>
        <v>0.835939796046176</v>
      </c>
      <c r="Q364" s="54" t="n">
        <f aca="true">RAND()</f>
        <v>0.685675255701736</v>
      </c>
      <c r="R364" s="54" t="n">
        <f aca="true">RAND()</f>
        <v>0.468380828390433</v>
      </c>
      <c r="S364" s="54" t="n">
        <f aca="true">RAND()</f>
        <v>0.178216594643351</v>
      </c>
      <c r="T364" s="54" t="n">
        <f aca="true">RAND()</f>
        <v>0.439280525041999</v>
      </c>
      <c r="U364" s="54" t="n">
        <f aca="true">RAND()</f>
        <v>0.694673318221282</v>
      </c>
    </row>
    <row r="365" customFormat="false" ht="15" hidden="false" customHeight="false" outlineLevel="0" collapsed="false">
      <c r="A365" s="50" t="n">
        <v>285</v>
      </c>
      <c r="B365" s="51" t="n">
        <f aca="false">1+IF($G$6=$E$6,$F$6,IF(P365&lt;($F$6-$E$6)/($G$6-$E$6),$E$6+SQRT(P365*($G$6-$E$6)*($F$6-$E$6)),$G$6-SQRT((1-P365)*($G$6-$E$6)*($G$6-$F$6))))</f>
        <v>1.00749484295274</v>
      </c>
      <c r="C365" s="51" t="n">
        <f aca="false">1+IF($G$7=$E$7,$F$7,IF(Q365&lt;($F$7-$E$7)/($G$7-$E$7),$E$7+SQRT(Q365*($G$7-$E$7)*($F$7-$E$7)),$G$7-SQRT((1-Q365)*($G$7-$E$7)*($G$7-$F$7))))</f>
        <v>1.11599951135291</v>
      </c>
      <c r="D365" s="51" t="n">
        <f aca="false">1+IF($G$8=$E$8,$F$8,IF(R365&lt;($F$8-$E$8)/($G$8-$E$8),$E$8+SQRT(R365*($G$8-$E$8)*($F$8-$E$8)),$G$8-SQRT((1-R365)*($G$8-$E$8)*($G$8-$F$8))))</f>
        <v>0.98752517563864</v>
      </c>
      <c r="E365" s="51" t="n">
        <f aca="false">1+IF($G$9=$E$9,$F$9,IF(S365&lt;($F$9-$E$9)/($G$9-$E$9),$E$9+SQRT(S365*($G$9-$E$9)*($F$9-$E$9)),$G$9-SQRT((1-S365)*($G$9-$E$9)*($G$9-$F$9))))</f>
        <v>0.978052487753473</v>
      </c>
      <c r="F365" s="51" t="n">
        <f aca="false">1+IF($G$10=$E$10,$F$10,IF(T365&lt;($F$10-$E$10)/($G$10-$E$10),$E$10+SQRT(T365*($G$10-$E$10)*($F$10-$E$10)),$G$10-SQRT((1-T365)*($G$10-$E$10)*($G$10-$F$10))))</f>
        <v>1.00037827658026</v>
      </c>
      <c r="G365" s="52" t="n">
        <f aca="false">IF($G$11=$E$11,$F$11,IF(U365&lt;($F$11-$E$11)/($G$11-$E$11),$E$11+SQRT(U365*($G$11-$E$11)*($F$11-$E$11)),$G$11-SQRT((1-U365)*($G$11-$E$11)*($G$11-$F$11))))</f>
        <v>0.100564716048538</v>
      </c>
      <c r="H365" s="53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-2000756553.16051</v>
      </c>
      <c r="I365" s="53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59355387.2014395</v>
      </c>
      <c r="J365" s="53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416114682.745204</v>
      </c>
      <c r="K365" s="53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822892892.117981</v>
      </c>
      <c r="L365" s="53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980670668.583073</v>
      </c>
      <c r="M365" s="53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1194389730.64418</v>
      </c>
      <c r="N365" s="53" t="n">
        <f aca="false">IF(COUNT('Business Case'!B11:G11)=0,"",H365+NPV(G365,I365:M365))</f>
        <v>422178080.220357</v>
      </c>
      <c r="P365" s="54" t="n">
        <f aca="true">RAND()</f>
        <v>0.779878076111058</v>
      </c>
      <c r="Q365" s="54" t="n">
        <f aca="true">RAND()</f>
        <v>0.977980319462075</v>
      </c>
      <c r="R365" s="54" t="n">
        <f aca="true">RAND()</f>
        <v>0.216636739493966</v>
      </c>
      <c r="S365" s="54" t="n">
        <f aca="true">RAND()</f>
        <v>0.104925609221171</v>
      </c>
      <c r="T365" s="54" t="n">
        <f aca="true">RAND()</f>
        <v>0.20302335077863</v>
      </c>
      <c r="U365" s="54" t="n">
        <f aca="true">RAND()</f>
        <v>0.370449562876751</v>
      </c>
    </row>
    <row r="366" customFormat="false" ht="15" hidden="false" customHeight="false" outlineLevel="0" collapsed="false">
      <c r="A366" s="50" t="n">
        <v>286</v>
      </c>
      <c r="B366" s="51" t="n">
        <f aca="false">1+IF($G$6=$E$6,$F$6,IF(P366&lt;($F$6-$E$6)/($G$6-$E$6),$E$6+SQRT(P366*($G$6-$E$6)*($F$6-$E$6)),$G$6-SQRT((1-P366)*($G$6-$E$6)*($G$6-$F$6))))</f>
        <v>0.952392038569252</v>
      </c>
      <c r="C366" s="51" t="n">
        <f aca="false">1+IF($G$7=$E$7,$F$7,IF(Q366&lt;($F$7-$E$7)/($G$7-$E$7),$E$7+SQRT(Q366*($G$7-$E$7)*($F$7-$E$7)),$G$7-SQRT((1-Q366)*($G$7-$E$7)*($G$7-$F$7))))</f>
        <v>1.08501360043236</v>
      </c>
      <c r="D366" s="51" t="n">
        <f aca="false">1+IF($G$8=$E$8,$F$8,IF(R366&lt;($F$8-$E$8)/($G$8-$E$8),$E$8+SQRT(R366*($G$8-$E$8)*($F$8-$E$8)),$G$8-SQRT((1-R366)*($G$8-$E$8)*($G$8-$F$8))))</f>
        <v>0.989342718456526</v>
      </c>
      <c r="E366" s="51" t="n">
        <f aca="false">1+IF($G$9=$E$9,$F$9,IF(S366&lt;($F$9-$E$9)/($G$9-$E$9),$E$9+SQRT(S366*($G$9-$E$9)*($F$9-$E$9)),$G$9-SQRT((1-S366)*($G$9-$E$9)*($G$9-$F$9))))</f>
        <v>1.0067392326842</v>
      </c>
      <c r="F366" s="51" t="n">
        <f aca="false">1+IF($G$10=$E$10,$F$10,IF(T366&lt;($F$10-$E$10)/($G$10-$E$10),$E$10+SQRT(T366*($G$10-$E$10)*($F$10-$E$10)),$G$10-SQRT((1-T366)*($G$10-$E$10)*($G$10-$F$10))))</f>
        <v>1.01277408919676</v>
      </c>
      <c r="G366" s="52" t="n">
        <f aca="false">IF($G$11=$E$11,$F$11,IF(U366&lt;($F$11-$E$11)/($G$11-$E$11),$E$11+SQRT(U366*($G$11-$E$11)*($F$11-$E$11)),$G$11-SQRT((1-U366)*($G$11-$E$11)*($G$11-$F$11))))</f>
        <v>0.0988329215353603</v>
      </c>
      <c r="H366" s="53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-2025548178.39352</v>
      </c>
      <c r="I366" s="53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-1130841.37632947</v>
      </c>
      <c r="J366" s="53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295743340.093483</v>
      </c>
      <c r="K366" s="53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643256226.023134</v>
      </c>
      <c r="L366" s="53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777927149.872253</v>
      </c>
      <c r="M366" s="53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974347898.347752</v>
      </c>
      <c r="N366" s="53" t="n">
        <f aca="false">IF(COUNT('Business Case'!B11:G11)=0,"",H366+NPV(G366,I366:M366))</f>
        <v>-155003681.197281</v>
      </c>
      <c r="P366" s="54" t="n">
        <f aca="true">RAND()</f>
        <v>0.109296266944988</v>
      </c>
      <c r="Q366" s="54" t="n">
        <f aca="true">RAND()</f>
        <v>0.919557483261615</v>
      </c>
      <c r="R366" s="54" t="n">
        <f aca="true">RAND()</f>
        <v>0.238130691622994</v>
      </c>
      <c r="S366" s="54" t="n">
        <f aca="true">RAND()</f>
        <v>0.420161951977932</v>
      </c>
      <c r="T366" s="54" t="n">
        <f aca="true">RAND()</f>
        <v>0.298929166477941</v>
      </c>
      <c r="U366" s="54" t="n">
        <f aca="true">RAND()</f>
        <v>0.260068342832769</v>
      </c>
    </row>
    <row r="367" customFormat="false" ht="15" hidden="false" customHeight="false" outlineLevel="0" collapsed="false">
      <c r="A367" s="50" t="n">
        <v>287</v>
      </c>
      <c r="B367" s="51" t="n">
        <f aca="false">1+IF($G$6=$E$6,$F$6,IF(P367&lt;($F$6-$E$6)/($G$6-$E$6),$E$6+SQRT(P367*($G$6-$E$6)*($F$6-$E$6)),$G$6-SQRT((1-P367)*($G$6-$E$6)*($G$6-$F$6))))</f>
        <v>0.99971295963898</v>
      </c>
      <c r="C367" s="51" t="n">
        <f aca="false">1+IF($G$7=$E$7,$F$7,IF(Q367&lt;($F$7-$E$7)/($G$7-$E$7),$E$7+SQRT(Q367*($G$7-$E$7)*($F$7-$E$7)),$G$7-SQRT((1-Q367)*($G$7-$E$7)*($G$7-$F$7))))</f>
        <v>0.88405961635251</v>
      </c>
      <c r="D367" s="51" t="n">
        <f aca="false">1+IF($G$8=$E$8,$F$8,IF(R367&lt;($F$8-$E$8)/($G$8-$E$8),$E$8+SQRT(R367*($G$8-$E$8)*($F$8-$E$8)),$G$8-SQRT((1-R367)*($G$8-$E$8)*($G$8-$F$8))))</f>
        <v>1.06081784544161</v>
      </c>
      <c r="E367" s="51" t="n">
        <f aca="false">1+IF($G$9=$E$9,$F$9,IF(S367&lt;($F$9-$E$9)/($G$9-$E$9),$E$9+SQRT(S367*($G$9-$E$9)*($F$9-$E$9)),$G$9-SQRT((1-S367)*($G$9-$E$9)*($G$9-$F$9))))</f>
        <v>0.998871608380827</v>
      </c>
      <c r="F367" s="51" t="n">
        <f aca="false">1+IF($G$10=$E$10,$F$10,IF(T367&lt;($F$10-$E$10)/($G$10-$E$10),$E$10+SQRT(T367*($G$10-$E$10)*($F$10-$E$10)),$G$10-SQRT((1-T367)*($G$10-$E$10)*($G$10-$F$10))))</f>
        <v>1.02575092190029</v>
      </c>
      <c r="G367" s="52" t="n">
        <f aca="false">IF($G$11=$E$11,$F$11,IF(U367&lt;($F$11-$E$11)/($G$11-$E$11),$E$11+SQRT(U367*($G$11-$E$11)*($F$11-$E$11)),$G$11-SQRT((1-U367)*($G$11-$E$11)*($G$11-$F$11))))</f>
        <v>0.10041179937028</v>
      </c>
      <c r="H367" s="53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-2051501843.80057</v>
      </c>
      <c r="I367" s="53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-46622497.970589</v>
      </c>
      <c r="J367" s="53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197186134.51289</v>
      </c>
      <c r="K367" s="53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492282313.091384</v>
      </c>
      <c r="L367" s="53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604096187.620734</v>
      </c>
      <c r="M367" s="53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772090004.645782</v>
      </c>
      <c r="N367" s="53" t="n">
        <f aca="false">IF(COUNT('Business Case'!B11:G11)=0,"",H367+NPV(G367,I367:M367))</f>
        <v>-671085019.452988</v>
      </c>
      <c r="P367" s="54" t="n">
        <f aca="true">RAND()</f>
        <v>0.661891243167254</v>
      </c>
      <c r="Q367" s="54" t="n">
        <f aca="true">RAND()</f>
        <v>0.100943130019017</v>
      </c>
      <c r="R367" s="54" t="n">
        <f aca="true">RAND()</f>
        <v>0.96461970639403</v>
      </c>
      <c r="S367" s="54" t="n">
        <f aca="true">RAND()</f>
        <v>0.318457880763856</v>
      </c>
      <c r="T367" s="54" t="n">
        <f aca="true">RAND()</f>
        <v>0.392745175628005</v>
      </c>
      <c r="U367" s="54" t="n">
        <f aca="true">RAND()</f>
        <v>0.360503993483093</v>
      </c>
    </row>
    <row r="368" customFormat="false" ht="15" hidden="false" customHeight="false" outlineLevel="0" collapsed="false">
      <c r="A368" s="50" t="n">
        <v>288</v>
      </c>
      <c r="B368" s="51" t="n">
        <f aca="false">1+IF($G$6=$E$6,$F$6,IF(P368&lt;($F$6-$E$6)/($G$6-$E$6),$E$6+SQRT(P368*($G$6-$E$6)*($F$6-$E$6)),$G$6-SQRT((1-P368)*($G$6-$E$6)*($G$6-$F$6))))</f>
        <v>0.991429442116256</v>
      </c>
      <c r="C368" s="51" t="n">
        <f aca="false">1+IF($G$7=$E$7,$F$7,IF(Q368&lt;($F$7-$E$7)/($G$7-$E$7),$E$7+SQRT(Q368*($G$7-$E$7)*($F$7-$E$7)),$G$7-SQRT((1-Q368)*($G$7-$E$7)*($G$7-$F$7))))</f>
        <v>0.930021392225809</v>
      </c>
      <c r="D368" s="51" t="n">
        <f aca="false">1+IF($G$8=$E$8,$F$8,IF(R368&lt;($F$8-$E$8)/($G$8-$E$8),$E$8+SQRT(R368*($G$8-$E$8)*($F$8-$E$8)),$G$8-SQRT((1-R368)*($G$8-$E$8)*($G$8-$F$8))))</f>
        <v>1.00731676960105</v>
      </c>
      <c r="E368" s="51" t="n">
        <f aca="false">1+IF($G$9=$E$9,$F$9,IF(S368&lt;($F$9-$E$9)/($G$9-$E$9),$E$9+SQRT(S368*($G$9-$E$9)*($F$9-$E$9)),$G$9-SQRT((1-S368)*($G$9-$E$9)*($G$9-$F$9))))</f>
        <v>0.991439074045802</v>
      </c>
      <c r="F368" s="51" t="n">
        <f aca="false">1+IF($G$10=$E$10,$F$10,IF(T368&lt;($F$10-$E$10)/($G$10-$E$10),$E$10+SQRT(T368*($G$10-$E$10)*($F$10-$E$10)),$G$10-SQRT((1-T368)*($G$10-$E$10)*($G$10-$F$10))))</f>
        <v>0.999397320988402</v>
      </c>
      <c r="G368" s="52" t="n">
        <f aca="false">IF($G$11=$E$11,$F$11,IF(U368&lt;($F$11-$E$11)/($G$11-$E$11),$E$11+SQRT(U368*($G$11-$E$11)*($F$11-$E$11)),$G$11-SQRT((1-U368)*($G$11-$E$11)*($G$11-$F$11))))</f>
        <v>0.100142089245427</v>
      </c>
      <c r="H368" s="53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-1998794641.9768</v>
      </c>
      <c r="I368" s="53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-13075690.0029867</v>
      </c>
      <c r="J368" s="53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262570091.010404</v>
      </c>
      <c r="K368" s="53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588185738.073214</v>
      </c>
      <c r="L368" s="53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711933733.469827</v>
      </c>
      <c r="M368" s="53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887197109.626648</v>
      </c>
      <c r="N368" s="53" t="n">
        <f aca="false">IF(COUNT('Business Case'!B11:G11)=0,"",H368+NPV(G368,I368:M368))</f>
        <v>-315461520.389955</v>
      </c>
      <c r="P368" s="54" t="n">
        <f aca="true">RAND()</f>
        <v>0.531475541774958</v>
      </c>
      <c r="Q368" s="54" t="n">
        <f aca="true">RAND()</f>
        <v>0.241508034804823</v>
      </c>
      <c r="R368" s="54" t="n">
        <f aca="true">RAND()</f>
        <v>0.492033463343552</v>
      </c>
      <c r="S368" s="54" t="n">
        <f aca="true">RAND()</f>
        <v>0.22895958103646</v>
      </c>
      <c r="T368" s="54" t="n">
        <f aca="true">RAND()</f>
        <v>0.195207625666494</v>
      </c>
      <c r="U368" s="54" t="n">
        <f aca="true">RAND()</f>
        <v>0.342772300772369</v>
      </c>
    </row>
    <row r="369" customFormat="false" ht="15" hidden="false" customHeight="false" outlineLevel="0" collapsed="false">
      <c r="A369" s="50" t="n">
        <v>289</v>
      </c>
      <c r="B369" s="51" t="n">
        <f aca="false">1+IF($G$6=$E$6,$F$6,IF(P369&lt;($F$6-$E$6)/($G$6-$E$6),$E$6+SQRT(P369*($G$6-$E$6)*($F$6-$E$6)),$G$6-SQRT((1-P369)*($G$6-$E$6)*($G$6-$F$6))))</f>
        <v>0.950504983313235</v>
      </c>
      <c r="C369" s="51" t="n">
        <f aca="false">1+IF($G$7=$E$7,$F$7,IF(Q369&lt;($F$7-$E$7)/($G$7-$E$7),$E$7+SQRT(Q369*($G$7-$E$7)*($F$7-$E$7)),$G$7-SQRT((1-Q369)*($G$7-$E$7)*($G$7-$F$7))))</f>
        <v>0.967721768876468</v>
      </c>
      <c r="D369" s="51" t="n">
        <f aca="false">1+IF($G$8=$E$8,$F$8,IF(R369&lt;($F$8-$E$8)/($G$8-$E$8),$E$8+SQRT(R369*($G$8-$E$8)*($F$8-$E$8)),$G$8-SQRT((1-R369)*($G$8-$E$8)*($G$8-$F$8))))</f>
        <v>1.03025408947276</v>
      </c>
      <c r="E369" s="51" t="n">
        <f aca="false">1+IF($G$9=$E$9,$F$9,IF(S369&lt;($F$9-$E$9)/($G$9-$E$9),$E$9+SQRT(S369*($G$9-$E$9)*($F$9-$E$9)),$G$9-SQRT((1-S369)*($G$9-$E$9)*($G$9-$F$9))))</f>
        <v>1.03211124132367</v>
      </c>
      <c r="F369" s="51" t="n">
        <f aca="false">1+IF($G$10=$E$10,$F$10,IF(T369&lt;($F$10-$E$10)/($G$10-$E$10),$E$10+SQRT(T369*($G$10-$E$10)*($F$10-$E$10)),$G$10-SQRT((1-T369)*($G$10-$E$10)*($G$10-$F$10))))</f>
        <v>0.996583889795233</v>
      </c>
      <c r="G369" s="52" t="n">
        <f aca="false">IF($G$11=$E$11,$F$11,IF(U369&lt;($F$11-$E$11)/($G$11-$E$11),$E$11+SQRT(U369*($G$11-$E$11)*($F$11-$E$11)),$G$11-SQRT((1-U369)*($G$11-$E$11)*($G$11-$F$11))))</f>
        <v>0.102531002734819</v>
      </c>
      <c r="H369" s="53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-1993167779.59047</v>
      </c>
      <c r="I369" s="53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-51089807.9276861</v>
      </c>
      <c r="J369" s="53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191928686.658618</v>
      </c>
      <c r="K369" s="53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484776375.734683</v>
      </c>
      <c r="L369" s="53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597571670.608945</v>
      </c>
      <c r="M369" s="53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772411885.675825</v>
      </c>
      <c r="N369" s="53" t="n">
        <f aca="false">IF(COUNT('Business Case'!B11:G11)=0,"",H369+NPV(G369,I369:M369))</f>
        <v>-641356269.134331</v>
      </c>
      <c r="P369" s="54" t="n">
        <f aca="true">RAND()</f>
        <v>0.0969327090563285</v>
      </c>
      <c r="Q369" s="54" t="n">
        <f aca="true">RAND()</f>
        <v>0.401865596500732</v>
      </c>
      <c r="R369" s="54" t="n">
        <f aca="true">RAND()</f>
        <v>0.762052344790003</v>
      </c>
      <c r="S369" s="54" t="n">
        <f aca="true">RAND()</f>
        <v>0.692741096359174</v>
      </c>
      <c r="T369" s="54" t="n">
        <f aca="true">RAND()</f>
        <v>0.173604703076349</v>
      </c>
      <c r="U369" s="54" t="n">
        <f aca="true">RAND()</f>
        <v>0.491390224248508</v>
      </c>
    </row>
    <row r="370" customFormat="false" ht="15" hidden="false" customHeight="false" outlineLevel="0" collapsed="false">
      <c r="A370" s="50" t="n">
        <v>290</v>
      </c>
      <c r="B370" s="51" t="n">
        <f aca="false">1+IF($G$6=$E$6,$F$6,IF(P370&lt;($F$6-$E$6)/($G$6-$E$6),$E$6+SQRT(P370*($G$6-$E$6)*($F$6-$E$6)),$G$6-SQRT((1-P370)*($G$6-$E$6)*($G$6-$F$6))))</f>
        <v>1.0029626596315</v>
      </c>
      <c r="C370" s="51" t="n">
        <f aca="false">1+IF($G$7=$E$7,$F$7,IF(Q370&lt;($F$7-$E$7)/($G$7-$E$7),$E$7+SQRT(Q370*($G$7-$E$7)*($F$7-$E$7)),$G$7-SQRT((1-Q370)*($G$7-$E$7)*($G$7-$F$7))))</f>
        <v>0.914622141810895</v>
      </c>
      <c r="D370" s="51" t="n">
        <f aca="false">1+IF($G$8=$E$8,$F$8,IF(R370&lt;($F$8-$E$8)/($G$8-$E$8),$E$8+SQRT(R370*($G$8-$E$8)*($F$8-$E$8)),$G$8-SQRT((1-R370)*($G$8-$E$8)*($G$8-$F$8))))</f>
        <v>0.967506320564724</v>
      </c>
      <c r="E370" s="51" t="n">
        <f aca="false">1+IF($G$9=$E$9,$F$9,IF(S370&lt;($F$9-$E$9)/($G$9-$E$9),$E$9+SQRT(S370*($G$9-$E$9)*($F$9-$E$9)),$G$9-SQRT((1-S370)*($G$9-$E$9)*($G$9-$F$9))))</f>
        <v>1.02257360674481</v>
      </c>
      <c r="F370" s="51" t="n">
        <f aca="false">1+IF($G$10=$E$10,$F$10,IF(T370&lt;($F$10-$E$10)/($G$10-$E$10),$E$10+SQRT(T370*($G$10-$E$10)*($F$10-$E$10)),$G$10-SQRT((1-T370)*($G$10-$E$10)*($G$10-$F$10))))</f>
        <v>1.07162926128127</v>
      </c>
      <c r="G370" s="52" t="n">
        <f aca="false">IF($G$11=$E$11,$F$11,IF(U370&lt;($F$11-$E$11)/($G$11-$E$11),$E$11+SQRT(U370*($G$11-$E$11)*($F$11-$E$11)),$G$11-SQRT((1-U370)*($G$11-$E$11)*($G$11-$F$11))))</f>
        <v>0.0911551222854252</v>
      </c>
      <c r="H370" s="53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-2143258522.56254</v>
      </c>
      <c r="I370" s="53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-1765930.32139428</v>
      </c>
      <c r="J370" s="53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296595515.774747</v>
      </c>
      <c r="K370" s="53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648538424.934953</v>
      </c>
      <c r="L370" s="53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779695229.240532</v>
      </c>
      <c r="M370" s="53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954061668.411623</v>
      </c>
      <c r="N370" s="53" t="n">
        <f aca="false">IF(COUNT('Business Case'!B11:G11)=0,"",H370+NPV(G370,I370:M370))</f>
        <v>-229744827.741544</v>
      </c>
      <c r="P370" s="54" t="n">
        <f aca="true">RAND()</f>
        <v>0.714215712172504</v>
      </c>
      <c r="Q370" s="54" t="n">
        <f aca="true">RAND()</f>
        <v>0.187689077047386</v>
      </c>
      <c r="R370" s="54" t="n">
        <f aca="true">RAND()</f>
        <v>0.0471494245715182</v>
      </c>
      <c r="S370" s="54" t="n">
        <f aca="true">RAND()</f>
        <v>0.600343575166128</v>
      </c>
      <c r="T370" s="54" t="n">
        <f aca="true">RAND()</f>
        <v>0.67041906881616</v>
      </c>
      <c r="U370" s="54" t="n">
        <f aca="true">RAND()</f>
        <v>0.00444769164761951</v>
      </c>
    </row>
    <row r="371" customFormat="false" ht="15" hidden="false" customHeight="false" outlineLevel="0" collapsed="false">
      <c r="A371" s="50" t="n">
        <v>291</v>
      </c>
      <c r="B371" s="51" t="n">
        <f aca="false">1+IF($G$6=$E$6,$F$6,IF(P371&lt;($F$6-$E$6)/($G$6-$E$6),$E$6+SQRT(P371*($G$6-$E$6)*($F$6-$E$6)),$G$6-SQRT((1-P371)*($G$6-$E$6)*($G$6-$F$6))))</f>
        <v>1.01868825546625</v>
      </c>
      <c r="C371" s="51" t="n">
        <f aca="false">1+IF($G$7=$E$7,$F$7,IF(Q371&lt;($F$7-$E$7)/($G$7-$E$7),$E$7+SQRT(Q371*($G$7-$E$7)*($F$7-$E$7)),$G$7-SQRT((1-Q371)*($G$7-$E$7)*($G$7-$F$7))))</f>
        <v>0.88424782878343</v>
      </c>
      <c r="D371" s="51" t="n">
        <f aca="false">1+IF($G$8=$E$8,$F$8,IF(R371&lt;($F$8-$E$8)/($G$8-$E$8),$E$8+SQRT(R371*($G$8-$E$8)*($F$8-$E$8)),$G$8-SQRT((1-R371)*($G$8-$E$8)*($G$8-$F$8))))</f>
        <v>1.06909528823681</v>
      </c>
      <c r="E371" s="51" t="n">
        <f aca="false">1+IF($G$9=$E$9,$F$9,IF(S371&lt;($F$9-$E$9)/($G$9-$E$9),$E$9+SQRT(S371*($G$9-$E$9)*($F$9-$E$9)),$G$9-SQRT((1-S371)*($G$9-$E$9)*($G$9-$F$9))))</f>
        <v>1.05569900239681</v>
      </c>
      <c r="F371" s="51" t="n">
        <f aca="false">1+IF($G$10=$E$10,$F$10,IF(T371&lt;($F$10-$E$10)/($G$10-$E$10),$E$10+SQRT(T371*($G$10-$E$10)*($F$10-$E$10)),$G$10-SQRT((1-T371)*($G$10-$E$10)*($G$10-$F$10))))</f>
        <v>1.1275952386226</v>
      </c>
      <c r="G371" s="52" t="n">
        <f aca="false">IF($G$11=$E$11,$F$11,IF(U371&lt;($F$11-$E$11)/($G$11-$E$11),$E$11+SQRT(U371*($G$11-$E$11)*($F$11-$E$11)),$G$11-SQRT((1-U371)*($G$11-$E$11)*($G$11-$F$11))))</f>
        <v>0.117792478573702</v>
      </c>
      <c r="H371" s="53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-2255190477.2452</v>
      </c>
      <c r="I371" s="53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-55719253.5168433</v>
      </c>
      <c r="J371" s="53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198137480.97027</v>
      </c>
      <c r="K371" s="53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508373977.388513</v>
      </c>
      <c r="L371" s="53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624123599.551465</v>
      </c>
      <c r="M371" s="53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795342508.221322</v>
      </c>
      <c r="N371" s="53" t="n">
        <f aca="false">IF(COUNT('Business Case'!B11:G11)=0,"",H371+NPV(G371,I371:M371))</f>
        <v>-926903834.597736</v>
      </c>
      <c r="P371" s="54" t="n">
        <f aca="true">RAND()</f>
        <v>0.905376988526659</v>
      </c>
      <c r="Q371" s="54" t="n">
        <f aca="true">RAND()</f>
        <v>0.10139566649603</v>
      </c>
      <c r="R371" s="54" t="n">
        <f aca="true">RAND()</f>
        <v>0.988566082823238</v>
      </c>
      <c r="S371" s="54" t="n">
        <f aca="true">RAND()</f>
        <v>0.869161440757465</v>
      </c>
      <c r="T371" s="54" t="n">
        <f aca="true">RAND()</f>
        <v>0.89515101059764</v>
      </c>
      <c r="U371" s="54" t="n">
        <f aca="true">RAND()</f>
        <v>0.991878081920726</v>
      </c>
    </row>
    <row r="372" customFormat="false" ht="15" hidden="false" customHeight="false" outlineLevel="0" collapsed="false">
      <c r="A372" s="50" t="n">
        <v>292</v>
      </c>
      <c r="B372" s="51" t="n">
        <f aca="false">1+IF($G$6=$E$6,$F$6,IF(P372&lt;($F$6-$E$6)/($G$6-$E$6),$E$6+SQRT(P372*($G$6-$E$6)*($F$6-$E$6)),$G$6-SQRT((1-P372)*($G$6-$E$6)*($G$6-$F$6))))</f>
        <v>0.981915088102238</v>
      </c>
      <c r="C372" s="51" t="n">
        <f aca="false">1+IF($G$7=$E$7,$F$7,IF(Q372&lt;($F$7-$E$7)/($G$7-$E$7),$E$7+SQRT(Q372*($G$7-$E$7)*($F$7-$E$7)),$G$7-SQRT((1-Q372)*($G$7-$E$7)*($G$7-$F$7))))</f>
        <v>0.929862920854358</v>
      </c>
      <c r="D372" s="51" t="n">
        <f aca="false">1+IF($G$8=$E$8,$F$8,IF(R372&lt;($F$8-$E$8)/($G$8-$E$8),$E$8+SQRT(R372*($G$8-$E$8)*($F$8-$E$8)),$G$8-SQRT((1-R372)*($G$8-$E$8)*($G$8-$F$8))))</f>
        <v>1.02079830225995</v>
      </c>
      <c r="E372" s="51" t="n">
        <f aca="false">1+IF($G$9=$E$9,$F$9,IF(S372&lt;($F$9-$E$9)/($G$9-$E$9),$E$9+SQRT(S372*($G$9-$E$9)*($F$9-$E$9)),$G$9-SQRT((1-S372)*($G$9-$E$9)*($G$9-$F$9))))</f>
        <v>1.05124962419927</v>
      </c>
      <c r="F372" s="51" t="n">
        <f aca="false">1+IF($G$10=$E$10,$F$10,IF(T372&lt;($F$10-$E$10)/($G$10-$E$10),$E$10+SQRT(T372*($G$10-$E$10)*($F$10-$E$10)),$G$10-SQRT((1-T372)*($G$10-$E$10)*($G$10-$F$10))))</f>
        <v>0.960901175502363</v>
      </c>
      <c r="G372" s="52" t="n">
        <f aca="false">IF($G$11=$E$11,$F$11,IF(U372&lt;($F$11-$E$11)/($G$11-$E$11),$E$11+SQRT(U372*($G$11-$E$11)*($F$11-$E$11)),$G$11-SQRT((1-U372)*($G$11-$E$11)*($G$11-$F$11))))</f>
        <v>0.105407351096069</v>
      </c>
      <c r="H372" s="53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-1921802351.00473</v>
      </c>
      <c r="I372" s="53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-30975113.270724</v>
      </c>
      <c r="J372" s="53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230959914.597221</v>
      </c>
      <c r="K372" s="53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540940001.240284</v>
      </c>
      <c r="L372" s="53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659806561.881129</v>
      </c>
      <c r="M372" s="53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833358427.647883</v>
      </c>
      <c r="N372" s="53" t="n">
        <f aca="false">IF(COUNT('Business Case'!B11:G11)=0,"",H372+NPV(G372,I372:M372))</f>
        <v>-413509164.307018</v>
      </c>
      <c r="P372" s="54" t="n">
        <f aca="true">RAND()</f>
        <v>0.399320639032066</v>
      </c>
      <c r="Q372" s="54" t="n">
        <f aca="true">RAND()</f>
        <v>0.240919688754645</v>
      </c>
      <c r="R372" s="54" t="n">
        <f aca="true">RAND()</f>
        <v>0.662996056220711</v>
      </c>
      <c r="S372" s="54" t="n">
        <f aca="true">RAND()</f>
        <v>0.841560057285829</v>
      </c>
      <c r="T372" s="54" t="n">
        <f aca="true">RAND()</f>
        <v>0.00950685018666471</v>
      </c>
      <c r="U372" s="54" t="n">
        <f aca="true">RAND()</f>
        <v>0.645090996611018</v>
      </c>
    </row>
    <row r="373" customFormat="false" ht="15" hidden="false" customHeight="false" outlineLevel="0" collapsed="false">
      <c r="A373" s="50" t="n">
        <v>293</v>
      </c>
      <c r="B373" s="51" t="n">
        <f aca="false">1+IF($G$6=$E$6,$F$6,IF(P373&lt;($F$6-$E$6)/($G$6-$E$6),$E$6+SQRT(P373*($G$6-$E$6)*($F$6-$E$6)),$G$6-SQRT((1-P373)*($G$6-$E$6)*($G$6-$F$6))))</f>
        <v>1.01255202266551</v>
      </c>
      <c r="C373" s="51" t="n">
        <f aca="false">1+IF($G$7=$E$7,$F$7,IF(Q373&lt;($F$7-$E$7)/($G$7-$E$7),$E$7+SQRT(Q373*($G$7-$E$7)*($F$7-$E$7)),$G$7-SQRT((1-Q373)*($G$7-$E$7)*($G$7-$F$7))))</f>
        <v>0.969093659446031</v>
      </c>
      <c r="D373" s="51" t="n">
        <f aca="false">1+IF($G$8=$E$8,$F$8,IF(R373&lt;($F$8-$E$8)/($G$8-$E$8),$E$8+SQRT(R373*($G$8-$E$8)*($F$8-$E$8)),$G$8-SQRT((1-R373)*($G$8-$E$8)*($G$8-$F$8))))</f>
        <v>1.01344764877631</v>
      </c>
      <c r="E373" s="51" t="n">
        <f aca="false">1+IF($G$9=$E$9,$F$9,IF(S373&lt;($F$9-$E$9)/($G$9-$E$9),$E$9+SQRT(S373*($G$9-$E$9)*($F$9-$E$9)),$G$9-SQRT((1-S373)*($G$9-$E$9)*($G$9-$F$9))))</f>
        <v>1.06851009265686</v>
      </c>
      <c r="F373" s="51" t="n">
        <f aca="false">1+IF($G$10=$E$10,$F$10,IF(T373&lt;($F$10-$E$10)/($G$10-$E$10),$E$10+SQRT(T373*($G$10-$E$10)*($F$10-$E$10)),$G$10-SQRT((1-T373)*($G$10-$E$10)*($G$10-$F$10))))</f>
        <v>1.14792925067231</v>
      </c>
      <c r="G373" s="52" t="n">
        <f aca="false">IF($G$11=$E$11,$F$11,IF(U373&lt;($F$11-$E$11)/($G$11-$E$11),$E$11+SQRT(U373*($G$11-$E$11)*($F$11-$E$11)),$G$11-SQRT((1-U373)*($G$11-$E$11)*($G$11-$F$11))))</f>
        <v>0.0951191068869993</v>
      </c>
      <c r="H373" s="53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-2295858501.34462</v>
      </c>
      <c r="I373" s="53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-16652501.5493449</v>
      </c>
      <c r="J373" s="53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284298458.646412</v>
      </c>
      <c r="K373" s="53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642645881.375784</v>
      </c>
      <c r="L373" s="53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776875135.775747</v>
      </c>
      <c r="M373" s="53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963392607.949985</v>
      </c>
      <c r="N373" s="53" t="n">
        <f aca="false">IF(COUNT('Business Case'!B11:G11)=0,"",H373+NPV(G373,I373:M373))</f>
        <v>-432913894.792991</v>
      </c>
      <c r="P373" s="54" t="n">
        <f aca="true">RAND()</f>
        <v>0.84304344588448</v>
      </c>
      <c r="Q373" s="54" t="n">
        <f aca="true">RAND()</f>
        <v>0.408466652355003</v>
      </c>
      <c r="R373" s="54" t="n">
        <f aca="true">RAND()</f>
        <v>0.574113898711378</v>
      </c>
      <c r="S373" s="54" t="n">
        <f aca="true">RAND()</f>
        <v>0.933892382368044</v>
      </c>
      <c r="T373" s="54" t="n">
        <f aca="true">RAND()</f>
        <v>0.945772741289054</v>
      </c>
      <c r="U373" s="54" t="n">
        <f aca="true">RAND()</f>
        <v>0.0873508510684131</v>
      </c>
    </row>
    <row r="374" customFormat="false" ht="15" hidden="false" customHeight="false" outlineLevel="0" collapsed="false">
      <c r="A374" s="50" t="n">
        <v>294</v>
      </c>
      <c r="B374" s="51" t="n">
        <f aca="false">1+IF($G$6=$E$6,$F$6,IF(P374&lt;($F$6-$E$6)/($G$6-$E$6),$E$6+SQRT(P374*($G$6-$E$6)*($F$6-$E$6)),$G$6-SQRT((1-P374)*($G$6-$E$6)*($G$6-$F$6))))</f>
        <v>0.962742928110604</v>
      </c>
      <c r="C374" s="51" t="n">
        <f aca="false">1+IF($G$7=$E$7,$F$7,IF(Q374&lt;($F$7-$E$7)/($G$7-$E$7),$E$7+SQRT(Q374*($G$7-$E$7)*($F$7-$E$7)),$G$7-SQRT((1-Q374)*($G$7-$E$7)*($G$7-$F$7))))</f>
        <v>1.03121631655265</v>
      </c>
      <c r="D374" s="51" t="n">
        <f aca="false">1+IF($G$8=$E$8,$F$8,IF(R374&lt;($F$8-$E$8)/($G$8-$E$8),$E$8+SQRT(R374*($G$8-$E$8)*($F$8-$E$8)),$G$8-SQRT((1-R374)*($G$8-$E$8)*($G$8-$F$8))))</f>
        <v>1.01208202094407</v>
      </c>
      <c r="E374" s="51" t="n">
        <f aca="false">1+IF($G$9=$E$9,$F$9,IF(S374&lt;($F$9-$E$9)/($G$9-$E$9),$E$9+SQRT(S374*($G$9-$E$9)*($F$9-$E$9)),$G$9-SQRT((1-S374)*($G$9-$E$9)*($G$9-$F$9))))</f>
        <v>1.00418598282489</v>
      </c>
      <c r="F374" s="51" t="n">
        <f aca="false">1+IF($G$10=$E$10,$F$10,IF(T374&lt;($F$10-$E$10)/($G$10-$E$10),$E$10+SQRT(T374*($G$10-$E$10)*($F$10-$E$10)),$G$10-SQRT((1-T374)*($G$10-$E$10)*($G$10-$F$10))))</f>
        <v>1.05802666441001</v>
      </c>
      <c r="G374" s="52" t="n">
        <f aca="false">IF($G$11=$E$11,$F$11,IF(U374&lt;($F$11-$E$11)/($G$11-$E$11),$E$11+SQRT(U374*($G$11-$E$11)*($F$11-$E$11)),$G$11-SQRT((1-U374)*($G$11-$E$11)*($G$11-$F$11))))</f>
        <v>0.106410335305654</v>
      </c>
      <c r="H374" s="53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-2116053328.82003</v>
      </c>
      <c r="I374" s="53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-21171245.4459407</v>
      </c>
      <c r="J374" s="53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257721978.150135</v>
      </c>
      <c r="K374" s="53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589516534.966711</v>
      </c>
      <c r="L374" s="53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716791980.060946</v>
      </c>
      <c r="M374" s="53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905502684.819769</v>
      </c>
      <c r="N374" s="53" t="n">
        <f aca="false">IF(COUNT('Business Case'!B11:G11)=0,"",H374+NPV(G374,I374:M374))</f>
        <v>-464920898.996595</v>
      </c>
      <c r="P374" s="54" t="n">
        <f aca="true">RAND()</f>
        <v>0.190308114944613</v>
      </c>
      <c r="Q374" s="54" t="n">
        <f aca="true">RAND()</f>
        <v>0.731246410412969</v>
      </c>
      <c r="R374" s="54" t="n">
        <f aca="true">RAND()</f>
        <v>0.556456550092142</v>
      </c>
      <c r="S374" s="54" t="n">
        <f aca="true">RAND()</f>
        <v>0.387978274184531</v>
      </c>
      <c r="T374" s="54" t="n">
        <f aca="true">RAND()</f>
        <v>0.596871439629066</v>
      </c>
      <c r="U374" s="54" t="n">
        <f aca="true">RAND()</f>
        <v>0.692201689158736</v>
      </c>
    </row>
    <row r="375" customFormat="false" ht="15" hidden="false" customHeight="false" outlineLevel="0" collapsed="false">
      <c r="A375" s="50" t="n">
        <v>295</v>
      </c>
      <c r="B375" s="51" t="n">
        <f aca="false">1+IF($G$6=$E$6,$F$6,IF(P375&lt;($F$6-$E$6)/($G$6-$E$6),$E$6+SQRT(P375*($G$6-$E$6)*($F$6-$E$6)),$G$6-SQRT((1-P375)*($G$6-$E$6)*($G$6-$F$6))))</f>
        <v>1.02141184479728</v>
      </c>
      <c r="C375" s="51" t="n">
        <f aca="false">1+IF($G$7=$E$7,$F$7,IF(Q375&lt;($F$7-$E$7)/($G$7-$E$7),$E$7+SQRT(Q375*($G$7-$E$7)*($F$7-$E$7)),$G$7-SQRT((1-Q375)*($G$7-$E$7)*($G$7-$F$7))))</f>
        <v>0.988822216122113</v>
      </c>
      <c r="D375" s="51" t="n">
        <f aca="false">1+IF($G$8=$E$8,$F$8,IF(R375&lt;($F$8-$E$8)/($G$8-$E$8),$E$8+SQRT(R375*($G$8-$E$8)*($F$8-$E$8)),$G$8-SQRT((1-R375)*($G$8-$E$8)*($G$8-$F$8))))</f>
        <v>1.05580053771389</v>
      </c>
      <c r="E375" s="51" t="n">
        <f aca="false">1+IF($G$9=$E$9,$F$9,IF(S375&lt;($F$9-$E$9)/($G$9-$E$9),$E$9+SQRT(S375*($G$9-$E$9)*($F$9-$E$9)),$G$9-SQRT((1-S375)*($G$9-$E$9)*($G$9-$F$9))))</f>
        <v>1.0176004370267</v>
      </c>
      <c r="F375" s="51" t="n">
        <f aca="false">1+IF($G$10=$E$10,$F$10,IF(T375&lt;($F$10-$E$10)/($G$10-$E$10),$E$10+SQRT(T375*($G$10-$E$10)*($F$10-$E$10)),$G$10-SQRT((1-T375)*($G$10-$E$10)*($G$10-$F$10))))</f>
        <v>1.02965104490791</v>
      </c>
      <c r="G375" s="52" t="n">
        <f aca="false">IF($G$11=$E$11,$F$11,IF(U375&lt;($F$11-$E$11)/($G$11-$E$11),$E$11+SQRT(U375*($G$11-$E$11)*($F$11-$E$11)),$G$11-SQRT((1-U375)*($G$11-$E$11)*($G$11-$F$11))))</f>
        <v>0.0909438632616416</v>
      </c>
      <c r="H375" s="53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-2059302089.81583</v>
      </c>
      <c r="I375" s="53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-7211596.74379554</v>
      </c>
      <c r="J375" s="53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285602819.637748</v>
      </c>
      <c r="K375" s="53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629899788.264687</v>
      </c>
      <c r="L375" s="53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762410011.384769</v>
      </c>
      <c r="M375" s="53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954389808.51239</v>
      </c>
      <c r="N375" s="53" t="n">
        <f aca="false">IF(COUNT('Business Case'!B11:G11)=0,"",H375+NPV(G375,I375:M375))</f>
        <v>-184952317.814542</v>
      </c>
      <c r="P375" s="54" t="n">
        <f aca="true">RAND()</f>
        <v>0.928016767949882</v>
      </c>
      <c r="Q375" s="54" t="n">
        <f aca="true">RAND()</f>
        <v>0.509340418589512</v>
      </c>
      <c r="R375" s="54" t="n">
        <f aca="true">RAND()</f>
        <v>0.943690963948367</v>
      </c>
      <c r="S375" s="54" t="n">
        <f aca="true">RAND()</f>
        <v>0.547354134787261</v>
      </c>
      <c r="T375" s="54" t="n">
        <f aca="true">RAND()</f>
        <v>0.41962466998068</v>
      </c>
      <c r="U375" s="54" t="n">
        <f aca="true">RAND()</f>
        <v>0.00296959285558897</v>
      </c>
    </row>
    <row r="376" customFormat="false" ht="15" hidden="false" customHeight="false" outlineLevel="0" collapsed="false">
      <c r="A376" s="50" t="n">
        <v>296</v>
      </c>
      <c r="B376" s="51" t="n">
        <f aca="false">1+IF($G$6=$E$6,$F$6,IF(P376&lt;($F$6-$E$6)/($G$6-$E$6),$E$6+SQRT(P376*($G$6-$E$6)*($F$6-$E$6)),$G$6-SQRT((1-P376)*($G$6-$E$6)*($G$6-$F$6))))</f>
        <v>0.996740577704451</v>
      </c>
      <c r="C376" s="51" t="n">
        <f aca="false">1+IF($G$7=$E$7,$F$7,IF(Q376&lt;($F$7-$E$7)/($G$7-$E$7),$E$7+SQRT(Q376*($G$7-$E$7)*($F$7-$E$7)),$G$7-SQRT((1-Q376)*($G$7-$E$7)*($G$7-$F$7))))</f>
        <v>1.0553303517593</v>
      </c>
      <c r="D376" s="51" t="n">
        <f aca="false">1+IF($G$8=$E$8,$F$8,IF(R376&lt;($F$8-$E$8)/($G$8-$E$8),$E$8+SQRT(R376*($G$8-$E$8)*($F$8-$E$8)),$G$8-SQRT((1-R376)*($G$8-$E$8)*($G$8-$F$8))))</f>
        <v>0.966703562325676</v>
      </c>
      <c r="E376" s="51" t="n">
        <f aca="false">1+IF($G$9=$E$9,$F$9,IF(S376&lt;($F$9-$E$9)/($G$9-$E$9),$E$9+SQRT(S376*($G$9-$E$9)*($F$9-$E$9)),$G$9-SQRT((1-S376)*($G$9-$E$9)*($G$9-$F$9))))</f>
        <v>0.998706633369268</v>
      </c>
      <c r="F376" s="51" t="n">
        <f aca="false">1+IF($G$10=$E$10,$F$10,IF(T376&lt;($F$10-$E$10)/($G$10-$E$10),$E$10+SQRT(T376*($G$10-$E$10)*($F$10-$E$10)),$G$10-SQRT((1-T376)*($G$10-$E$10)*($G$10-$F$10))))</f>
        <v>1.14850908883583</v>
      </c>
      <c r="G376" s="52" t="n">
        <f aca="false">IF($G$11=$E$11,$F$11,IF(U376&lt;($F$11-$E$11)/($G$11-$E$11),$E$11+SQRT(U376*($G$11-$E$11)*($F$11-$E$11)),$G$11-SQRT((1-U376)*($G$11-$E$11)*($G$11-$F$11))))</f>
        <v>0.10620674213589</v>
      </c>
      <c r="H376" s="53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-2297018177.67166</v>
      </c>
      <c r="I376" s="53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27920635.5293605</v>
      </c>
      <c r="J376" s="53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367238271.10694</v>
      </c>
      <c r="K376" s="53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763981361.126312</v>
      </c>
      <c r="L376" s="53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913440578.251856</v>
      </c>
      <c r="M376" s="53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1113383940.55012</v>
      </c>
      <c r="N376" s="53" t="n">
        <f aca="false">IF(COUNT('Business Case'!B11:G11)=0,"",H376+NPV(G376,I376:M376))</f>
        <v>-125135704.405893</v>
      </c>
      <c r="P376" s="54" t="n">
        <f aca="true">RAND()</f>
        <v>0.61344961108467</v>
      </c>
      <c r="Q376" s="54" t="n">
        <f aca="true">RAND()</f>
        <v>0.829288718132988</v>
      </c>
      <c r="R376" s="54" t="n">
        <f aca="true">RAND()</f>
        <v>0.0429244606719621</v>
      </c>
      <c r="S376" s="54" t="n">
        <f aca="true">RAND()</f>
        <v>0.316311484555766</v>
      </c>
      <c r="T376" s="54" t="n">
        <f aca="true">RAND()</f>
        <v>0.946973721349673</v>
      </c>
      <c r="U376" s="54" t="n">
        <f aca="true">RAND()</f>
        <v>0.682910062490299</v>
      </c>
    </row>
    <row r="377" customFormat="false" ht="15" hidden="false" customHeight="false" outlineLevel="0" collapsed="false">
      <c r="A377" s="50" t="n">
        <v>297</v>
      </c>
      <c r="B377" s="51" t="n">
        <f aca="false">1+IF($G$6=$E$6,$F$6,IF(P377&lt;($F$6-$E$6)/($G$6-$E$6),$E$6+SQRT(P377*($G$6-$E$6)*($F$6-$E$6)),$G$6-SQRT((1-P377)*($G$6-$E$6)*($G$6-$F$6))))</f>
        <v>0.993120327265635</v>
      </c>
      <c r="C377" s="51" t="n">
        <f aca="false">1+IF($G$7=$E$7,$F$7,IF(Q377&lt;($F$7-$E$7)/($G$7-$E$7),$E$7+SQRT(Q377*($G$7-$E$7)*($F$7-$E$7)),$G$7-SQRT((1-Q377)*($G$7-$E$7)*($G$7-$F$7))))</f>
        <v>0.810308169388513</v>
      </c>
      <c r="D377" s="51" t="n">
        <f aca="false">1+IF($G$8=$E$8,$F$8,IF(R377&lt;($F$8-$E$8)/($G$8-$E$8),$E$8+SQRT(R377*($G$8-$E$8)*($F$8-$E$8)),$G$8-SQRT((1-R377)*($G$8-$E$8)*($G$8-$F$8))))</f>
        <v>1.00247603819611</v>
      </c>
      <c r="E377" s="51" t="n">
        <f aca="false">1+IF($G$9=$E$9,$F$9,IF(S377&lt;($F$9-$E$9)/($G$9-$E$9),$E$9+SQRT(S377*($G$9-$E$9)*($F$9-$E$9)),$G$9-SQRT((1-S377)*($G$9-$E$9)*($G$9-$F$9))))</f>
        <v>0.962770977909827</v>
      </c>
      <c r="F377" s="51" t="n">
        <f aca="false">1+IF($G$10=$E$10,$F$10,IF(T377&lt;($F$10-$E$10)/($G$10-$E$10),$E$10+SQRT(T377*($G$10-$E$10)*($F$10-$E$10)),$G$10-SQRT((1-T377)*($G$10-$E$10)*($G$10-$F$10))))</f>
        <v>1.0798666885483</v>
      </c>
      <c r="G377" s="52" t="n">
        <f aca="false">IF($G$11=$E$11,$F$11,IF(U377&lt;($F$11-$E$11)/($G$11-$E$11),$E$11+SQRT(U377*($G$11-$E$11)*($F$11-$E$11)),$G$11-SQRT((1-U377)*($G$11-$E$11)*($G$11-$F$11))))</f>
        <v>0.0964703442248604</v>
      </c>
      <c r="H377" s="53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-2159733377.09661</v>
      </c>
      <c r="I377" s="53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-43315449.0189427</v>
      </c>
      <c r="J377" s="53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199979189.260618</v>
      </c>
      <c r="K377" s="53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497267161.967595</v>
      </c>
      <c r="L377" s="53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606176964.984046</v>
      </c>
      <c r="M377" s="53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759140711.395332</v>
      </c>
      <c r="N377" s="53" t="n">
        <f aca="false">IF(COUNT('Business Case'!B11:G11)=0,"",H377+NPV(G377,I377:M377))</f>
        <v>-757289601.492848</v>
      </c>
      <c r="P377" s="54" t="n">
        <f aca="true">RAND()</f>
        <v>0.556935652024335</v>
      </c>
      <c r="Q377" s="54" t="n">
        <f aca="true">RAND()</f>
        <v>0.00151797651631824</v>
      </c>
      <c r="R377" s="54" t="n">
        <f aca="true">RAND()</f>
        <v>0.422118783291205</v>
      </c>
      <c r="S377" s="54" t="n">
        <f aca="true">RAND()</f>
        <v>0.0217463835697724</v>
      </c>
      <c r="T377" s="54" t="n">
        <f aca="true">RAND()</f>
        <v>0.711359749592997</v>
      </c>
      <c r="U377" s="54" t="n">
        <f aca="true">RAND()</f>
        <v>0.139551181293946</v>
      </c>
    </row>
    <row r="378" customFormat="false" ht="15" hidden="false" customHeight="false" outlineLevel="0" collapsed="false">
      <c r="A378" s="50" t="n">
        <v>298</v>
      </c>
      <c r="B378" s="51" t="n">
        <f aca="false">1+IF($G$6=$E$6,$F$6,IF(P378&lt;($F$6-$E$6)/($G$6-$E$6),$E$6+SQRT(P378*($G$6-$E$6)*($F$6-$E$6)),$G$6-SQRT((1-P378)*($G$6-$E$6)*($G$6-$F$6))))</f>
        <v>0.930694919527401</v>
      </c>
      <c r="C378" s="51" t="n">
        <f aca="false">1+IF($G$7=$E$7,$F$7,IF(Q378&lt;($F$7-$E$7)/($G$7-$E$7),$E$7+SQRT(Q378*($G$7-$E$7)*($F$7-$E$7)),$G$7-SQRT((1-Q378)*($G$7-$E$7)*($G$7-$F$7))))</f>
        <v>1.02738958682104</v>
      </c>
      <c r="D378" s="51" t="n">
        <f aca="false">1+IF($G$8=$E$8,$F$8,IF(R378&lt;($F$8-$E$8)/($G$8-$E$8),$E$8+SQRT(R378*($G$8-$E$8)*($F$8-$E$8)),$G$8-SQRT((1-R378)*($G$8-$E$8)*($G$8-$F$8))))</f>
        <v>0.996651492797484</v>
      </c>
      <c r="E378" s="51" t="n">
        <f aca="false">1+IF($G$9=$E$9,$F$9,IF(S378&lt;($F$9-$E$9)/($G$9-$E$9),$E$9+SQRT(S378*($G$9-$E$9)*($F$9-$E$9)),$G$9-SQRT((1-S378)*($G$9-$E$9)*($G$9-$F$9))))</f>
        <v>0.972657571283446</v>
      </c>
      <c r="F378" s="51" t="n">
        <f aca="false">1+IF($G$10=$E$10,$F$10,IF(T378&lt;($F$10-$E$10)/($G$10-$E$10),$E$10+SQRT(T378*($G$10-$E$10)*($F$10-$E$10)),$G$10-SQRT((1-T378)*($G$10-$E$10)*($G$10-$F$10))))</f>
        <v>1.02766213994601</v>
      </c>
      <c r="G378" s="52" t="n">
        <f aca="false">IF($G$11=$E$11,$F$11,IF(U378&lt;($F$11-$E$11)/($G$11-$E$11),$E$11+SQRT(U378*($G$11-$E$11)*($F$11-$E$11)),$G$11-SQRT((1-U378)*($G$11-$E$11)*($G$11-$F$11))))</f>
        <v>0.112731311298647</v>
      </c>
      <c r="H378" s="53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-2055324279.89202</v>
      </c>
      <c r="I378" s="53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-31641576.3546958</v>
      </c>
      <c r="J378" s="53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227363664.097847</v>
      </c>
      <c r="K378" s="53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537752011.547691</v>
      </c>
      <c r="L378" s="53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657132889.149293</v>
      </c>
      <c r="M378" s="53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838884775.128442</v>
      </c>
      <c r="N378" s="53" t="n">
        <f aca="false">IF(COUNT('Business Case'!B11:G11)=0,"",H378+NPV(G378,I378:M378))</f>
        <v>-589423763.11405</v>
      </c>
      <c r="P378" s="54" t="n">
        <f aca="true">RAND()</f>
        <v>0.011914719135165</v>
      </c>
      <c r="Q378" s="54" t="n">
        <f aca="true">RAND()</f>
        <v>0.713651172954008</v>
      </c>
      <c r="R378" s="54" t="n">
        <f aca="true">RAND()</f>
        <v>0.334824889266717</v>
      </c>
      <c r="S378" s="54" t="n">
        <f aca="true">RAND()</f>
        <v>0.0684487381952583</v>
      </c>
      <c r="T378" s="54" t="n">
        <f aca="true">RAND()</f>
        <v>0.40599323984024</v>
      </c>
      <c r="U378" s="54" t="n">
        <f aca="true">RAND()</f>
        <v>0.911943607604707</v>
      </c>
    </row>
    <row r="379" customFormat="false" ht="15" hidden="false" customHeight="false" outlineLevel="0" collapsed="false">
      <c r="A379" s="50" t="n">
        <v>299</v>
      </c>
      <c r="B379" s="51" t="n">
        <f aca="false">1+IF($G$6=$E$6,$F$6,IF(P379&lt;($F$6-$E$6)/($G$6-$E$6),$E$6+SQRT(P379*($G$6-$E$6)*($F$6-$E$6)),$G$6-SQRT((1-P379)*($G$6-$E$6)*($G$6-$F$6))))</f>
        <v>1.0030118174067</v>
      </c>
      <c r="C379" s="51" t="n">
        <f aca="false">1+IF($G$7=$E$7,$F$7,IF(Q379&lt;($F$7-$E$7)/($G$7-$E$7),$E$7+SQRT(Q379*($G$7-$E$7)*($F$7-$E$7)),$G$7-SQRT((1-Q379)*($G$7-$E$7)*($G$7-$F$7))))</f>
        <v>0.874989760948912</v>
      </c>
      <c r="D379" s="51" t="n">
        <f aca="false">1+IF($G$8=$E$8,$F$8,IF(R379&lt;($F$8-$E$8)/($G$8-$E$8),$E$8+SQRT(R379*($G$8-$E$8)*($F$8-$E$8)),$G$8-SQRT((1-R379)*($G$8-$E$8)*($G$8-$F$8))))</f>
        <v>1.05801468409561</v>
      </c>
      <c r="E379" s="51" t="n">
        <f aca="false">1+IF($G$9=$E$9,$F$9,IF(S379&lt;($F$9-$E$9)/($G$9-$E$9),$E$9+SQRT(S379*($G$9-$E$9)*($F$9-$E$9)),$G$9-SQRT((1-S379)*($G$9-$E$9)*($G$9-$F$9))))</f>
        <v>1.02201658872998</v>
      </c>
      <c r="F379" s="51" t="n">
        <f aca="false">1+IF($G$10=$E$10,$F$10,IF(T379&lt;($F$10-$E$10)/($G$10-$E$10),$E$10+SQRT(T379*($G$10-$E$10)*($F$10-$E$10)),$G$10-SQRT((1-T379)*($G$10-$E$10)*($G$10-$F$10))))</f>
        <v>1.02716663433037</v>
      </c>
      <c r="G379" s="52" t="n">
        <f aca="false">IF($G$11=$E$11,$F$11,IF(U379&lt;($F$11-$E$11)/($G$11-$E$11),$E$11+SQRT(U379*($G$11-$E$11)*($F$11-$E$11)),$G$11-SQRT((1-U379)*($G$11-$E$11)*($G$11-$F$11))))</f>
        <v>0.096504754442563</v>
      </c>
      <c r="H379" s="53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-2054333268.66073</v>
      </c>
      <c r="I379" s="53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-48616356.1656868</v>
      </c>
      <c r="J379" s="53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196310793.665576</v>
      </c>
      <c r="K379" s="53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492596275.213356</v>
      </c>
      <c r="L379" s="53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604569380.92145</v>
      </c>
      <c r="M379" s="53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771388354.291986</v>
      </c>
      <c r="N379" s="53" t="n">
        <f aca="false">IF(COUNT('Business Case'!B11:G11)=0,"",H379+NPV(G379,I379:M379))</f>
        <v>-656875697.444566</v>
      </c>
      <c r="P379" s="54" t="n">
        <f aca="true">RAND()</f>
        <v>0.714973822592704</v>
      </c>
      <c r="Q379" s="54" t="n">
        <f aca="true">RAND()</f>
        <v>0.0803352035310702</v>
      </c>
      <c r="R379" s="54" t="n">
        <f aca="true">RAND()</f>
        <v>0.953523642748473</v>
      </c>
      <c r="S379" s="54" t="n">
        <f aca="true">RAND()</f>
        <v>0.594572504446042</v>
      </c>
      <c r="T379" s="54" t="n">
        <f aca="true">RAND()</f>
        <v>0.402572554226128</v>
      </c>
      <c r="U379" s="54" t="n">
        <f aca="true">RAND()</f>
        <v>0.141039434526811</v>
      </c>
    </row>
    <row r="380" customFormat="false" ht="15" hidden="false" customHeight="false" outlineLevel="0" collapsed="false">
      <c r="A380" s="50" t="n">
        <v>300</v>
      </c>
      <c r="B380" s="51" t="n">
        <f aca="false">1+IF($G$6=$E$6,$F$6,IF(P380&lt;($F$6-$E$6)/($G$6-$E$6),$E$6+SQRT(P380*($G$6-$E$6)*($F$6-$E$6)),$G$6-SQRT((1-P380)*($G$6-$E$6)*($G$6-$F$6))))</f>
        <v>1.00614502483656</v>
      </c>
      <c r="C380" s="51" t="n">
        <f aca="false">1+IF($G$7=$E$7,$F$7,IF(Q380&lt;($F$7-$E$7)/($G$7-$E$7),$E$7+SQRT(Q380*($G$7-$E$7)*($F$7-$E$7)),$G$7-SQRT((1-Q380)*($G$7-$E$7)*($G$7-$F$7))))</f>
        <v>1.0640484568389</v>
      </c>
      <c r="D380" s="51" t="n">
        <f aca="false">1+IF($G$8=$E$8,$F$8,IF(R380&lt;($F$8-$E$8)/($G$8-$E$8),$E$8+SQRT(R380*($G$8-$E$8)*($F$8-$E$8)),$G$8-SQRT((1-R380)*($G$8-$E$8)*($G$8-$F$8))))</f>
        <v>1.03329057543175</v>
      </c>
      <c r="E380" s="51" t="n">
        <f aca="false">1+IF($G$9=$E$9,$F$9,IF(S380&lt;($F$9-$E$9)/($G$9-$E$9),$E$9+SQRT(S380*($G$9-$E$9)*($F$9-$E$9)),$G$9-SQRT((1-S380)*($G$9-$E$9)*($G$9-$F$9))))</f>
        <v>1.01322252138356</v>
      </c>
      <c r="F380" s="51" t="n">
        <f aca="false">1+IF($G$10=$E$10,$F$10,IF(T380&lt;($F$10-$E$10)/($G$10-$E$10),$E$10+SQRT(T380*($G$10-$E$10)*($F$10-$E$10)),$G$10-SQRT((1-T380)*($G$10-$E$10)*($G$10-$F$10))))</f>
        <v>0.979472018755188</v>
      </c>
      <c r="G380" s="52" t="n">
        <f aca="false">IF($G$11=$E$11,$F$11,IF(U380&lt;($F$11-$E$11)/($G$11-$E$11),$E$11+SQRT(U380*($G$11-$E$11)*($F$11-$E$11)),$G$11-SQRT((1-U380)*($G$11-$E$11)*($G$11-$F$11))))</f>
        <v>0.111444910138213</v>
      </c>
      <c r="H380" s="53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-1958944037.51038</v>
      </c>
      <c r="I380" s="53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16519889.2597382</v>
      </c>
      <c r="J380" s="53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330566456.179713</v>
      </c>
      <c r="K380" s="53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693586624.037448</v>
      </c>
      <c r="L380" s="53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835268301.84009</v>
      </c>
      <c r="M380" s="53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1038765490.40133</v>
      </c>
      <c r="N380" s="53" t="n">
        <f aca="false">IF(COUNT('Business Case'!B11:G11)=0,"",H380+NPV(G380,I380:M380))</f>
        <v>-11491762.7621629</v>
      </c>
      <c r="P380" s="54" t="n">
        <f aca="true">RAND()</f>
        <v>0.761216803475618</v>
      </c>
      <c r="Q380" s="54" t="n">
        <f aca="true">RAND()</f>
        <v>0.859282518632876</v>
      </c>
      <c r="R380" s="54" t="n">
        <f aca="true">RAND()</f>
        <v>0.7902143900484</v>
      </c>
      <c r="S380" s="54" t="n">
        <f aca="true">RAND()</f>
        <v>0.497977946998228</v>
      </c>
      <c r="T380" s="54" t="n">
        <f aca="true">RAND()</f>
        <v>0.069487991160492</v>
      </c>
      <c r="U380" s="54" t="n">
        <f aca="true">RAND()</f>
        <v>0.878017395761257</v>
      </c>
    </row>
    <row r="381" customFormat="false" ht="15" hidden="false" customHeight="false" outlineLevel="0" collapsed="false">
      <c r="A381" s="50" t="n">
        <v>301</v>
      </c>
      <c r="B381" s="51" t="n">
        <f aca="false">1+IF($G$6=$E$6,$F$6,IF(P381&lt;($F$6-$E$6)/($G$6-$E$6),$E$6+SQRT(P381*($G$6-$E$6)*($F$6-$E$6)),$G$6-SQRT((1-P381)*($G$6-$E$6)*($G$6-$F$6))))</f>
        <v>1.01610534566954</v>
      </c>
      <c r="C381" s="51" t="n">
        <f aca="false">1+IF($G$7=$E$7,$F$7,IF(Q381&lt;($F$7-$E$7)/($G$7-$E$7),$E$7+SQRT(Q381*($G$7-$E$7)*($F$7-$E$7)),$G$7-SQRT((1-Q381)*($G$7-$E$7)*($G$7-$F$7))))</f>
        <v>1.03324390305218</v>
      </c>
      <c r="D381" s="51" t="n">
        <f aca="false">1+IF($G$8=$E$8,$F$8,IF(R381&lt;($F$8-$E$8)/($G$8-$E$8),$E$8+SQRT(R381*($G$8-$E$8)*($F$8-$E$8)),$G$8-SQRT((1-R381)*($G$8-$E$8)*($G$8-$F$8))))</f>
        <v>1.01049158110464</v>
      </c>
      <c r="E381" s="51" t="n">
        <f aca="false">1+IF($G$9=$E$9,$F$9,IF(S381&lt;($F$9-$E$9)/($G$9-$E$9),$E$9+SQRT(S381*($G$9-$E$9)*($F$9-$E$9)),$G$9-SQRT((1-S381)*($G$9-$E$9)*($G$9-$F$9))))</f>
        <v>1.00918445902266</v>
      </c>
      <c r="F381" s="51" t="n">
        <f aca="false">1+IF($G$10=$E$10,$F$10,IF(T381&lt;($F$10-$E$10)/($G$10-$E$10),$E$10+SQRT(T381*($G$10-$E$10)*($F$10-$E$10)),$G$10-SQRT((1-T381)*($G$10-$E$10)*($G$10-$F$10))))</f>
        <v>1.10626541102139</v>
      </c>
      <c r="G381" s="52" t="n">
        <f aca="false">IF($G$11=$E$11,$F$11,IF(U381&lt;($F$11-$E$11)/($G$11-$E$11),$E$11+SQRT(U381*($G$11-$E$11)*($F$11-$E$11)),$G$11-SQRT((1-U381)*($G$11-$E$11)*($G$11-$F$11))))</f>
        <v>0.101296645932397</v>
      </c>
      <c r="H381" s="53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-2212530822.04277</v>
      </c>
      <c r="I381" s="53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16884914.0509628</v>
      </c>
      <c r="J381" s="53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342328419.702695</v>
      </c>
      <c r="K381" s="53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723085195.905497</v>
      </c>
      <c r="L381" s="53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867850378.073147</v>
      </c>
      <c r="M381" s="53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1067412452.96705</v>
      </c>
      <c r="N381" s="53" t="n">
        <f aca="false">IF(COUNT('Business Case'!B11:G11)=0,"",H381+NPV(G381,I381:M381))</f>
        <v>-124747316.146351</v>
      </c>
      <c r="P381" s="54" t="n">
        <f aca="true">RAND()</f>
        <v>0.881051144672425</v>
      </c>
      <c r="Q381" s="54" t="n">
        <f aca="true">RAND()</f>
        <v>0.740343120485933</v>
      </c>
      <c r="R381" s="54" t="n">
        <f aca="true">RAND()</f>
        <v>0.535440356025744</v>
      </c>
      <c r="S381" s="54" t="n">
        <f aca="true">RAND()</f>
        <v>0.450169167799524</v>
      </c>
      <c r="T381" s="54" t="n">
        <f aca="true">RAND()</f>
        <v>0.824276536580208</v>
      </c>
      <c r="U381" s="54" t="n">
        <f aca="true">RAND()</f>
        <v>0.416974244369822</v>
      </c>
    </row>
    <row r="382" customFormat="false" ht="15" hidden="false" customHeight="false" outlineLevel="0" collapsed="false">
      <c r="A382" s="50" t="n">
        <v>302</v>
      </c>
      <c r="B382" s="51" t="n">
        <f aca="false">1+IF($G$6=$E$6,$F$6,IF(P382&lt;($F$6-$E$6)/($G$6-$E$6),$E$6+SQRT(P382*($G$6-$E$6)*($F$6-$E$6)),$G$6-SQRT((1-P382)*($G$6-$E$6)*($G$6-$F$6))))</f>
        <v>1.00437664082094</v>
      </c>
      <c r="C382" s="51" t="n">
        <f aca="false">1+IF($G$7=$E$7,$F$7,IF(Q382&lt;($F$7-$E$7)/($G$7-$E$7),$E$7+SQRT(Q382*($G$7-$E$7)*($F$7-$E$7)),$G$7-SQRT((1-Q382)*($G$7-$E$7)*($G$7-$F$7))))</f>
        <v>1.00700008606826</v>
      </c>
      <c r="D382" s="51" t="n">
        <f aca="false">1+IF($G$8=$E$8,$F$8,IF(R382&lt;($F$8-$E$8)/($G$8-$E$8),$E$8+SQRT(R382*($G$8-$E$8)*($F$8-$E$8)),$G$8-SQRT((1-R382)*($G$8-$E$8)*($G$8-$F$8))))</f>
        <v>0.999562859722877</v>
      </c>
      <c r="E382" s="51" t="n">
        <f aca="false">1+IF($G$9=$E$9,$F$9,IF(S382&lt;($F$9-$E$9)/($G$9-$E$9),$E$9+SQRT(S382*($G$9-$E$9)*($F$9-$E$9)),$G$9-SQRT((1-S382)*($G$9-$E$9)*($G$9-$F$9))))</f>
        <v>1.04678802513225</v>
      </c>
      <c r="F382" s="51" t="n">
        <f aca="false">1+IF($G$10=$E$10,$F$10,IF(T382&lt;($F$10-$E$10)/($G$10-$E$10),$E$10+SQRT(T382*($G$10-$E$10)*($F$10-$E$10)),$G$10-SQRT((1-T382)*($G$10-$E$10)*($G$10-$F$10))))</f>
        <v>0.975915446198476</v>
      </c>
      <c r="G382" s="52" t="n">
        <f aca="false">IF($G$11=$E$11,$F$11,IF(U382&lt;($F$11-$E$11)/($G$11-$E$11),$E$11+SQRT(U382*($G$11-$E$11)*($F$11-$E$11)),$G$11-SQRT((1-U382)*($G$11-$E$11)*($G$11-$F$11))))</f>
        <v>0.103114205876177</v>
      </c>
      <c r="H382" s="53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-1951830892.39695</v>
      </c>
      <c r="I382" s="53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14261155.9880574</v>
      </c>
      <c r="J382" s="53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327398471.506654</v>
      </c>
      <c r="K382" s="53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689331559.335174</v>
      </c>
      <c r="L382" s="53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828664902.999296</v>
      </c>
      <c r="M382" s="53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1020913214.70121</v>
      </c>
      <c r="N382" s="53" t="n">
        <f aca="false">IF(COUNT('Business Case'!B11:G11)=0,"",H382+NPV(G382,I382:M382))</f>
        <v>28314087.9522073</v>
      </c>
      <c r="P382" s="54" t="n">
        <f aca="true">RAND()</f>
        <v>0.735620058499954</v>
      </c>
      <c r="Q382" s="54" t="n">
        <f aca="true">RAND()</f>
        <v>0.610495706962169</v>
      </c>
      <c r="R382" s="54" t="n">
        <f aca="true">RAND()</f>
        <v>0.377919548293786</v>
      </c>
      <c r="S382" s="54" t="n">
        <f aca="true">RAND()</f>
        <v>0.811232382044964</v>
      </c>
      <c r="T382" s="54" t="n">
        <f aca="true">RAND()</f>
        <v>0.0537288281332884</v>
      </c>
      <c r="U382" s="54" t="n">
        <f aca="true">RAND()</f>
        <v>0.524783261346428</v>
      </c>
    </row>
    <row r="383" customFormat="false" ht="15" hidden="false" customHeight="false" outlineLevel="0" collapsed="false">
      <c r="A383" s="50" t="n">
        <v>303</v>
      </c>
      <c r="B383" s="51" t="n">
        <f aca="false">1+IF($G$6=$E$6,$F$6,IF(P383&lt;($F$6-$E$6)/($G$6-$E$6),$E$6+SQRT(P383*($G$6-$E$6)*($F$6-$E$6)),$G$6-SQRT((1-P383)*($G$6-$E$6)*($G$6-$F$6))))</f>
        <v>0.967091801141686</v>
      </c>
      <c r="C383" s="51" t="n">
        <f aca="false">1+IF($G$7=$E$7,$F$7,IF(Q383&lt;($F$7-$E$7)/($G$7-$E$7),$E$7+SQRT(Q383*($G$7-$E$7)*($F$7-$E$7)),$G$7-SQRT((1-Q383)*($G$7-$E$7)*($G$7-$F$7))))</f>
        <v>1.00046226350695</v>
      </c>
      <c r="D383" s="51" t="n">
        <f aca="false">1+IF($G$8=$E$8,$F$8,IF(R383&lt;($F$8-$E$8)/($G$8-$E$8),$E$8+SQRT(R383*($G$8-$E$8)*($F$8-$E$8)),$G$8-SQRT((1-R383)*($G$8-$E$8)*($G$8-$F$8))))</f>
        <v>1.03178129618475</v>
      </c>
      <c r="E383" s="51" t="n">
        <f aca="false">1+IF($G$9=$E$9,$F$9,IF(S383&lt;($F$9-$E$9)/($G$9-$E$9),$E$9+SQRT(S383*($G$9-$E$9)*($F$9-$E$9)),$G$9-SQRT((1-S383)*($G$9-$E$9)*($G$9-$F$9))))</f>
        <v>1.02988754421944</v>
      </c>
      <c r="F383" s="51" t="n">
        <f aca="false">1+IF($G$10=$E$10,$F$10,IF(T383&lt;($F$10-$E$10)/($G$10-$E$10),$E$10+SQRT(T383*($G$10-$E$10)*($F$10-$E$10)),$G$10-SQRT((1-T383)*($G$10-$E$10)*($G$10-$F$10))))</f>
        <v>1.09688431154184</v>
      </c>
      <c r="G383" s="52" t="n">
        <f aca="false">IF($G$11=$E$11,$F$11,IF(U383&lt;($F$11-$E$11)/($G$11-$E$11),$E$11+SQRT(U383*($G$11-$E$11)*($F$11-$E$11)),$G$11-SQRT((1-U383)*($G$11-$E$11)*($G$11-$F$11))))</f>
        <v>0.107853934863724</v>
      </c>
      <c r="H383" s="53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-2193768623.08367</v>
      </c>
      <c r="I383" s="53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-42245315.0106824</v>
      </c>
      <c r="J383" s="53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221805024.028681</v>
      </c>
      <c r="K383" s="53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540699578.645137</v>
      </c>
      <c r="L383" s="53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662154501.063496</v>
      </c>
      <c r="M383" s="53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846064286.125641</v>
      </c>
      <c r="N383" s="53" t="n">
        <f aca="false">IF(COUNT('Business Case'!B11:G11)=0,"",H383+NPV(G383,I383:M383))</f>
        <v>-706972928.652146</v>
      </c>
      <c r="P383" s="54" t="n">
        <f aca="true">RAND()</f>
        <v>0.231003930705014</v>
      </c>
      <c r="Q383" s="54" t="n">
        <f aca="true">RAND()</f>
        <v>0.574066006943545</v>
      </c>
      <c r="R383" s="54" t="n">
        <f aca="true">RAND()</f>
        <v>0.776438134843959</v>
      </c>
      <c r="S383" s="54" t="n">
        <f aca="true">RAND()</f>
        <v>0.672282902961289</v>
      </c>
      <c r="T383" s="54" t="n">
        <f aca="true">RAND()</f>
        <v>0.787343095875978</v>
      </c>
      <c r="U383" s="54" t="n">
        <f aca="true">RAND()</f>
        <v>0.754121836175563</v>
      </c>
    </row>
    <row r="384" customFormat="false" ht="15" hidden="false" customHeight="false" outlineLevel="0" collapsed="false">
      <c r="A384" s="50" t="n">
        <v>304</v>
      </c>
      <c r="B384" s="51" t="n">
        <f aca="false">1+IF($G$6=$E$6,$F$6,IF(P384&lt;($F$6-$E$6)/($G$6-$E$6),$E$6+SQRT(P384*($G$6-$E$6)*($F$6-$E$6)),$G$6-SQRT((1-P384)*($G$6-$E$6)*($G$6-$F$6))))</f>
        <v>1.00665502295956</v>
      </c>
      <c r="C384" s="51" t="n">
        <f aca="false">1+IF($G$7=$E$7,$F$7,IF(Q384&lt;($F$7-$E$7)/($G$7-$E$7),$E$7+SQRT(Q384*($G$7-$E$7)*($F$7-$E$7)),$G$7-SQRT((1-Q384)*($G$7-$E$7)*($G$7-$F$7))))</f>
        <v>1.07109704900432</v>
      </c>
      <c r="D384" s="51" t="n">
        <f aca="false">1+IF($G$8=$E$8,$F$8,IF(R384&lt;($F$8-$E$8)/($G$8-$E$8),$E$8+SQRT(R384*($G$8-$E$8)*($F$8-$E$8)),$G$8-SQRT((1-R384)*($G$8-$E$8)*($G$8-$F$8))))</f>
        <v>0.99444583161199</v>
      </c>
      <c r="E384" s="51" t="n">
        <f aca="false">1+IF($G$9=$E$9,$F$9,IF(S384&lt;($F$9-$E$9)/($G$9-$E$9),$E$9+SQRT(S384*($G$9-$E$9)*($F$9-$E$9)),$G$9-SQRT((1-S384)*($G$9-$E$9)*($G$9-$F$9))))</f>
        <v>1.01280420812575</v>
      </c>
      <c r="F384" s="51" t="n">
        <f aca="false">1+IF($G$10=$E$10,$F$10,IF(T384&lt;($F$10-$E$10)/($G$10-$E$10),$E$10+SQRT(T384*($G$10-$E$10)*($F$10-$E$10)),$G$10-SQRT((1-T384)*($G$10-$E$10)*($G$10-$F$10))))</f>
        <v>1.1404368596306</v>
      </c>
      <c r="G384" s="52" t="n">
        <f aca="false">IF($G$11=$E$11,$F$11,IF(U384&lt;($F$11-$E$11)/($G$11-$E$11),$E$11+SQRT(U384*($G$11-$E$11)*($F$11-$E$11)),$G$11-SQRT((1-U384)*($G$11-$E$11)*($G$11-$F$11))))</f>
        <v>0.0964676833156158</v>
      </c>
      <c r="H384" s="53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-2280873719.26119</v>
      </c>
      <c r="I384" s="53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23913889.1272446</v>
      </c>
      <c r="J384" s="53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361787418.2489</v>
      </c>
      <c r="K384" s="53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756682790.352085</v>
      </c>
      <c r="L384" s="53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906570763.81655</v>
      </c>
      <c r="M384" s="53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1111519814.48141</v>
      </c>
      <c r="N384" s="53" t="n">
        <f aca="false">IF(COUNT('Business Case'!B11:G11)=0,"",H384+NPV(G384,I384:M384))</f>
        <v>-55544241.3675165</v>
      </c>
      <c r="P384" s="54" t="n">
        <f aca="true">RAND()</f>
        <v>0.768356772119291</v>
      </c>
      <c r="Q384" s="54" t="n">
        <f aca="true">RAND()</f>
        <v>0.881415701412824</v>
      </c>
      <c r="R384" s="54" t="n">
        <f aca="true">RAND()</f>
        <v>0.303912607335595</v>
      </c>
      <c r="S384" s="54" t="n">
        <f aca="true">RAND()</f>
        <v>0.493126258628139</v>
      </c>
      <c r="T384" s="54" t="n">
        <f aca="true">RAND()</f>
        <v>0.929044646186693</v>
      </c>
      <c r="U384" s="54" t="n">
        <f aca="true">RAND()</f>
        <v>0.13943642490365</v>
      </c>
    </row>
    <row r="385" customFormat="false" ht="15" hidden="false" customHeight="false" outlineLevel="0" collapsed="false">
      <c r="A385" s="50" t="n">
        <v>305</v>
      </c>
      <c r="B385" s="51" t="n">
        <f aca="false">1+IF($G$6=$E$6,$F$6,IF(P385&lt;($F$6-$E$6)/($G$6-$E$6),$E$6+SQRT(P385*($G$6-$E$6)*($F$6-$E$6)),$G$6-SQRT((1-P385)*($G$6-$E$6)*($G$6-$F$6))))</f>
        <v>0.964680922851984</v>
      </c>
      <c r="C385" s="51" t="n">
        <f aca="false">1+IF($G$7=$E$7,$F$7,IF(Q385&lt;($F$7-$E$7)/($G$7-$E$7),$E$7+SQRT(Q385*($G$7-$E$7)*($F$7-$E$7)),$G$7-SQRT((1-Q385)*($G$7-$E$7)*($G$7-$F$7))))</f>
        <v>0.935753140234586</v>
      </c>
      <c r="D385" s="51" t="n">
        <f aca="false">1+IF($G$8=$E$8,$F$8,IF(R385&lt;($F$8-$E$8)/($G$8-$E$8),$E$8+SQRT(R385*($G$8-$E$8)*($F$8-$E$8)),$G$8-SQRT((1-R385)*($G$8-$E$8)*($G$8-$F$8))))</f>
        <v>0.997975132695087</v>
      </c>
      <c r="E385" s="51" t="n">
        <f aca="false">1+IF($G$9=$E$9,$F$9,IF(S385&lt;($F$9-$E$9)/($G$9-$E$9),$E$9+SQRT(S385*($G$9-$E$9)*($F$9-$E$9)),$G$9-SQRT((1-S385)*($G$9-$E$9)*($G$9-$F$9))))</f>
        <v>1.03261212762455</v>
      </c>
      <c r="F385" s="51" t="n">
        <f aca="false">1+IF($G$10=$E$10,$F$10,IF(T385&lt;($F$10-$E$10)/($G$10-$E$10),$E$10+SQRT(T385*($G$10-$E$10)*($F$10-$E$10)),$G$10-SQRT((1-T385)*($G$10-$E$10)*($G$10-$F$10))))</f>
        <v>1.05679680613853</v>
      </c>
      <c r="G385" s="52" t="n">
        <f aca="false">IF($G$11=$E$11,$F$11,IF(U385&lt;($F$11-$E$11)/($G$11-$E$11),$E$11+SQRT(U385*($G$11-$E$11)*($F$11-$E$11)),$G$11-SQRT((1-U385)*($G$11-$E$11)*($G$11-$F$11))))</f>
        <v>0.109909854943683</v>
      </c>
      <c r="H385" s="53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-2113593612.27707</v>
      </c>
      <c r="I385" s="53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-37995115.2577551</v>
      </c>
      <c r="J385" s="53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223323028.684016</v>
      </c>
      <c r="K385" s="53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537481012.932714</v>
      </c>
      <c r="L385" s="53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655784483.604946</v>
      </c>
      <c r="M385" s="53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827370308.408974</v>
      </c>
      <c r="N385" s="53" t="n">
        <f aca="false">IF(COUNT('Business Case'!B11:G11)=0,"",H385+NPV(G385,I385:M385))</f>
        <v>-650116210.791501</v>
      </c>
      <c r="P385" s="54" t="n">
        <f aca="true">RAND()</f>
        <v>0.20795675696926</v>
      </c>
      <c r="Q385" s="54" t="n">
        <f aca="true">RAND()</f>
        <v>0.263270215479302</v>
      </c>
      <c r="R385" s="54" t="n">
        <f aca="true">RAND()</f>
        <v>0.354094362632491</v>
      </c>
      <c r="S385" s="54" t="n">
        <f aca="true">RAND()</f>
        <v>0.697258310447332</v>
      </c>
      <c r="T385" s="54" t="n">
        <f aca="true">RAND()</f>
        <v>0.589856905357508</v>
      </c>
      <c r="U385" s="54" t="n">
        <f aca="true">RAND()</f>
        <v>0.830314954570807</v>
      </c>
    </row>
    <row r="386" customFormat="false" ht="15" hidden="false" customHeight="false" outlineLevel="0" collapsed="false">
      <c r="A386" s="50" t="n">
        <v>306</v>
      </c>
      <c r="B386" s="51" t="n">
        <f aca="false">1+IF($G$6=$E$6,$F$6,IF(P386&lt;($F$6-$E$6)/($G$6-$E$6),$E$6+SQRT(P386*($G$6-$E$6)*($F$6-$E$6)),$G$6-SQRT((1-P386)*($G$6-$E$6)*($G$6-$F$6))))</f>
        <v>1.02118278554754</v>
      </c>
      <c r="C386" s="51" t="n">
        <f aca="false">1+IF($G$7=$E$7,$F$7,IF(Q386&lt;($F$7-$E$7)/($G$7-$E$7),$E$7+SQRT(Q386*($G$7-$E$7)*($F$7-$E$7)),$G$7-SQRT((1-Q386)*($G$7-$E$7)*($G$7-$F$7))))</f>
        <v>0.964308449122527</v>
      </c>
      <c r="D386" s="51" t="n">
        <f aca="false">1+IF($G$8=$E$8,$F$8,IF(R386&lt;($F$8-$E$8)/($G$8-$E$8),$E$8+SQRT(R386*($G$8-$E$8)*($F$8-$E$8)),$G$8-SQRT((1-R386)*($G$8-$E$8)*($G$8-$F$8))))</f>
        <v>1.00149989453226</v>
      </c>
      <c r="E386" s="51" t="n">
        <f aca="false">1+IF($G$9=$E$9,$F$9,IF(S386&lt;($F$9-$E$9)/($G$9-$E$9),$E$9+SQRT(S386*($G$9-$E$9)*($F$9-$E$9)),$G$9-SQRT((1-S386)*($G$9-$E$9)*($G$9-$F$9))))</f>
        <v>0.967421919077008</v>
      </c>
      <c r="F386" s="51" t="n">
        <f aca="false">1+IF($G$10=$E$10,$F$10,IF(T386&lt;($F$10-$E$10)/($G$10-$E$10),$E$10+SQRT(T386*($G$10-$E$10)*($F$10-$E$10)),$G$10-SQRT((1-T386)*($G$10-$E$10)*($G$10-$F$10))))</f>
        <v>1.02853638007917</v>
      </c>
      <c r="G386" s="52" t="n">
        <f aca="false">IF($G$11=$E$11,$F$11,IF(U386&lt;($F$11-$E$11)/($G$11-$E$11),$E$11+SQRT(U386*($G$11-$E$11)*($F$11-$E$11)),$G$11-SQRT((1-U386)*($G$11-$E$11)*($G$11-$F$11))))</f>
        <v>0.104705464782354</v>
      </c>
      <c r="H386" s="53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-2057072760.15833</v>
      </c>
      <c r="I386" s="53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20710110.6312112</v>
      </c>
      <c r="J386" s="53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332889928.31948</v>
      </c>
      <c r="K386" s="53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696496565.011707</v>
      </c>
      <c r="L386" s="53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834588952.34539</v>
      </c>
      <c r="M386" s="53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1021767416.91882</v>
      </c>
      <c r="N386" s="53" t="n">
        <f aca="false">IF(COUNT('Business Case'!B11:G11)=0,"",H386+NPV(G386,I386:M386))</f>
        <v>-67493717.2551644</v>
      </c>
      <c r="P386" s="54" t="n">
        <f aca="true">RAND()</f>
        <v>0.926231758385438</v>
      </c>
      <c r="Q386" s="54" t="n">
        <f aca="true">RAND()</f>
        <v>0.38567523504357</v>
      </c>
      <c r="R386" s="54" t="n">
        <f aca="true">RAND()</f>
        <v>0.407474369380165</v>
      </c>
      <c r="S386" s="54" t="n">
        <f aca="true">RAND()</f>
        <v>0.0404697685767745</v>
      </c>
      <c r="T386" s="54" t="n">
        <f aca="true">RAND()</f>
        <v>0.412004540872882</v>
      </c>
      <c r="U386" s="54" t="n">
        <f aca="true">RAND()</f>
        <v>0.610128654126984</v>
      </c>
    </row>
    <row r="387" customFormat="false" ht="15" hidden="false" customHeight="false" outlineLevel="0" collapsed="false">
      <c r="A387" s="50" t="n">
        <v>307</v>
      </c>
      <c r="B387" s="51" t="n">
        <f aca="false">1+IF($G$6=$E$6,$F$6,IF(P387&lt;($F$6-$E$6)/($G$6-$E$6),$E$6+SQRT(P387*($G$6-$E$6)*($F$6-$E$6)),$G$6-SQRT((1-P387)*($G$6-$E$6)*($G$6-$F$6))))</f>
        <v>0.989609568197089</v>
      </c>
      <c r="C387" s="51" t="n">
        <f aca="false">1+IF($G$7=$E$7,$F$7,IF(Q387&lt;($F$7-$E$7)/($G$7-$E$7),$E$7+SQRT(Q387*($G$7-$E$7)*($F$7-$E$7)),$G$7-SQRT((1-Q387)*($G$7-$E$7)*($G$7-$F$7))))</f>
        <v>1.00352101172941</v>
      </c>
      <c r="D387" s="51" t="n">
        <f aca="false">1+IF($G$8=$E$8,$F$8,IF(R387&lt;($F$8-$E$8)/($G$8-$E$8),$E$8+SQRT(R387*($G$8-$E$8)*($F$8-$E$8)),$G$8-SQRT((1-R387)*($G$8-$E$8)*($G$8-$F$8))))</f>
        <v>1.04090714561933</v>
      </c>
      <c r="E387" s="51" t="n">
        <f aca="false">1+IF($G$9=$E$9,$F$9,IF(S387&lt;($F$9-$E$9)/($G$9-$E$9),$E$9+SQRT(S387*($G$9-$E$9)*($F$9-$E$9)),$G$9-SQRT((1-S387)*($G$9-$E$9)*($G$9-$F$9))))</f>
        <v>1.07986764384325</v>
      </c>
      <c r="F387" s="51" t="n">
        <f aca="false">1+IF($G$10=$E$10,$F$10,IF(T387&lt;($F$10-$E$10)/($G$10-$E$10),$E$10+SQRT(T387*($G$10-$E$10)*($F$10-$E$10)),$G$10-SQRT((1-T387)*($G$10-$E$10)*($G$10-$F$10))))</f>
        <v>1.01222579243706</v>
      </c>
      <c r="G387" s="52" t="n">
        <f aca="false">IF($G$11=$E$11,$F$11,IF(U387&lt;($F$11-$E$11)/($G$11-$E$11),$E$11+SQRT(U387*($G$11-$E$11)*($F$11-$E$11)),$G$11-SQRT((1-U387)*($G$11-$E$11)*($G$11-$F$11))))</f>
        <v>0.111827693667613</v>
      </c>
      <c r="H387" s="53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-2024451584.87412</v>
      </c>
      <c r="I387" s="53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-27583662.6255151</v>
      </c>
      <c r="J387" s="53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251094425.652872</v>
      </c>
      <c r="K387" s="53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580383803.553111</v>
      </c>
      <c r="L387" s="53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707597828.116365</v>
      </c>
      <c r="M387" s="53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896365134.70388</v>
      </c>
      <c r="N387" s="53" t="n">
        <f aca="false">IF(COUNT('Business Case'!B11:G11)=0,"",H387+NPV(G387,I387:M387))</f>
        <v>-433203837.944394</v>
      </c>
      <c r="P387" s="54" t="n">
        <f aca="true">RAND()</f>
        <v>0.504738748394286</v>
      </c>
      <c r="Q387" s="54" t="n">
        <f aca="true">RAND()</f>
        <v>0.591312495147137</v>
      </c>
      <c r="R387" s="54" t="n">
        <f aca="true">RAND()</f>
        <v>0.853052763112655</v>
      </c>
      <c r="S387" s="54" t="n">
        <f aca="true">RAND()</f>
        <v>0.972979215705178</v>
      </c>
      <c r="T387" s="54" t="n">
        <f aca="true">RAND()</f>
        <v>0.294816939482213</v>
      </c>
      <c r="U387" s="54" t="n">
        <f aca="true">RAND()</f>
        <v>0.88868901534939</v>
      </c>
    </row>
    <row r="388" customFormat="false" ht="15" hidden="false" customHeight="false" outlineLevel="0" collapsed="false">
      <c r="A388" s="50" t="n">
        <v>308</v>
      </c>
      <c r="B388" s="51" t="n">
        <f aca="false">1+IF($G$6=$E$6,$F$6,IF(P388&lt;($F$6-$E$6)/($G$6-$E$6),$E$6+SQRT(P388*($G$6-$E$6)*($F$6-$E$6)),$G$6-SQRT((1-P388)*($G$6-$E$6)*($G$6-$F$6))))</f>
        <v>0.999640986986578</v>
      </c>
      <c r="C388" s="51" t="n">
        <f aca="false">1+IF($G$7=$E$7,$F$7,IF(Q388&lt;($F$7-$E$7)/($G$7-$E$7),$E$7+SQRT(Q388*($G$7-$E$7)*($F$7-$E$7)),$G$7-SQRT((1-Q388)*($G$7-$E$7)*($G$7-$F$7))))</f>
        <v>0.993550563577684</v>
      </c>
      <c r="D388" s="51" t="n">
        <f aca="false">1+IF($G$8=$E$8,$F$8,IF(R388&lt;($F$8-$E$8)/($G$8-$E$8),$E$8+SQRT(R388*($G$8-$E$8)*($F$8-$E$8)),$G$8-SQRT((1-R388)*($G$8-$E$8)*($G$8-$F$8))))</f>
        <v>1.01365159546078</v>
      </c>
      <c r="E388" s="51" t="n">
        <f aca="false">1+IF($G$9=$E$9,$F$9,IF(S388&lt;($F$9-$E$9)/($G$9-$E$9),$E$9+SQRT(S388*($G$9-$E$9)*($F$9-$E$9)),$G$9-SQRT((1-S388)*($G$9-$E$9)*($G$9-$F$9))))</f>
        <v>0.993097993477114</v>
      </c>
      <c r="F388" s="51" t="n">
        <f aca="false">1+IF($G$10=$E$10,$F$10,IF(T388&lt;($F$10-$E$10)/($G$10-$E$10),$E$10+SQRT(T388*($G$10-$E$10)*($F$10-$E$10)),$G$10-SQRT((1-T388)*($G$10-$E$10)*($G$10-$F$10))))</f>
        <v>1.02125091232623</v>
      </c>
      <c r="G388" s="52" t="n">
        <f aca="false">IF($G$11=$E$11,$F$11,IF(U388&lt;($F$11-$E$11)/($G$11-$E$11),$E$11+SQRT(U388*($G$11-$E$11)*($F$11-$E$11)),$G$11-SQRT((1-U388)*($G$11-$E$11)*($G$11-$F$11))))</f>
        <v>0.109210508166797</v>
      </c>
      <c r="H388" s="53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-2042501824.65246</v>
      </c>
      <c r="I388" s="53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3104633.08175246</v>
      </c>
      <c r="J388" s="53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301040062.081799</v>
      </c>
      <c r="K388" s="53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650038036.698157</v>
      </c>
      <c r="L388" s="53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783674626.373657</v>
      </c>
      <c r="M388" s="53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972460916.422152</v>
      </c>
      <c r="N388" s="53" t="n">
        <f aca="false">IF(COUNT('Business Case'!B11:G11)=0,"",H388+NPV(G388,I388:M388))</f>
        <v>-221839218.671131</v>
      </c>
      <c r="P388" s="54" t="n">
        <f aca="true">RAND()</f>
        <v>0.660696542520448</v>
      </c>
      <c r="Q388" s="54" t="n">
        <f aca="true">RAND()</f>
        <v>0.535168866589132</v>
      </c>
      <c r="R388" s="54" t="n">
        <f aca="true">RAND()</f>
        <v>0.576720116836523</v>
      </c>
      <c r="S388" s="54" t="n">
        <f aca="true">RAND()</f>
        <v>0.247658272233778</v>
      </c>
      <c r="T388" s="54" t="n">
        <f aca="true">RAND()</f>
        <v>0.360975273115899</v>
      </c>
      <c r="U388" s="54" t="n">
        <f aca="true">RAND()</f>
        <v>0.805978109968757</v>
      </c>
    </row>
    <row r="389" customFormat="false" ht="15" hidden="false" customHeight="false" outlineLevel="0" collapsed="false">
      <c r="A389" s="50" t="n">
        <v>309</v>
      </c>
      <c r="B389" s="51" t="n">
        <f aca="false">1+IF($G$6=$E$6,$F$6,IF(P389&lt;($F$6-$E$6)/($G$6-$E$6),$E$6+SQRT(P389*($G$6-$E$6)*($F$6-$E$6)),$G$6-SQRT((1-P389)*($G$6-$E$6)*($G$6-$F$6))))</f>
        <v>0.939891704239405</v>
      </c>
      <c r="C389" s="51" t="n">
        <f aca="false">1+IF($G$7=$E$7,$F$7,IF(Q389&lt;($F$7-$E$7)/($G$7-$E$7),$E$7+SQRT(Q389*($G$7-$E$7)*($F$7-$E$7)),$G$7-SQRT((1-Q389)*($G$7-$E$7)*($G$7-$F$7))))</f>
        <v>1.00628807081158</v>
      </c>
      <c r="D389" s="51" t="n">
        <f aca="false">1+IF($G$8=$E$8,$F$8,IF(R389&lt;($F$8-$E$8)/($G$8-$E$8),$E$8+SQRT(R389*($G$8-$E$8)*($F$8-$E$8)),$G$8-SQRT((1-R389)*($G$8-$E$8)*($G$8-$F$8))))</f>
        <v>0.955333025306683</v>
      </c>
      <c r="E389" s="51" t="n">
        <f aca="false">1+IF($G$9=$E$9,$F$9,IF(S389&lt;($F$9-$E$9)/($G$9-$E$9),$E$9+SQRT(S389*($G$9-$E$9)*($F$9-$E$9)),$G$9-SQRT((1-S389)*($G$9-$E$9)*($G$9-$F$9))))</f>
        <v>1.08089101593404</v>
      </c>
      <c r="F389" s="51" t="n">
        <f aca="false">1+IF($G$10=$E$10,$F$10,IF(T389&lt;($F$10-$E$10)/($G$10-$E$10),$E$10+SQRT(T389*($G$10-$E$10)*($F$10-$E$10)),$G$10-SQRT((1-T389)*($G$10-$E$10)*($G$10-$F$10))))</f>
        <v>1.05777360168911</v>
      </c>
      <c r="G389" s="52" t="n">
        <f aca="false">IF($G$11=$E$11,$F$11,IF(U389&lt;($F$11-$E$11)/($G$11-$E$11),$E$11+SQRT(U389*($G$11-$E$11)*($F$11-$E$11)),$G$11-SQRT((1-U389)*($G$11-$E$11)*($G$11-$F$11))))</f>
        <v>0.115449198318837</v>
      </c>
      <c r="H389" s="53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-2115547203.37821</v>
      </c>
      <c r="I389" s="53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-25959937.4898521</v>
      </c>
      <c r="J389" s="53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256590553.47666</v>
      </c>
      <c r="K389" s="53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592029724.527627</v>
      </c>
      <c r="L389" s="53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718900132.06422</v>
      </c>
      <c r="M389" s="53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898678140.076874</v>
      </c>
      <c r="N389" s="53" t="n">
        <f aca="false">IF(COUNT('Business Case'!B11:G11)=0,"",H389+NPV(G389,I389:M389))</f>
        <v>-521224597.493656</v>
      </c>
      <c r="P389" s="54" t="n">
        <f aca="true">RAND()</f>
        <v>0.04121665599458</v>
      </c>
      <c r="Q389" s="54" t="n">
        <f aca="true">RAND()</f>
        <v>0.60660726493224</v>
      </c>
      <c r="R389" s="54" t="n">
        <f aca="true">RAND()</f>
        <v>0.00437556291103316</v>
      </c>
      <c r="S389" s="54" t="n">
        <f aca="true">RAND()</f>
        <v>0.975656448531131</v>
      </c>
      <c r="T389" s="54" t="n">
        <f aca="true">RAND()</f>
        <v>0.595433032470219</v>
      </c>
      <c r="U389" s="54" t="n">
        <f aca="true">RAND()</f>
        <v>0.96548367343121</v>
      </c>
    </row>
    <row r="390" customFormat="false" ht="15" hidden="false" customHeight="false" outlineLevel="0" collapsed="false">
      <c r="A390" s="50" t="n">
        <v>310</v>
      </c>
      <c r="B390" s="51" t="n">
        <f aca="false">1+IF($G$6=$E$6,$F$6,IF(P390&lt;($F$6-$E$6)/($G$6-$E$6),$E$6+SQRT(P390*($G$6-$E$6)*($F$6-$E$6)),$G$6-SQRT((1-P390)*($G$6-$E$6)*($G$6-$F$6))))</f>
        <v>1.00779278349904</v>
      </c>
      <c r="C390" s="51" t="n">
        <f aca="false">1+IF($G$7=$E$7,$F$7,IF(Q390&lt;($F$7-$E$7)/($G$7-$E$7),$E$7+SQRT(Q390*($G$7-$E$7)*($F$7-$E$7)),$G$7-SQRT((1-Q390)*($G$7-$E$7)*($G$7-$F$7))))</f>
        <v>1.00007143141233</v>
      </c>
      <c r="D390" s="51" t="n">
        <f aca="false">1+IF($G$8=$E$8,$F$8,IF(R390&lt;($F$8-$E$8)/($G$8-$E$8),$E$8+SQRT(R390*($G$8-$E$8)*($F$8-$E$8)),$G$8-SQRT((1-R390)*($G$8-$E$8)*($G$8-$F$8))))</f>
        <v>1.0065578701014</v>
      </c>
      <c r="E390" s="51" t="n">
        <f aca="false">1+IF($G$9=$E$9,$F$9,IF(S390&lt;($F$9-$E$9)/($G$9-$E$9),$E$9+SQRT(S390*($G$9-$E$9)*($F$9-$E$9)),$G$9-SQRT((1-S390)*($G$9-$E$9)*($G$9-$F$9))))</f>
        <v>0.978886657726423</v>
      </c>
      <c r="F390" s="51" t="n">
        <f aca="false">1+IF($G$10=$E$10,$F$10,IF(T390&lt;($F$10-$E$10)/($G$10-$E$10),$E$10+SQRT(T390*($G$10-$E$10)*($F$10-$E$10)),$G$10-SQRT((1-T390)*($G$10-$E$10)*($G$10-$F$10))))</f>
        <v>1.01102040897316</v>
      </c>
      <c r="G390" s="52" t="n">
        <f aca="false">IF($G$11=$E$11,$F$11,IF(U390&lt;($F$11-$E$11)/($G$11-$E$11),$E$11+SQRT(U390*($G$11-$E$11)*($F$11-$E$11)),$G$11-SQRT((1-U390)*($G$11-$E$11)*($G$11-$F$11))))</f>
        <v>0.106179295275782</v>
      </c>
      <c r="H390" s="53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-2022040817.94632</v>
      </c>
      <c r="I390" s="53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17652468.9545487</v>
      </c>
      <c r="J390" s="53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327852371.292827</v>
      </c>
      <c r="K390" s="53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688603294.079764</v>
      </c>
      <c r="L390" s="53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826835068.031002</v>
      </c>
      <c r="M390" s="53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1018410003.8093</v>
      </c>
      <c r="N390" s="53" t="n">
        <f aca="false">IF(COUNT('Business Case'!B11:G11)=0,"",H390+NPV(G390,I390:M390))</f>
        <v>-62300525.4295278</v>
      </c>
      <c r="P390" s="54" t="n">
        <f aca="true">RAND()</f>
        <v>0.78389483442921</v>
      </c>
      <c r="Q390" s="54" t="n">
        <f aca="true">RAND()</f>
        <v>0.571836653738119</v>
      </c>
      <c r="R390" s="54" t="n">
        <f aca="true">RAND()</f>
        <v>0.481370534226636</v>
      </c>
      <c r="S390" s="54" t="n">
        <f aca="true">RAND()</f>
        <v>0.111258532613803</v>
      </c>
      <c r="T390" s="54" t="n">
        <f aca="true">RAND()</f>
        <v>0.28573428350655</v>
      </c>
      <c r="U390" s="54" t="n">
        <f aca="true">RAND()</f>
        <v>0.681646868209975</v>
      </c>
    </row>
    <row r="391" customFormat="false" ht="15" hidden="false" customHeight="false" outlineLevel="0" collapsed="false">
      <c r="A391" s="50" t="n">
        <v>311</v>
      </c>
      <c r="B391" s="51" t="n">
        <f aca="false">1+IF($G$6=$E$6,$F$6,IF(P391&lt;($F$6-$E$6)/($G$6-$E$6),$E$6+SQRT(P391*($G$6-$E$6)*($F$6-$E$6)),$G$6-SQRT((1-P391)*($G$6-$E$6)*($G$6-$F$6))))</f>
        <v>1.00416340039099</v>
      </c>
      <c r="C391" s="51" t="n">
        <f aca="false">1+IF($G$7=$E$7,$F$7,IF(Q391&lt;($F$7-$E$7)/($G$7-$E$7),$E$7+SQRT(Q391*($G$7-$E$7)*($F$7-$E$7)),$G$7-SQRT((1-Q391)*($G$7-$E$7)*($G$7-$F$7))))</f>
        <v>1.02291161168522</v>
      </c>
      <c r="D391" s="51" t="n">
        <f aca="false">1+IF($G$8=$E$8,$F$8,IF(R391&lt;($F$8-$E$8)/($G$8-$E$8),$E$8+SQRT(R391*($G$8-$E$8)*($F$8-$E$8)),$G$8-SQRT((1-R391)*($G$8-$E$8)*($G$8-$F$8))))</f>
        <v>1.0189082034601</v>
      </c>
      <c r="E391" s="51" t="n">
        <f aca="false">1+IF($G$9=$E$9,$F$9,IF(S391&lt;($F$9-$E$9)/($G$9-$E$9),$E$9+SQRT(S391*($G$9-$E$9)*($F$9-$E$9)),$G$9-SQRT((1-S391)*($G$9-$E$9)*($G$9-$F$9))))</f>
        <v>0.996591840823979</v>
      </c>
      <c r="F391" s="51" t="n">
        <f aca="false">1+IF($G$10=$E$10,$F$10,IF(T391&lt;($F$10-$E$10)/($G$10-$E$10),$E$10+SQRT(T391*($G$10-$E$10)*($F$10-$E$10)),$G$10-SQRT((1-T391)*($G$10-$E$10)*($G$10-$F$10))))</f>
        <v>1.03369248383906</v>
      </c>
      <c r="G391" s="52" t="n">
        <f aca="false">IF($G$11=$E$11,$F$11,IF(U391&lt;($F$11-$E$11)/($G$11-$E$11),$E$11+SQRT(U391*($G$11-$E$11)*($F$11-$E$11)),$G$11-SQRT((1-U391)*($G$11-$E$11)*($G$11-$F$11))))</f>
        <v>0.0970161949266237</v>
      </c>
      <c r="H391" s="53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-2067384967.67812</v>
      </c>
      <c r="I391" s="53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9443221.51165965</v>
      </c>
      <c r="J391" s="53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317219564.82707</v>
      </c>
      <c r="K391" s="53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676680532.334434</v>
      </c>
      <c r="L391" s="53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814771655.876021</v>
      </c>
      <c r="M391" s="53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1010016205.94316</v>
      </c>
      <c r="N391" s="53" t="n">
        <f aca="false">IF(COUNT('Business Case'!B11:G11)=0,"",H391+NPV(G391,I391:M391))</f>
        <v>-84328716.1140351</v>
      </c>
      <c r="P391" s="54" t="n">
        <f aca="true">RAND()</f>
        <v>0.732445443429842</v>
      </c>
      <c r="Q391" s="54" t="n">
        <f aca="true">RAND()</f>
        <v>0.692353172486719</v>
      </c>
      <c r="R391" s="54" t="n">
        <f aca="true">RAND()</f>
        <v>0.641133884185339</v>
      </c>
      <c r="S391" s="54" t="n">
        <f aca="true">RAND()</f>
        <v>0.289439950848929</v>
      </c>
      <c r="T391" s="54" t="n">
        <f aca="true">RAND()</f>
        <v>0.446836201367582</v>
      </c>
      <c r="U391" s="54" t="n">
        <f aca="true">RAND()</f>
        <v>0.164089970827936</v>
      </c>
    </row>
    <row r="392" customFormat="false" ht="15" hidden="false" customHeight="false" outlineLevel="0" collapsed="false">
      <c r="A392" s="50" t="n">
        <v>312</v>
      </c>
      <c r="B392" s="51" t="n">
        <f aca="false">1+IF($G$6=$E$6,$F$6,IF(P392&lt;($F$6-$E$6)/($G$6-$E$6),$E$6+SQRT(P392*($G$6-$E$6)*($F$6-$E$6)),$G$6-SQRT((1-P392)*($G$6-$E$6)*($G$6-$F$6))))</f>
        <v>0.951593370946416</v>
      </c>
      <c r="C392" s="51" t="n">
        <f aca="false">1+IF($G$7=$E$7,$F$7,IF(Q392&lt;($F$7-$E$7)/($G$7-$E$7),$E$7+SQRT(Q392*($G$7-$E$7)*($F$7-$E$7)),$G$7-SQRT((1-Q392)*($G$7-$E$7)*($G$7-$F$7))))</f>
        <v>0.918764306523842</v>
      </c>
      <c r="D392" s="51" t="n">
        <f aca="false">1+IF($G$8=$E$8,$F$8,IF(R392&lt;($F$8-$E$8)/($G$8-$E$8),$E$8+SQRT(R392*($G$8-$E$8)*($F$8-$E$8)),$G$8-SQRT((1-R392)*($G$8-$E$8)*($G$8-$F$8))))</f>
        <v>1.04228070727297</v>
      </c>
      <c r="E392" s="51" t="n">
        <f aca="false">1+IF($G$9=$E$9,$F$9,IF(S392&lt;($F$9-$E$9)/($G$9-$E$9),$E$9+SQRT(S392*($G$9-$E$9)*($F$9-$E$9)),$G$9-SQRT((1-S392)*($G$9-$E$9)*($G$9-$F$9))))</f>
        <v>0.99330394255576</v>
      </c>
      <c r="F392" s="51" t="n">
        <f aca="false">1+IF($G$10=$E$10,$F$10,IF(T392&lt;($F$10-$E$10)/($G$10-$E$10),$E$10+SQRT(T392*($G$10-$E$10)*($F$10-$E$10)),$G$10-SQRT((1-T392)*($G$10-$E$10)*($G$10-$F$10))))</f>
        <v>1.13326479693853</v>
      </c>
      <c r="G392" s="52" t="n">
        <f aca="false">IF($G$11=$E$11,$F$11,IF(U392&lt;($F$11-$E$11)/($G$11-$E$11),$E$11+SQRT(U392*($G$11-$E$11)*($F$11-$E$11)),$G$11-SQRT((1-U392)*($G$11-$E$11)*($G$11-$F$11))))</f>
        <v>0.101832165520872</v>
      </c>
      <c r="H392" s="53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-2266529593.87705</v>
      </c>
      <c r="I392" s="53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-74010887.4969299</v>
      </c>
      <c r="J392" s="53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151875720.152268</v>
      </c>
      <c r="K392" s="53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434425567.648392</v>
      </c>
      <c r="L392" s="53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539936566.745355</v>
      </c>
      <c r="M392" s="53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706121614.42179</v>
      </c>
      <c r="N392" s="53" t="n">
        <f aca="false">IF(COUNT('Business Case'!B11:G11)=0,"",H392+NPV(G392,I392:M392))</f>
        <v>-1082685535.68745</v>
      </c>
      <c r="P392" s="54" t="n">
        <f aca="true">RAND()</f>
        <v>0.103973029974774</v>
      </c>
      <c r="Q392" s="54" t="n">
        <f aca="true">RAND()</f>
        <v>0.201499435772702</v>
      </c>
      <c r="R392" s="54" t="n">
        <f aca="true">RAND()</f>
        <v>0.863197591939689</v>
      </c>
      <c r="S392" s="54" t="n">
        <f aca="true">RAND()</f>
        <v>0.250030858783013</v>
      </c>
      <c r="T392" s="54" t="n">
        <f aca="true">RAND()</f>
        <v>0.910928253446877</v>
      </c>
      <c r="U392" s="54" t="n">
        <f aca="true">RAND()</f>
        <v>0.44988298389832</v>
      </c>
    </row>
    <row r="393" customFormat="false" ht="15" hidden="false" customHeight="false" outlineLevel="0" collapsed="false">
      <c r="A393" s="50" t="n">
        <v>313</v>
      </c>
      <c r="B393" s="51" t="n">
        <f aca="false">1+IF($G$6=$E$6,$F$6,IF(P393&lt;($F$6-$E$6)/($G$6-$E$6),$E$6+SQRT(P393*($G$6-$E$6)*($F$6-$E$6)),$G$6-SQRT((1-P393)*($G$6-$E$6)*($G$6-$F$6))))</f>
        <v>0.992606697811561</v>
      </c>
      <c r="C393" s="51" t="n">
        <f aca="false">1+IF($G$7=$E$7,$F$7,IF(Q393&lt;($F$7-$E$7)/($G$7-$E$7),$E$7+SQRT(Q393*($G$7-$E$7)*($F$7-$E$7)),$G$7-SQRT((1-Q393)*($G$7-$E$7)*($G$7-$F$7))))</f>
        <v>0.996512872580503</v>
      </c>
      <c r="D393" s="51" t="n">
        <f aca="false">1+IF($G$8=$E$8,$F$8,IF(R393&lt;($F$8-$E$8)/($G$8-$E$8),$E$8+SQRT(R393*($G$8-$E$8)*($F$8-$E$8)),$G$8-SQRT((1-R393)*($G$8-$E$8)*($G$8-$F$8))))</f>
        <v>1.00124953126494</v>
      </c>
      <c r="E393" s="51" t="n">
        <f aca="false">1+IF($G$9=$E$9,$F$9,IF(S393&lt;($F$9-$E$9)/($G$9-$E$9),$E$9+SQRT(S393*($G$9-$E$9)*($F$9-$E$9)),$G$9-SQRT((1-S393)*($G$9-$E$9)*($G$9-$F$9))))</f>
        <v>0.967214378690706</v>
      </c>
      <c r="F393" s="51" t="n">
        <f aca="false">1+IF($G$10=$E$10,$F$10,IF(T393&lt;($F$10-$E$10)/($G$10-$E$10),$E$10+SQRT(T393*($G$10-$E$10)*($F$10-$E$10)),$G$10-SQRT((1-T393)*($G$10-$E$10)*($G$10-$F$10))))</f>
        <v>1.05291725590128</v>
      </c>
      <c r="G393" s="52" t="n">
        <f aca="false">IF($G$11=$E$11,$F$11,IF(U393&lt;($F$11-$E$11)/($G$11-$E$11),$E$11+SQRT(U393*($G$11-$E$11)*($F$11-$E$11)),$G$11-SQRT((1-U393)*($G$11-$E$11)*($G$11-$F$11))))</f>
        <v>0.10180312473594</v>
      </c>
      <c r="H393" s="53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-2105834511.80257</v>
      </c>
      <c r="I393" s="53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5302057.09556462</v>
      </c>
      <c r="J393" s="53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304711019.467291</v>
      </c>
      <c r="K393" s="53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656765844.634082</v>
      </c>
      <c r="L393" s="53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790753695.448802</v>
      </c>
      <c r="M393" s="53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978770443.914925</v>
      </c>
      <c r="N393" s="53" t="n">
        <f aca="false">IF(COUNT('Business Case'!B11:G11)=0,"",H393+NPV(G393,I393:M393))</f>
        <v>-219647962.912424</v>
      </c>
      <c r="P393" s="54" t="n">
        <f aca="true">RAND()</f>
        <v>0.549138809072847</v>
      </c>
      <c r="Q393" s="54" t="n">
        <f aca="true">RAND()</f>
        <v>0.551675844140583</v>
      </c>
      <c r="R393" s="54" t="n">
        <f aca="true">RAND()</f>
        <v>0.403688814808474</v>
      </c>
      <c r="S393" s="54" t="n">
        <f aca="true">RAND()</f>
        <v>0.0395113111609359</v>
      </c>
      <c r="T393" s="54" t="n">
        <f aca="true">RAND()</f>
        <v>0.567333327767832</v>
      </c>
      <c r="U393" s="54" t="n">
        <f aca="true">RAND()</f>
        <v>0.448122884373727</v>
      </c>
    </row>
    <row r="394" customFormat="false" ht="15" hidden="false" customHeight="false" outlineLevel="0" collapsed="false">
      <c r="A394" s="50" t="n">
        <v>314</v>
      </c>
      <c r="B394" s="51" t="n">
        <f aca="false">1+IF($G$6=$E$6,$F$6,IF(P394&lt;($F$6-$E$6)/($G$6-$E$6),$E$6+SQRT(P394*($G$6-$E$6)*($F$6-$E$6)),$G$6-SQRT((1-P394)*($G$6-$E$6)*($G$6-$F$6))))</f>
        <v>0.991160561842714</v>
      </c>
      <c r="C394" s="51" t="n">
        <f aca="false">1+IF($G$7=$E$7,$F$7,IF(Q394&lt;($F$7-$E$7)/($G$7-$E$7),$E$7+SQRT(Q394*($G$7-$E$7)*($F$7-$E$7)),$G$7-SQRT((1-Q394)*($G$7-$E$7)*($G$7-$F$7))))</f>
        <v>1.01452227989648</v>
      </c>
      <c r="D394" s="51" t="n">
        <f aca="false">1+IF($G$8=$E$8,$F$8,IF(R394&lt;($F$8-$E$8)/($G$8-$E$8),$E$8+SQRT(R394*($G$8-$E$8)*($F$8-$E$8)),$G$8-SQRT((1-R394)*($G$8-$E$8)*($G$8-$F$8))))</f>
        <v>0.995216143206529</v>
      </c>
      <c r="E394" s="51" t="n">
        <f aca="false">1+IF($G$9=$E$9,$F$9,IF(S394&lt;($F$9-$E$9)/($G$9-$E$9),$E$9+SQRT(S394*($G$9-$E$9)*($F$9-$E$9)),$G$9-SQRT((1-S394)*($G$9-$E$9)*($G$9-$F$9))))</f>
        <v>1.08066239115285</v>
      </c>
      <c r="F394" s="51" t="n">
        <f aca="false">1+IF($G$10=$E$10,$F$10,IF(T394&lt;($F$10-$E$10)/($G$10-$E$10),$E$10+SQRT(T394*($G$10-$E$10)*($F$10-$E$10)),$G$10-SQRT((1-T394)*($G$10-$E$10)*($G$10-$F$10))))</f>
        <v>0.999245668742898</v>
      </c>
      <c r="G394" s="52" t="n">
        <f aca="false">IF($G$11=$E$11,$F$11,IF(U394&lt;($F$11-$E$11)/($G$11-$E$11),$E$11+SQRT(U394*($G$11-$E$11)*($F$11-$E$11)),$G$11-SQRT((1-U394)*($G$11-$E$11)*($G$11-$F$11))))</f>
        <v>0.0994361269863456</v>
      </c>
      <c r="H394" s="53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-1998491337.4858</v>
      </c>
      <c r="I394" s="53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1029081.30072409</v>
      </c>
      <c r="J394" s="53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307780865.375098</v>
      </c>
      <c r="K394" s="53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664494932.886616</v>
      </c>
      <c r="L394" s="53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801497490.163024</v>
      </c>
      <c r="M394" s="53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992633284.380248</v>
      </c>
      <c r="N394" s="53" t="n">
        <f aca="false">IF(COUNT('Business Case'!B11:G11)=0,"",H394+NPV(G394,I394:M394))</f>
        <v>-76429741.4903173</v>
      </c>
      <c r="P394" s="54" t="n">
        <f aca="true">RAND()</f>
        <v>0.527481829351113</v>
      </c>
      <c r="Q394" s="54" t="n">
        <f aca="true">RAND()</f>
        <v>0.650395949629583</v>
      </c>
      <c r="R394" s="54" t="n">
        <f aca="true">RAND()</f>
        <v>0.314538400995893</v>
      </c>
      <c r="S394" s="54" t="n">
        <f aca="true">RAND()</f>
        <v>0.975070458938304</v>
      </c>
      <c r="T394" s="54" t="n">
        <f aca="true">RAND()</f>
        <v>0.19401087119482</v>
      </c>
      <c r="U394" s="54" t="n">
        <f aca="true">RAND()</f>
        <v>0.296801641674801</v>
      </c>
    </row>
    <row r="395" customFormat="false" ht="15" hidden="false" customHeight="false" outlineLevel="0" collapsed="false">
      <c r="A395" s="50" t="n">
        <v>315</v>
      </c>
      <c r="B395" s="51" t="n">
        <f aca="false">1+IF($G$6=$E$6,$F$6,IF(P395&lt;($F$6-$E$6)/($G$6-$E$6),$E$6+SQRT(P395*($G$6-$E$6)*($F$6-$E$6)),$G$6-SQRT((1-P395)*($G$6-$E$6)*($G$6-$F$6))))</f>
        <v>1.03012944538257</v>
      </c>
      <c r="C395" s="51" t="n">
        <f aca="false">1+IF($G$7=$E$7,$F$7,IF(Q395&lt;($F$7-$E$7)/($G$7-$E$7),$E$7+SQRT(Q395*($G$7-$E$7)*($F$7-$E$7)),$G$7-SQRT((1-Q395)*($G$7-$E$7)*($G$7-$F$7))))</f>
        <v>0.96427147398789</v>
      </c>
      <c r="D395" s="51" t="n">
        <f aca="false">1+IF($G$8=$E$8,$F$8,IF(R395&lt;($F$8-$E$8)/($G$8-$E$8),$E$8+SQRT(R395*($G$8-$E$8)*($F$8-$E$8)),$G$8-SQRT((1-R395)*($G$8-$E$8)*($G$8-$F$8))))</f>
        <v>1.00523341533916</v>
      </c>
      <c r="E395" s="51" t="n">
        <f aca="false">1+IF($G$9=$E$9,$F$9,IF(S395&lt;($F$9-$E$9)/($G$9-$E$9),$E$9+SQRT(S395*($G$9-$E$9)*($F$9-$E$9)),$G$9-SQRT((1-S395)*($G$9-$E$9)*($G$9-$F$9))))</f>
        <v>1.01624116072485</v>
      </c>
      <c r="F395" s="51" t="n">
        <f aca="false">1+IF($G$10=$E$10,$F$10,IF(T395&lt;($F$10-$E$10)/($G$10-$E$10),$E$10+SQRT(T395*($G$10-$E$10)*($F$10-$E$10)),$G$10-SQRT((1-T395)*($G$10-$E$10)*($G$10-$F$10))))</f>
        <v>0.998612062216139</v>
      </c>
      <c r="G395" s="52" t="n">
        <f aca="false">IF($G$11=$E$11,$F$11,IF(U395&lt;($F$11-$E$11)/($G$11-$E$11),$E$11+SQRT(U395*($G$11-$E$11)*($F$11-$E$11)),$G$11-SQRT((1-U395)*($G$11-$E$11)*($G$11-$F$11))))</f>
        <v>0.0989638143937766</v>
      </c>
      <c r="H395" s="53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-1997224124.43228</v>
      </c>
      <c r="I395" s="53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21526373.4657341</v>
      </c>
      <c r="J395" s="53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338917385.110227</v>
      </c>
      <c r="K395" s="53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706238999.865527</v>
      </c>
      <c r="L395" s="53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846365296.348407</v>
      </c>
      <c r="M395" s="53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1035176405.65601</v>
      </c>
      <c r="N395" s="53" t="n">
        <f aca="false">IF(COUNT('Business Case'!B11:G11)=0,"",H395+NPV(G395,I395:M395))</f>
        <v>61160577.233068</v>
      </c>
      <c r="P395" s="54" t="n">
        <f aca="true">RAND()</f>
        <v>0.979702531571752</v>
      </c>
      <c r="Q395" s="54" t="n">
        <f aca="true">RAND()</f>
        <v>0.385501673802202</v>
      </c>
      <c r="R395" s="54" t="n">
        <f aca="true">RAND()</f>
        <v>0.46249594405322</v>
      </c>
      <c r="S395" s="54" t="n">
        <f aca="true">RAND()</f>
        <v>0.53229712288525</v>
      </c>
      <c r="T395" s="54" t="n">
        <f aca="true">RAND()</f>
        <v>0.189050607432465</v>
      </c>
      <c r="U395" s="54" t="n">
        <f aca="true">RAND()</f>
        <v>0.267833228286922</v>
      </c>
    </row>
    <row r="396" customFormat="false" ht="15" hidden="false" customHeight="false" outlineLevel="0" collapsed="false">
      <c r="A396" s="50" t="n">
        <v>316</v>
      </c>
      <c r="B396" s="51" t="n">
        <f aca="false">1+IF($G$6=$E$6,$F$6,IF(P396&lt;($F$6-$E$6)/($G$6-$E$6),$E$6+SQRT(P396*($G$6-$E$6)*($F$6-$E$6)),$G$6-SQRT((1-P396)*($G$6-$E$6)*($G$6-$F$6))))</f>
        <v>1.02265658420043</v>
      </c>
      <c r="C396" s="51" t="n">
        <f aca="false">1+IF($G$7=$E$7,$F$7,IF(Q396&lt;($F$7-$E$7)/($G$7-$E$7),$E$7+SQRT(Q396*($G$7-$E$7)*($F$7-$E$7)),$G$7-SQRT((1-Q396)*($G$7-$E$7)*($G$7-$F$7))))</f>
        <v>1.01999458457277</v>
      </c>
      <c r="D396" s="51" t="n">
        <f aca="false">1+IF($G$8=$E$8,$F$8,IF(R396&lt;($F$8-$E$8)/($G$8-$E$8),$E$8+SQRT(R396*($G$8-$E$8)*($F$8-$E$8)),$G$8-SQRT((1-R396)*($G$8-$E$8)*($G$8-$F$8))))</f>
        <v>0.984483378515109</v>
      </c>
      <c r="E396" s="51" t="n">
        <f aca="false">1+IF($G$9=$E$9,$F$9,IF(S396&lt;($F$9-$E$9)/($G$9-$E$9),$E$9+SQRT(S396*($G$9-$E$9)*($F$9-$E$9)),$G$9-SQRT((1-S396)*($G$9-$E$9)*($G$9-$F$9))))</f>
        <v>1.08329456341223</v>
      </c>
      <c r="F396" s="51" t="n">
        <f aca="false">1+IF($G$10=$E$10,$F$10,IF(T396&lt;($F$10-$E$10)/($G$10-$E$10),$E$10+SQRT(T396*($G$10-$E$10)*($F$10-$E$10)),$G$10-SQRT((1-T396)*($G$10-$E$10)*($G$10-$F$10))))</f>
        <v>1.08148771270228</v>
      </c>
      <c r="G396" s="52" t="n">
        <f aca="false">IF($G$11=$E$11,$F$11,IF(U396&lt;($F$11-$E$11)/($G$11-$E$11),$E$11+SQRT(U396*($G$11-$E$11)*($F$11-$E$11)),$G$11-SQRT((1-U396)*($G$11-$E$11)*($G$11-$F$11))))</f>
        <v>0.109357338330264</v>
      </c>
      <c r="H396" s="53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-2162975425.40457</v>
      </c>
      <c r="I396" s="53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24056109.8226139</v>
      </c>
      <c r="J396" s="53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364379998.407863</v>
      </c>
      <c r="K396" s="53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758778272.628227</v>
      </c>
      <c r="L396" s="53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908269249.206769</v>
      </c>
      <c r="M396" s="53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1106542491.31579</v>
      </c>
      <c r="N396" s="53" t="n">
        <f aca="false">IF(COUNT('Business Case'!B11:G11)=0,"",H396+NPV(G396,I396:M396))</f>
        <v>-31155925.5264416</v>
      </c>
      <c r="P396" s="54" t="n">
        <f aca="true">RAND()</f>
        <v>0.937334568417341</v>
      </c>
      <c r="Q396" s="54" t="n">
        <f aca="true">RAND()</f>
        <v>0.678068418277972</v>
      </c>
      <c r="R396" s="54" t="n">
        <f aca="true">RAND()</f>
        <v>0.182938983664046</v>
      </c>
      <c r="S396" s="54" t="n">
        <f aca="true">RAND()</f>
        <v>0.981395225894125</v>
      </c>
      <c r="T396" s="54" t="n">
        <f aca="true">RAND()</f>
        <v>0.719096755189268</v>
      </c>
      <c r="U396" s="54" t="n">
        <f aca="true">RAND()</f>
        <v>0.811222920972552</v>
      </c>
    </row>
    <row r="397" customFormat="false" ht="15" hidden="false" customHeight="false" outlineLevel="0" collapsed="false">
      <c r="A397" s="50" t="n">
        <v>317</v>
      </c>
      <c r="B397" s="51" t="n">
        <f aca="false">1+IF($G$6=$E$6,$F$6,IF(P397&lt;($F$6-$E$6)/($G$6-$E$6),$E$6+SQRT(P397*($G$6-$E$6)*($F$6-$E$6)),$G$6-SQRT((1-P397)*($G$6-$E$6)*($G$6-$F$6))))</f>
        <v>0.949247533651751</v>
      </c>
      <c r="C397" s="51" t="n">
        <f aca="false">1+IF($G$7=$E$7,$F$7,IF(Q397&lt;($F$7-$E$7)/($G$7-$E$7),$E$7+SQRT(Q397*($G$7-$E$7)*($F$7-$E$7)),$G$7-SQRT((1-Q397)*($G$7-$E$7)*($G$7-$F$7))))</f>
        <v>0.942786533350155</v>
      </c>
      <c r="D397" s="51" t="n">
        <f aca="false">1+IF($G$8=$E$8,$F$8,IF(R397&lt;($F$8-$E$8)/($G$8-$E$8),$E$8+SQRT(R397*($G$8-$E$8)*($F$8-$E$8)),$G$8-SQRT((1-R397)*($G$8-$E$8)*($G$8-$F$8))))</f>
        <v>1.04831035107138</v>
      </c>
      <c r="E397" s="51" t="n">
        <f aca="false">1+IF($G$9=$E$9,$F$9,IF(S397&lt;($F$9-$E$9)/($G$9-$E$9),$E$9+SQRT(S397*($G$9-$E$9)*($F$9-$E$9)),$G$9-SQRT((1-S397)*($G$9-$E$9)*($G$9-$F$9))))</f>
        <v>1.07647537504582</v>
      </c>
      <c r="F397" s="51" t="n">
        <f aca="false">1+IF($G$10=$E$10,$F$10,IF(T397&lt;($F$10-$E$10)/($G$10-$E$10),$E$10+SQRT(T397*($G$10-$E$10)*($F$10-$E$10)),$G$10-SQRT((1-T397)*($G$10-$E$10)*($G$10-$F$10))))</f>
        <v>0.966454156556954</v>
      </c>
      <c r="G397" s="52" t="n">
        <f aca="false">IF($G$11=$E$11,$F$11,IF(U397&lt;($F$11-$E$11)/($G$11-$E$11),$E$11+SQRT(U397*($G$11-$E$11)*($F$11-$E$11)),$G$11-SQRT((1-U397)*($G$11-$E$11)*($G$11-$F$11))))</f>
        <v>0.108861111418971</v>
      </c>
      <c r="H397" s="53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-1932908313.11391</v>
      </c>
      <c r="I397" s="53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-69042671.1377399</v>
      </c>
      <c r="J397" s="53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158028446.825306</v>
      </c>
      <c r="K397" s="53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433422272.6162</v>
      </c>
      <c r="L397" s="53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540041695.346265</v>
      </c>
      <c r="M397" s="53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710151470.762705</v>
      </c>
      <c r="N397" s="53" t="n">
        <f aca="false">IF(COUNT('Business Case'!B11:G11)=0,"",H397+NPV(G397,I397:M397))</f>
        <v>-767942651.63735</v>
      </c>
      <c r="P397" s="54" t="n">
        <f aca="true">RAND()</f>
        <v>0.0891060650739921</v>
      </c>
      <c r="Q397" s="54" t="n">
        <f aca="true">RAND()</f>
        <v>0.291257058659358</v>
      </c>
      <c r="R397" s="54" t="n">
        <f aca="true">RAND()</f>
        <v>0.903439052959665</v>
      </c>
      <c r="S397" s="54" t="n">
        <f aca="true">RAND()</f>
        <v>0.963106134717688</v>
      </c>
      <c r="T397" s="54" t="n">
        <f aca="true">RAND()</f>
        <v>0.0216591414400608</v>
      </c>
      <c r="U397" s="54" t="n">
        <f aca="true">RAND()</f>
        <v>0.793208601965705</v>
      </c>
    </row>
    <row r="398" customFormat="false" ht="15" hidden="false" customHeight="false" outlineLevel="0" collapsed="false">
      <c r="A398" s="50" t="n">
        <v>318</v>
      </c>
      <c r="B398" s="51" t="n">
        <f aca="false">1+IF($G$6=$E$6,$F$6,IF(P398&lt;($F$6-$E$6)/($G$6-$E$6),$E$6+SQRT(P398*($G$6-$E$6)*($F$6-$E$6)),$G$6-SQRT((1-P398)*($G$6-$E$6)*($G$6-$F$6))))</f>
        <v>0.948792086177763</v>
      </c>
      <c r="C398" s="51" t="n">
        <f aca="false">1+IF($G$7=$E$7,$F$7,IF(Q398&lt;($F$7-$E$7)/($G$7-$E$7),$E$7+SQRT(Q398*($G$7-$E$7)*($F$7-$E$7)),$G$7-SQRT((1-Q398)*($G$7-$E$7)*($G$7-$F$7))))</f>
        <v>0.979831398851626</v>
      </c>
      <c r="D398" s="51" t="n">
        <f aca="false">1+IF($G$8=$E$8,$F$8,IF(R398&lt;($F$8-$E$8)/($G$8-$E$8),$E$8+SQRT(R398*($G$8-$E$8)*($F$8-$E$8)),$G$8-SQRT((1-R398)*($G$8-$E$8)*($G$8-$F$8))))</f>
        <v>1.01908440550664</v>
      </c>
      <c r="E398" s="51" t="n">
        <f aca="false">1+IF($G$9=$E$9,$F$9,IF(S398&lt;($F$9-$E$9)/($G$9-$E$9),$E$9+SQRT(S398*($G$9-$E$9)*($F$9-$E$9)),$G$9-SQRT((1-S398)*($G$9-$E$9)*($G$9-$F$9))))</f>
        <v>1.03617600433311</v>
      </c>
      <c r="F398" s="51" t="n">
        <f aca="false">1+IF($G$10=$E$10,$F$10,IF(T398&lt;($F$10-$E$10)/($G$10-$E$10),$E$10+SQRT(T398*($G$10-$E$10)*($F$10-$E$10)),$G$10-SQRT((1-T398)*($G$10-$E$10)*($G$10-$F$10))))</f>
        <v>1.05233096966944</v>
      </c>
      <c r="G398" s="52" t="n">
        <f aca="false">IF($G$11=$E$11,$F$11,IF(U398&lt;($F$11-$E$11)/($G$11-$E$11),$E$11+SQRT(U398*($G$11-$E$11)*($F$11-$E$11)),$G$11-SQRT((1-U398)*($G$11-$E$11)*($G$11-$F$11))))</f>
        <v>0.102565360647876</v>
      </c>
      <c r="H398" s="53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-2104661939.33888</v>
      </c>
      <c r="I398" s="53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-50483217.6623241</v>
      </c>
      <c r="J398" s="53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199804270.859124</v>
      </c>
      <c r="K398" s="53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502708307.864045</v>
      </c>
      <c r="L398" s="53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618266391.638302</v>
      </c>
      <c r="M398" s="53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794975456.774056</v>
      </c>
      <c r="N398" s="53" t="n">
        <f aca="false">IF(COUNT('Business Case'!B11:G11)=0,"",H398+NPV(G398,I398:M398))</f>
        <v>-704757902.62786</v>
      </c>
      <c r="P398" s="54" t="n">
        <f aca="true">RAND()</f>
        <v>0.0863525235903917</v>
      </c>
      <c r="Q398" s="54" t="n">
        <f aca="true">RAND()</f>
        <v>0.461990457327609</v>
      </c>
      <c r="R398" s="54" t="n">
        <f aca="true">RAND()</f>
        <v>0.643200994953953</v>
      </c>
      <c r="S398" s="54" t="n">
        <f aca="true">RAND()</f>
        <v>0.728433171807514</v>
      </c>
      <c r="T398" s="54" t="n">
        <f aca="true">RAND()</f>
        <v>0.563877149624648</v>
      </c>
      <c r="U398" s="54" t="n">
        <f aca="true">RAND()</f>
        <v>0.493388917768956</v>
      </c>
    </row>
    <row r="399" customFormat="false" ht="15" hidden="false" customHeight="false" outlineLevel="0" collapsed="false">
      <c r="A399" s="50" t="n">
        <v>319</v>
      </c>
      <c r="B399" s="51" t="n">
        <f aca="false">1+IF($G$6=$E$6,$F$6,IF(P399&lt;($F$6-$E$6)/($G$6-$E$6),$E$6+SQRT(P399*($G$6-$E$6)*($F$6-$E$6)),$G$6-SQRT((1-P399)*($G$6-$E$6)*($G$6-$F$6))))</f>
        <v>0.98502633252832</v>
      </c>
      <c r="C399" s="51" t="n">
        <f aca="false">1+IF($G$7=$E$7,$F$7,IF(Q399&lt;($F$7-$E$7)/($G$7-$E$7),$E$7+SQRT(Q399*($G$7-$E$7)*($F$7-$E$7)),$G$7-SQRT((1-Q399)*($G$7-$E$7)*($G$7-$F$7))))</f>
        <v>0.998869204164378</v>
      </c>
      <c r="D399" s="51" t="n">
        <f aca="false">1+IF($G$8=$E$8,$F$8,IF(R399&lt;($F$8-$E$8)/($G$8-$E$8),$E$8+SQRT(R399*($G$8-$E$8)*($F$8-$E$8)),$G$8-SQRT((1-R399)*($G$8-$E$8)*($G$8-$F$8))))</f>
        <v>0.97824782438512</v>
      </c>
      <c r="E399" s="51" t="n">
        <f aca="false">1+IF($G$9=$E$9,$F$9,IF(S399&lt;($F$9-$E$9)/($G$9-$E$9),$E$9+SQRT(S399*($G$9-$E$9)*($F$9-$E$9)),$G$9-SQRT((1-S399)*($G$9-$E$9)*($G$9-$F$9))))</f>
        <v>0.965614692380376</v>
      </c>
      <c r="F399" s="51" t="n">
        <f aca="false">1+IF($G$10=$E$10,$F$10,IF(T399&lt;($F$10-$E$10)/($G$10-$E$10),$E$10+SQRT(T399*($G$10-$E$10)*($F$10-$E$10)),$G$10-SQRT((1-T399)*($G$10-$E$10)*($G$10-$F$10))))</f>
        <v>0.978766747461551</v>
      </c>
      <c r="G399" s="52" t="n">
        <f aca="false">IF($G$11=$E$11,$F$11,IF(U399&lt;($F$11-$E$11)/($G$11-$E$11),$E$11+SQRT(U399*($G$11-$E$11)*($F$11-$E$11)),$G$11-SQRT((1-U399)*($G$11-$E$11)*($G$11-$F$11))))</f>
        <v>0.0977741350773629</v>
      </c>
      <c r="H399" s="53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-1957533494.9231</v>
      </c>
      <c r="I399" s="53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19483706.2114649</v>
      </c>
      <c r="J399" s="53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325160518.810941</v>
      </c>
      <c r="K399" s="53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679775668.783494</v>
      </c>
      <c r="L399" s="53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815671954.573564</v>
      </c>
      <c r="M399" s="53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1002694036.65324</v>
      </c>
      <c r="N399" s="53" t="n">
        <f aca="false">IF(COUNT('Business Case'!B11:G11)=0,"",H399+NPV(G399,I399:M399))</f>
        <v>34450739.4338632</v>
      </c>
      <c r="P399" s="54" t="n">
        <f aca="true">RAND()</f>
        <v>0.440460825217041</v>
      </c>
      <c r="Q399" s="54" t="n">
        <f aca="true">RAND()</f>
        <v>0.564985148071045</v>
      </c>
      <c r="R399" s="54" t="n">
        <f aca="true">RAND()</f>
        <v>0.122759935768092</v>
      </c>
      <c r="S399" s="54" t="n">
        <f aca="true">RAND()</f>
        <v>0.032509149084502</v>
      </c>
      <c r="T399" s="54" t="n">
        <f aca="true">RAND()</f>
        <v>0.0662020607613294</v>
      </c>
      <c r="U399" s="54" t="n">
        <f aca="true">RAND()</f>
        <v>0.201457254003616</v>
      </c>
    </row>
    <row r="400" customFormat="false" ht="15" hidden="false" customHeight="false" outlineLevel="0" collapsed="false">
      <c r="A400" s="50" t="n">
        <v>320</v>
      </c>
      <c r="B400" s="51" t="n">
        <f aca="false">1+IF($G$6=$E$6,$F$6,IF(P400&lt;($F$6-$E$6)/($G$6-$E$6),$E$6+SQRT(P400*($G$6-$E$6)*($F$6-$E$6)),$G$6-SQRT((1-P400)*($G$6-$E$6)*($G$6-$F$6))))</f>
        <v>0.965972844814787</v>
      </c>
      <c r="C400" s="51" t="n">
        <f aca="false">1+IF($G$7=$E$7,$F$7,IF(Q400&lt;($F$7-$E$7)/($G$7-$E$7),$E$7+SQRT(Q400*($G$7-$E$7)*($F$7-$E$7)),$G$7-SQRT((1-Q400)*($G$7-$E$7)*($G$7-$F$7))))</f>
        <v>0.989583753574037</v>
      </c>
      <c r="D400" s="51" t="n">
        <f aca="false">1+IF($G$8=$E$8,$F$8,IF(R400&lt;($F$8-$E$8)/($G$8-$E$8),$E$8+SQRT(R400*($G$8-$E$8)*($F$8-$E$8)),$G$8-SQRT((1-R400)*($G$8-$E$8)*($G$8-$F$8))))</f>
        <v>0.98272157217682</v>
      </c>
      <c r="E400" s="51" t="n">
        <f aca="false">1+IF($G$9=$E$9,$F$9,IF(S400&lt;($F$9-$E$9)/($G$9-$E$9),$E$9+SQRT(S400*($G$9-$E$9)*($F$9-$E$9)),$G$9-SQRT((1-S400)*($G$9-$E$9)*($G$9-$F$9))))</f>
        <v>1.05599057248062</v>
      </c>
      <c r="F400" s="51" t="n">
        <f aca="false">1+IF($G$10=$E$10,$F$10,IF(T400&lt;($F$10-$E$10)/($G$10-$E$10),$E$10+SQRT(T400*($G$10-$E$10)*($F$10-$E$10)),$G$10-SQRT((1-T400)*($G$10-$E$10)*($G$10-$F$10))))</f>
        <v>1.09270541847043</v>
      </c>
      <c r="G400" s="52" t="n">
        <f aca="false">IF($G$11=$E$11,$F$11,IF(U400&lt;($F$11-$E$11)/($G$11-$E$11),$E$11+SQRT(U400*($G$11-$E$11)*($F$11-$E$11)),$G$11-SQRT((1-U400)*($G$11-$E$11)*($G$11-$F$11))))</f>
        <v>0.113408194128143</v>
      </c>
      <c r="H400" s="53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-2185410836.94085</v>
      </c>
      <c r="I400" s="53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-23861542.9632436</v>
      </c>
      <c r="J400" s="53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261263743.310285</v>
      </c>
      <c r="K400" s="53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601024300.507335</v>
      </c>
      <c r="L400" s="53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729102347.920502</v>
      </c>
      <c r="M400" s="53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910801917.191449</v>
      </c>
      <c r="N400" s="53" t="n">
        <f aca="false">IF(COUNT('Business Case'!B11:G11)=0,"",H400+NPV(G400,I400:M400))</f>
        <v>-553927172.360982</v>
      </c>
      <c r="P400" s="54" t="n">
        <f aca="true">RAND()</f>
        <v>0.220156506287969</v>
      </c>
      <c r="Q400" s="54" t="n">
        <f aca="true">RAND()</f>
        <v>0.513457137417443</v>
      </c>
      <c r="R400" s="54" t="n">
        <f aca="true">RAND()</f>
        <v>0.16472327472659</v>
      </c>
      <c r="S400" s="54" t="n">
        <f aca="true">RAND()</f>
        <v>0.870878019294416</v>
      </c>
      <c r="T400" s="54" t="n">
        <f aca="true">RAND()</f>
        <v>0.769757455487876</v>
      </c>
      <c r="U400" s="54" t="n">
        <f aca="true">RAND()</f>
        <v>0.927580158912909</v>
      </c>
    </row>
    <row r="401" customFormat="false" ht="15" hidden="false" customHeight="false" outlineLevel="0" collapsed="false">
      <c r="A401" s="50" t="n">
        <v>321</v>
      </c>
      <c r="B401" s="51" t="n">
        <f aca="false">1+IF($G$6=$E$6,$F$6,IF(P401&lt;($F$6-$E$6)/($G$6-$E$6),$E$6+SQRT(P401*($G$6-$E$6)*($F$6-$E$6)),$G$6-SQRT((1-P401)*($G$6-$E$6)*($G$6-$F$6))))</f>
        <v>1.00190461742743</v>
      </c>
      <c r="C401" s="51" t="n">
        <f aca="false">1+IF($G$7=$E$7,$F$7,IF(Q401&lt;($F$7-$E$7)/($G$7-$E$7),$E$7+SQRT(Q401*($G$7-$E$7)*($F$7-$E$7)),$G$7-SQRT((1-Q401)*($G$7-$E$7)*($G$7-$F$7))))</f>
        <v>0.917139896920084</v>
      </c>
      <c r="D401" s="51" t="n">
        <f aca="false">1+IF($G$8=$E$8,$F$8,IF(R401&lt;($F$8-$E$8)/($G$8-$E$8),$E$8+SQRT(R401*($G$8-$E$8)*($F$8-$E$8)),$G$8-SQRT((1-R401)*($G$8-$E$8)*($G$8-$F$8))))</f>
        <v>1.0430070482002</v>
      </c>
      <c r="E401" s="51" t="n">
        <f aca="false">1+IF($G$9=$E$9,$F$9,IF(S401&lt;($F$9-$E$9)/($G$9-$E$9),$E$9+SQRT(S401*($G$9-$E$9)*($F$9-$E$9)),$G$9-SQRT((1-S401)*($G$9-$E$9)*($G$9-$F$9))))</f>
        <v>1.0244025112678</v>
      </c>
      <c r="F401" s="51" t="n">
        <f aca="false">1+IF($G$10=$E$10,$F$10,IF(T401&lt;($F$10-$E$10)/($G$10-$E$10),$E$10+SQRT(T401*($G$10-$E$10)*($F$10-$E$10)),$G$10-SQRT((1-T401)*($G$10-$E$10)*($G$10-$F$10))))</f>
        <v>1.00274683000214</v>
      </c>
      <c r="G401" s="52" t="n">
        <f aca="false">IF($G$11=$E$11,$F$11,IF(U401&lt;($F$11-$E$11)/($G$11-$E$11),$E$11+SQRT(U401*($G$11-$E$11)*($F$11-$E$11)),$G$11-SQRT((1-U401)*($G$11-$E$11)*($G$11-$F$11))))</f>
        <v>0.0947960632260832</v>
      </c>
      <c r="H401" s="53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-2005493660.00429</v>
      </c>
      <c r="I401" s="53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-30639603.5535024</v>
      </c>
      <c r="J401" s="53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232300599.396542</v>
      </c>
      <c r="K401" s="53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545378143.846694</v>
      </c>
      <c r="L401" s="53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664781602.430743</v>
      </c>
      <c r="M401" s="53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839443585.901266</v>
      </c>
      <c r="N401" s="53" t="n">
        <f aca="false">IF(COUNT('Business Case'!B11:G11)=0,"",H401+NPV(G401,I401:M401))</f>
        <v>-427561009.174797</v>
      </c>
      <c r="P401" s="54" t="n">
        <f aca="true">RAND()</f>
        <v>0.697654547218673</v>
      </c>
      <c r="Q401" s="54" t="n">
        <f aca="true">RAND()</f>
        <v>0.19602507786354</v>
      </c>
      <c r="R401" s="54" t="n">
        <f aca="true">RAND()</f>
        <v>0.868415530494003</v>
      </c>
      <c r="S401" s="54" t="n">
        <f aca="true">RAND()</f>
        <v>0.619001313158996</v>
      </c>
      <c r="T401" s="54" t="n">
        <f aca="true">RAND()</f>
        <v>0.221823738515931</v>
      </c>
      <c r="U401" s="54" t="n">
        <f aca="true">RAND()</f>
        <v>0.0766740748952923</v>
      </c>
    </row>
    <row r="402" customFormat="false" ht="15" hidden="false" customHeight="false" outlineLevel="0" collapsed="false">
      <c r="A402" s="50" t="n">
        <v>322</v>
      </c>
      <c r="B402" s="51" t="n">
        <f aca="false">1+IF($G$6=$E$6,$F$6,IF(P402&lt;($F$6-$E$6)/($G$6-$E$6),$E$6+SQRT(P402*($G$6-$E$6)*($F$6-$E$6)),$G$6-SQRT((1-P402)*($G$6-$E$6)*($G$6-$F$6))))</f>
        <v>0.979338652968261</v>
      </c>
      <c r="C402" s="51" t="n">
        <f aca="false">1+IF($G$7=$E$7,$F$7,IF(Q402&lt;($F$7-$E$7)/($G$7-$E$7),$E$7+SQRT(Q402*($G$7-$E$7)*($F$7-$E$7)),$G$7-SQRT((1-Q402)*($G$7-$E$7)*($G$7-$F$7))))</f>
        <v>1.00381001228497</v>
      </c>
      <c r="D402" s="51" t="n">
        <f aca="false">1+IF($G$8=$E$8,$F$8,IF(R402&lt;($F$8-$E$8)/($G$8-$E$8),$E$8+SQRT(R402*($G$8-$E$8)*($F$8-$E$8)),$G$8-SQRT((1-R402)*($G$8-$E$8)*($G$8-$F$8))))</f>
        <v>1.02719560193599</v>
      </c>
      <c r="E402" s="51" t="n">
        <f aca="false">1+IF($G$9=$E$9,$F$9,IF(S402&lt;($F$9-$E$9)/($G$9-$E$9),$E$9+SQRT(S402*($G$9-$E$9)*($F$9-$E$9)),$G$9-SQRT((1-S402)*($G$9-$E$9)*($G$9-$F$9))))</f>
        <v>1.03554691340207</v>
      </c>
      <c r="F402" s="51" t="n">
        <f aca="false">1+IF($G$10=$E$10,$F$10,IF(T402&lt;($F$10-$E$10)/($G$10-$E$10),$E$10+SQRT(T402*($G$10-$E$10)*($F$10-$E$10)),$G$10-SQRT((1-T402)*($G$10-$E$10)*($G$10-$F$10))))</f>
        <v>1.12554942332566</v>
      </c>
      <c r="G402" s="52" t="n">
        <f aca="false">IF($G$11=$E$11,$F$11,IF(U402&lt;($F$11-$E$11)/($G$11-$E$11),$E$11+SQRT(U402*($G$11-$E$11)*($F$11-$E$11)),$G$11-SQRT((1-U402)*($G$11-$E$11)*($G$11-$F$11))))</f>
        <v>0.0983719821490427</v>
      </c>
      <c r="H402" s="53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-2251098846.65133</v>
      </c>
      <c r="I402" s="53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-33412430.0894963</v>
      </c>
      <c r="J402" s="53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243947199.202</v>
      </c>
      <c r="K402" s="53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577584299.659779</v>
      </c>
      <c r="L402" s="53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704012406.732046</v>
      </c>
      <c r="M402" s="53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890874341.928438</v>
      </c>
      <c r="N402" s="53" t="n">
        <f aca="false">IF(COUNT('Business Case'!B11:G11)=0,"",H402+NPV(G402,I402:M402))</f>
        <v>-602449616.364596</v>
      </c>
      <c r="P402" s="54" t="n">
        <f aca="true">RAND()</f>
        <v>0.366778722509134</v>
      </c>
      <c r="Q402" s="54" t="n">
        <f aca="true">RAND()</f>
        <v>0.592923571273876</v>
      </c>
      <c r="R402" s="54" t="n">
        <f aca="true">RAND()</f>
        <v>0.731893802413191</v>
      </c>
      <c r="S402" s="54" t="n">
        <f aca="true">RAND()</f>
        <v>0.723053308533278</v>
      </c>
      <c r="T402" s="54" t="n">
        <f aca="true">RAND()</f>
        <v>0.889142232657179</v>
      </c>
      <c r="U402" s="54" t="n">
        <f aca="true">RAND()</f>
        <v>0.233633617012967</v>
      </c>
    </row>
    <row r="403" customFormat="false" ht="15" hidden="false" customHeight="false" outlineLevel="0" collapsed="false">
      <c r="A403" s="50" t="n">
        <v>323</v>
      </c>
      <c r="B403" s="51" t="n">
        <f aca="false">1+IF($G$6=$E$6,$F$6,IF(P403&lt;($F$6-$E$6)/($G$6-$E$6),$E$6+SQRT(P403*($G$6-$E$6)*($F$6-$E$6)),$G$6-SQRT((1-P403)*($G$6-$E$6)*($G$6-$F$6))))</f>
        <v>0.945105913431305</v>
      </c>
      <c r="C403" s="51" t="n">
        <f aca="false">1+IF($G$7=$E$7,$F$7,IF(Q403&lt;($F$7-$E$7)/($G$7-$E$7),$E$7+SQRT(Q403*($G$7-$E$7)*($F$7-$E$7)),$G$7-SQRT((1-Q403)*($G$7-$E$7)*($G$7-$F$7))))</f>
        <v>1.01850940305872</v>
      </c>
      <c r="D403" s="51" t="n">
        <f aca="false">1+IF($G$8=$E$8,$F$8,IF(R403&lt;($F$8-$E$8)/($G$8-$E$8),$E$8+SQRT(R403*($G$8-$E$8)*($F$8-$E$8)),$G$8-SQRT((1-R403)*($G$8-$E$8)*($G$8-$F$8))))</f>
        <v>1.01878283716195</v>
      </c>
      <c r="E403" s="51" t="n">
        <f aca="false">1+IF($G$9=$E$9,$F$9,IF(S403&lt;($F$9-$E$9)/($G$9-$E$9),$E$9+SQRT(S403*($G$9-$E$9)*($F$9-$E$9)),$G$9-SQRT((1-S403)*($G$9-$E$9)*($G$9-$F$9))))</f>
        <v>0.997631081556962</v>
      </c>
      <c r="F403" s="51" t="n">
        <f aca="false">1+IF($G$10=$E$10,$F$10,IF(T403&lt;($F$10-$E$10)/($G$10-$E$10),$E$10+SQRT(T403*($G$10-$E$10)*($F$10-$E$10)),$G$10-SQRT((1-T403)*($G$10-$E$10)*($G$10-$F$10))))</f>
        <v>0.966306790438649</v>
      </c>
      <c r="G403" s="52" t="n">
        <f aca="false">IF($G$11=$E$11,$F$11,IF(U403&lt;($F$11-$E$11)/($G$11-$E$11),$E$11+SQRT(U403*($G$11-$E$11)*($F$11-$E$11)),$G$11-SQRT((1-U403)*($G$11-$E$11)*($G$11-$F$11))))</f>
        <v>0.101604437417075</v>
      </c>
      <c r="H403" s="53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-1932613580.8773</v>
      </c>
      <c r="I403" s="53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-31145480.8727851</v>
      </c>
      <c r="J403" s="53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226104002.719382</v>
      </c>
      <c r="K403" s="53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531668825.833481</v>
      </c>
      <c r="L403" s="53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650686084.113328</v>
      </c>
      <c r="M403" s="53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833656951.40018</v>
      </c>
      <c r="N403" s="53" t="n">
        <f aca="false">IF(COUNT('Business Case'!B11:G11)=0,"",H403+NPV(G403,I403:M403))</f>
        <v>-421139043.416556</v>
      </c>
      <c r="P403" s="54" t="n">
        <f aca="true">RAND()</f>
        <v>0.0656569676271016</v>
      </c>
      <c r="Q403" s="54" t="n">
        <f aca="true">RAND()</f>
        <v>0.6706709126862</v>
      </c>
      <c r="R403" s="54" t="n">
        <f aca="true">RAND()</f>
        <v>0.639659516736479</v>
      </c>
      <c r="S403" s="54" t="n">
        <f aca="true">RAND()</f>
        <v>0.302495990704796</v>
      </c>
      <c r="T403" s="54" t="n">
        <f aca="true">RAND()</f>
        <v>0.0212729131528005</v>
      </c>
      <c r="U403" s="54" t="n">
        <f aca="true">RAND()</f>
        <v>0.436005462096128</v>
      </c>
    </row>
    <row r="404" customFormat="false" ht="15" hidden="false" customHeight="false" outlineLevel="0" collapsed="false">
      <c r="A404" s="50" t="n">
        <v>324</v>
      </c>
      <c r="B404" s="51" t="n">
        <f aca="false">1+IF($G$6=$E$6,$F$6,IF(P404&lt;($F$6-$E$6)/($G$6-$E$6),$E$6+SQRT(P404*($G$6-$E$6)*($F$6-$E$6)),$G$6-SQRT((1-P404)*($G$6-$E$6)*($G$6-$F$6))))</f>
        <v>0.983167147154657</v>
      </c>
      <c r="C404" s="51" t="n">
        <f aca="false">1+IF($G$7=$E$7,$F$7,IF(Q404&lt;($F$7-$E$7)/($G$7-$E$7),$E$7+SQRT(Q404*($G$7-$E$7)*($F$7-$E$7)),$G$7-SQRT((1-Q404)*($G$7-$E$7)*($G$7-$F$7))))</f>
        <v>0.833191771704294</v>
      </c>
      <c r="D404" s="51" t="n">
        <f aca="false">1+IF($G$8=$E$8,$F$8,IF(R404&lt;($F$8-$E$8)/($G$8-$E$8),$E$8+SQRT(R404*($G$8-$E$8)*($F$8-$E$8)),$G$8-SQRT((1-R404)*($G$8-$E$8)*($G$8-$F$8))))</f>
        <v>0.999707331768145</v>
      </c>
      <c r="E404" s="51" t="n">
        <f aca="false">1+IF($G$9=$E$9,$F$9,IF(S404&lt;($F$9-$E$9)/($G$9-$E$9),$E$9+SQRT(S404*($G$9-$E$9)*($F$9-$E$9)),$G$9-SQRT((1-S404)*($G$9-$E$9)*($G$9-$F$9))))</f>
        <v>0.96499289034231</v>
      </c>
      <c r="F404" s="51" t="n">
        <f aca="false">1+IF($G$10=$E$10,$F$10,IF(T404&lt;($F$10-$E$10)/($G$10-$E$10),$E$10+SQRT(T404*($G$10-$E$10)*($F$10-$E$10)),$G$10-SQRT((1-T404)*($G$10-$E$10)*($G$10-$F$10))))</f>
        <v>0.962108514103045</v>
      </c>
      <c r="G404" s="52" t="n">
        <f aca="false">IF($G$11=$E$11,$F$11,IF(U404&lt;($F$11-$E$11)/($G$11-$E$11),$E$11+SQRT(U404*($G$11-$E$11)*($F$11-$E$11)),$G$11-SQRT((1-U404)*($G$11-$E$11)*($G$11-$F$11))))</f>
        <v>0.101621575722331</v>
      </c>
      <c r="H404" s="53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-1924217028.20609</v>
      </c>
      <c r="I404" s="53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-31344576.3098068</v>
      </c>
      <c r="J404" s="53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213209293.528413</v>
      </c>
      <c r="K404" s="53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505868589.071785</v>
      </c>
      <c r="L404" s="53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615696949.505222</v>
      </c>
      <c r="M404" s="53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771404170.519056</v>
      </c>
      <c r="N404" s="53" t="n">
        <f aca="false">IF(COUNT('Business Case'!B11:G11)=0,"",H404+NPV(G404,I404:M404))</f>
        <v>-505066738.623784</v>
      </c>
      <c r="P404" s="54" t="n">
        <f aca="true">RAND()</f>
        <v>0.415634216631045</v>
      </c>
      <c r="Q404" s="54" t="n">
        <f aca="true">RAND()</f>
        <v>0.0157384815552853</v>
      </c>
      <c r="R404" s="54" t="n">
        <f aca="true">RAND()</f>
        <v>0.380125974078216</v>
      </c>
      <c r="S404" s="54" t="n">
        <f aca="true">RAND()</f>
        <v>0.0299715681088715</v>
      </c>
      <c r="T404" s="54" t="n">
        <f aca="true">RAND()</f>
        <v>0.0117292891026915</v>
      </c>
      <c r="U404" s="54" t="n">
        <f aca="true">RAND()</f>
        <v>0.437055868449964</v>
      </c>
    </row>
    <row r="405" customFormat="false" ht="15" hidden="false" customHeight="false" outlineLevel="0" collapsed="false">
      <c r="A405" s="50" t="n">
        <v>325</v>
      </c>
      <c r="B405" s="51" t="n">
        <f aca="false">1+IF($G$6=$E$6,$F$6,IF(P405&lt;($F$6-$E$6)/($G$6-$E$6),$E$6+SQRT(P405*($G$6-$E$6)*($F$6-$E$6)),$G$6-SQRT((1-P405)*($G$6-$E$6)*($G$6-$F$6))))</f>
        <v>0.986829936717208</v>
      </c>
      <c r="C405" s="51" t="n">
        <f aca="false">1+IF($G$7=$E$7,$F$7,IF(Q405&lt;($F$7-$E$7)/($G$7-$E$7),$E$7+SQRT(Q405*($G$7-$E$7)*($F$7-$E$7)),$G$7-SQRT((1-Q405)*($G$7-$E$7)*($G$7-$F$7))))</f>
        <v>1.0401195003374</v>
      </c>
      <c r="D405" s="51" t="n">
        <f aca="false">1+IF($G$8=$E$8,$F$8,IF(R405&lt;($F$8-$E$8)/($G$8-$E$8),$E$8+SQRT(R405*($G$8-$E$8)*($F$8-$E$8)),$G$8-SQRT((1-R405)*($G$8-$E$8)*($G$8-$F$8))))</f>
        <v>1.00477774341363</v>
      </c>
      <c r="E405" s="51" t="n">
        <f aca="false">1+IF($G$9=$E$9,$F$9,IF(S405&lt;($F$9-$E$9)/($G$9-$E$9),$E$9+SQRT(S405*($G$9-$E$9)*($F$9-$E$9)),$G$9-SQRT((1-S405)*($G$9-$E$9)*($G$9-$F$9))))</f>
        <v>1.04853979435466</v>
      </c>
      <c r="F405" s="51" t="n">
        <f aca="false">1+IF($G$10=$E$10,$F$10,IF(T405&lt;($F$10-$E$10)/($G$10-$E$10),$E$10+SQRT(T405*($G$10-$E$10)*($F$10-$E$10)),$G$10-SQRT((1-T405)*($G$10-$E$10)*($G$10-$F$10))))</f>
        <v>0.993030656493687</v>
      </c>
      <c r="G405" s="52" t="n">
        <f aca="false">IF($G$11=$E$11,$F$11,IF(U405&lt;($F$11-$E$11)/($G$11-$E$11),$E$11+SQRT(U405*($G$11-$E$11)*($F$11-$E$11)),$G$11-SQRT((1-U405)*($G$11-$E$11)*($G$11-$F$11))))</f>
        <v>0.104704047379361</v>
      </c>
      <c r="H405" s="53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-1986061312.98737</v>
      </c>
      <c r="I405" s="53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4095736.6395727</v>
      </c>
      <c r="J405" s="53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309806565.472243</v>
      </c>
      <c r="K405" s="53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665168927.129597</v>
      </c>
      <c r="L405" s="53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802545648.598152</v>
      </c>
      <c r="M405" s="53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997647763.815303</v>
      </c>
      <c r="N405" s="53" t="n">
        <f aca="false">IF(COUNT('Business Case'!B11:G11)=0,"",H405+NPV(G405,I405:M405))</f>
        <v>-89840767.288033</v>
      </c>
      <c r="P405" s="54" t="n">
        <f aca="true">RAND()</f>
        <v>0.465233379336045</v>
      </c>
      <c r="Q405" s="54" t="n">
        <f aca="true">RAND()</f>
        <v>0.770024300836151</v>
      </c>
      <c r="R405" s="54" t="n">
        <f aca="true">RAND()</f>
        <v>0.455924241735985</v>
      </c>
      <c r="S405" s="54" t="n">
        <f aca="true">RAND()</f>
        <v>0.823456482329317</v>
      </c>
      <c r="T405" s="54" t="n">
        <f aca="true">RAND()</f>
        <v>0.148130991862216</v>
      </c>
      <c r="U405" s="54" t="n">
        <f aca="true">RAND()</f>
        <v>0.610056389045287</v>
      </c>
    </row>
    <row r="406" customFormat="false" ht="15" hidden="false" customHeight="false" outlineLevel="0" collapsed="false">
      <c r="A406" s="50" t="n">
        <v>326</v>
      </c>
      <c r="B406" s="51" t="n">
        <f aca="false">1+IF($G$6=$E$6,$F$6,IF(P406&lt;($F$6-$E$6)/($G$6-$E$6),$E$6+SQRT(P406*($G$6-$E$6)*($F$6-$E$6)),$G$6-SQRT((1-P406)*($G$6-$E$6)*($G$6-$F$6))))</f>
        <v>0.995252617180012</v>
      </c>
      <c r="C406" s="51" t="n">
        <f aca="false">1+IF($G$7=$E$7,$F$7,IF(Q406&lt;($F$7-$E$7)/($G$7-$E$7),$E$7+SQRT(Q406*($G$7-$E$7)*($F$7-$E$7)),$G$7-SQRT((1-Q406)*($G$7-$E$7)*($G$7-$F$7))))</f>
        <v>0.949001469617314</v>
      </c>
      <c r="D406" s="51" t="n">
        <f aca="false">1+IF($G$8=$E$8,$F$8,IF(R406&lt;($F$8-$E$8)/($G$8-$E$8),$E$8+SQRT(R406*($G$8-$E$8)*($F$8-$E$8)),$G$8-SQRT((1-R406)*($G$8-$E$8)*($G$8-$F$8))))</f>
        <v>1.01551644980971</v>
      </c>
      <c r="E406" s="51" t="n">
        <f aca="false">1+IF($G$9=$E$9,$F$9,IF(S406&lt;($F$9-$E$9)/($G$9-$E$9),$E$9+SQRT(S406*($G$9-$E$9)*($F$9-$E$9)),$G$9-SQRT((1-S406)*($G$9-$E$9)*($G$9-$F$9))))</f>
        <v>1.05848868985247</v>
      </c>
      <c r="F406" s="51" t="n">
        <f aca="false">1+IF($G$10=$E$10,$F$10,IF(T406&lt;($F$10-$E$10)/($G$10-$E$10),$E$10+SQRT(T406*($G$10-$E$10)*($F$10-$E$10)),$G$10-SQRT((1-T406)*($G$10-$E$10)*($G$10-$F$10))))</f>
        <v>0.95931867430873</v>
      </c>
      <c r="G406" s="52" t="n">
        <f aca="false">IF($G$11=$E$11,$F$11,IF(U406&lt;($F$11-$E$11)/($G$11-$E$11),$E$11+SQRT(U406*($G$11-$E$11)*($F$11-$E$11)),$G$11-SQRT((1-U406)*($G$11-$E$11)*($G$11-$F$11))))</f>
        <v>0.108844078886351</v>
      </c>
      <c r="H406" s="53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-1918637348.61746</v>
      </c>
      <c r="I406" s="53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-15152176.1704606</v>
      </c>
      <c r="J406" s="53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265107289.605462</v>
      </c>
      <c r="K406" s="53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593332689.096822</v>
      </c>
      <c r="L406" s="53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719394299.567788</v>
      </c>
      <c r="M406" s="53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898924136.568915</v>
      </c>
      <c r="N406" s="53" t="n">
        <f aca="false">IF(COUNT('Business Case'!B11:G11)=0,"",H406+NPV(G406,I406:M406))</f>
        <v>-269367851.119184</v>
      </c>
      <c r="P406" s="54" t="n">
        <f aca="true">RAND()</f>
        <v>0.589891290879319</v>
      </c>
      <c r="Q406" s="54" t="n">
        <f aca="true">RAND()</f>
        <v>0.317163399258847</v>
      </c>
      <c r="R406" s="54" t="n">
        <f aca="true">RAND()</f>
        <v>0.60017997642852</v>
      </c>
      <c r="S406" s="54" t="n">
        <f aca="true">RAND()</f>
        <v>0.885120741989044</v>
      </c>
      <c r="T406" s="54" t="n">
        <f aca="true">RAND()</f>
        <v>0.00694701526977446</v>
      </c>
      <c r="U406" s="54" t="n">
        <f aca="true">RAND()</f>
        <v>0.79257570684339</v>
      </c>
    </row>
    <row r="407" customFormat="false" ht="15" hidden="false" customHeight="false" outlineLevel="0" collapsed="false">
      <c r="A407" s="50" t="n">
        <v>327</v>
      </c>
      <c r="B407" s="51" t="n">
        <f aca="false">1+IF($G$6=$E$6,$F$6,IF(P407&lt;($F$6-$E$6)/($G$6-$E$6),$E$6+SQRT(P407*($G$6-$E$6)*($F$6-$E$6)),$G$6-SQRT((1-P407)*($G$6-$E$6)*($G$6-$F$6))))</f>
        <v>1.00649573076344</v>
      </c>
      <c r="C407" s="51" t="n">
        <f aca="false">1+IF($G$7=$E$7,$F$7,IF(Q407&lt;($F$7-$E$7)/($G$7-$E$7),$E$7+SQRT(Q407*($G$7-$E$7)*($F$7-$E$7)),$G$7-SQRT((1-Q407)*($G$7-$E$7)*($G$7-$F$7))))</f>
        <v>1.03666949720107</v>
      </c>
      <c r="D407" s="51" t="n">
        <f aca="false">1+IF($G$8=$E$8,$F$8,IF(R407&lt;($F$8-$E$8)/($G$8-$E$8),$E$8+SQRT(R407*($G$8-$E$8)*($F$8-$E$8)),$G$8-SQRT((1-R407)*($G$8-$E$8)*($G$8-$F$8))))</f>
        <v>0.985868440817544</v>
      </c>
      <c r="E407" s="51" t="n">
        <f aca="false">1+IF($G$9=$E$9,$F$9,IF(S407&lt;($F$9-$E$9)/($G$9-$E$9),$E$9+SQRT(S407*($G$9-$E$9)*($F$9-$E$9)),$G$9-SQRT((1-S407)*($G$9-$E$9)*($G$9-$F$9))))</f>
        <v>0.984235812329467</v>
      </c>
      <c r="F407" s="51" t="n">
        <f aca="false">1+IF($G$10=$E$10,$F$10,IF(T407&lt;($F$10-$E$10)/($G$10-$E$10),$E$10+SQRT(T407*($G$10-$E$10)*($F$10-$E$10)),$G$10-SQRT((1-T407)*($G$10-$E$10)*($G$10-$F$10))))</f>
        <v>1.05636181967437</v>
      </c>
      <c r="G407" s="52" t="n">
        <f aca="false">IF($G$11=$E$11,$F$11,IF(U407&lt;($F$11-$E$11)/($G$11-$E$11),$E$11+SQRT(U407*($G$11-$E$11)*($F$11-$E$11)),$G$11-SQRT((1-U407)*($G$11-$E$11)*($G$11-$F$11))))</f>
        <v>0.108410728164515</v>
      </c>
      <c r="H407" s="53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-2112723639.34874</v>
      </c>
      <c r="I407" s="53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31745634.9308482</v>
      </c>
      <c r="J407" s="53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363175817.798249</v>
      </c>
      <c r="K407" s="53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747424091.649369</v>
      </c>
      <c r="L407" s="53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893960841.575747</v>
      </c>
      <c r="M407" s="53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1092290964.24726</v>
      </c>
      <c r="N407" s="53" t="n">
        <f aca="false">IF(COUNT('Business Case'!B11:G11)=0,"",H407+NPV(G407,I407:M407))</f>
        <v>5535237.4124887</v>
      </c>
      <c r="P407" s="54" t="n">
        <f aca="true">RAND()</f>
        <v>0.766138321442547</v>
      </c>
      <c r="Q407" s="54" t="n">
        <f aca="true">RAND()</f>
        <v>0.755356135911273</v>
      </c>
      <c r="R407" s="54" t="n">
        <f aca="true">RAND()</f>
        <v>0.197930007181789</v>
      </c>
      <c r="S407" s="54" t="n">
        <f aca="true">RAND()</f>
        <v>0.156278779447797</v>
      </c>
      <c r="T407" s="54" t="n">
        <f aca="true">RAND()</f>
        <v>0.587361463054834</v>
      </c>
      <c r="U407" s="54" t="n">
        <f aca="true">RAND()</f>
        <v>0.776147963872053</v>
      </c>
    </row>
    <row r="408" customFormat="false" ht="15" hidden="false" customHeight="false" outlineLevel="0" collapsed="false">
      <c r="A408" s="50" t="n">
        <v>328</v>
      </c>
      <c r="B408" s="51" t="n">
        <f aca="false">1+IF($G$6=$E$6,$F$6,IF(P408&lt;($F$6-$E$6)/($G$6-$E$6),$E$6+SQRT(P408*($G$6-$E$6)*($F$6-$E$6)),$G$6-SQRT((1-P408)*($G$6-$E$6)*($G$6-$F$6))))</f>
        <v>0.97332137820949</v>
      </c>
      <c r="C408" s="51" t="n">
        <f aca="false">1+IF($G$7=$E$7,$F$7,IF(Q408&lt;($F$7-$E$7)/($G$7-$E$7),$E$7+SQRT(Q408*($G$7-$E$7)*($F$7-$E$7)),$G$7-SQRT((1-Q408)*($G$7-$E$7)*($G$7-$F$7))))</f>
        <v>1.0040362976019</v>
      </c>
      <c r="D408" s="51" t="n">
        <f aca="false">1+IF($G$8=$E$8,$F$8,IF(R408&lt;($F$8-$E$8)/($G$8-$E$8),$E$8+SQRT(R408*($G$8-$E$8)*($F$8-$E$8)),$G$8-SQRT((1-R408)*($G$8-$E$8)*($G$8-$F$8))))</f>
        <v>0.975436746246641</v>
      </c>
      <c r="E408" s="51" t="n">
        <f aca="false">1+IF($G$9=$E$9,$F$9,IF(S408&lt;($F$9-$E$9)/($G$9-$E$9),$E$9+SQRT(S408*($G$9-$E$9)*($F$9-$E$9)),$G$9-SQRT((1-S408)*($G$9-$E$9)*($G$9-$F$9))))</f>
        <v>1.00130781657689</v>
      </c>
      <c r="F408" s="51" t="n">
        <f aca="false">1+IF($G$10=$E$10,$F$10,IF(T408&lt;($F$10-$E$10)/($G$10-$E$10),$E$10+SQRT(T408*($G$10-$E$10)*($F$10-$E$10)),$G$10-SQRT((1-T408)*($G$10-$E$10)*($G$10-$F$10))))</f>
        <v>0.986426770705411</v>
      </c>
      <c r="G408" s="52" t="n">
        <f aca="false">IF($G$11=$E$11,$F$11,IF(U408&lt;($F$11-$E$11)/($G$11-$E$11),$E$11+SQRT(U408*($G$11-$E$11)*($F$11-$E$11)),$G$11-SQRT((1-U408)*($G$11-$E$11)*($G$11-$F$11))))</f>
        <v>0.0970403469031328</v>
      </c>
      <c r="H408" s="53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-1972853541.41082</v>
      </c>
      <c r="I408" s="53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7387731.50431122</v>
      </c>
      <c r="J408" s="53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306464751.231145</v>
      </c>
      <c r="K408" s="53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654863109.493249</v>
      </c>
      <c r="L408" s="53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788329209.158691</v>
      </c>
      <c r="M408" s="53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974084887.819432</v>
      </c>
      <c r="N408" s="53" t="n">
        <f aca="false">IF(COUNT('Business Case'!B11:G11)=0,"",H408+NPV(G408,I408:M408))</f>
        <v>-58166537.398138</v>
      </c>
      <c r="P408" s="54" t="n">
        <f aca="true">RAND()</f>
        <v>0.296163476474944</v>
      </c>
      <c r="Q408" s="54" t="n">
        <f aca="true">RAND()</f>
        <v>0.594182811090249</v>
      </c>
      <c r="R408" s="54" t="n">
        <f aca="true">RAND()</f>
        <v>0.0995427784024594</v>
      </c>
      <c r="S408" s="54" t="n">
        <f aca="true">RAND()</f>
        <v>0.350656862078609</v>
      </c>
      <c r="T408" s="54" t="n">
        <f aca="true">RAND()</f>
        <v>0.106152769921968</v>
      </c>
      <c r="U408" s="54" t="n">
        <f aca="true">RAND()</f>
        <v>0.165221615054838</v>
      </c>
    </row>
    <row r="409" customFormat="false" ht="15" hidden="false" customHeight="false" outlineLevel="0" collapsed="false">
      <c r="A409" s="50" t="n">
        <v>329</v>
      </c>
      <c r="B409" s="51" t="n">
        <f aca="false">1+IF($G$6=$E$6,$F$6,IF(P409&lt;($F$6-$E$6)/($G$6-$E$6),$E$6+SQRT(P409*($G$6-$E$6)*($F$6-$E$6)),$G$6-SQRT((1-P409)*($G$6-$E$6)*($G$6-$F$6))))</f>
        <v>1.02533764652904</v>
      </c>
      <c r="C409" s="51" t="n">
        <f aca="false">1+IF($G$7=$E$7,$F$7,IF(Q409&lt;($F$7-$E$7)/($G$7-$E$7),$E$7+SQRT(Q409*($G$7-$E$7)*($F$7-$E$7)),$G$7-SQRT((1-Q409)*($G$7-$E$7)*($G$7-$F$7))))</f>
        <v>1.03035609888329</v>
      </c>
      <c r="D409" s="51" t="n">
        <f aca="false">1+IF($G$8=$E$8,$F$8,IF(R409&lt;($F$8-$E$8)/($G$8-$E$8),$E$8+SQRT(R409*($G$8-$E$8)*($F$8-$E$8)),$G$8-SQRT((1-R409)*($G$8-$E$8)*($G$8-$F$8))))</f>
        <v>1.03154393117519</v>
      </c>
      <c r="E409" s="51" t="n">
        <f aca="false">1+IF($G$9=$E$9,$F$9,IF(S409&lt;($F$9-$E$9)/($G$9-$E$9),$E$9+SQRT(S409*($G$9-$E$9)*($F$9-$E$9)),$G$9-SQRT((1-S409)*($G$9-$E$9)*($G$9-$F$9))))</f>
        <v>0.98801528389085</v>
      </c>
      <c r="F409" s="51" t="n">
        <f aca="false">1+IF($G$10=$E$10,$F$10,IF(T409&lt;($F$10-$E$10)/($G$10-$E$10),$E$10+SQRT(T409*($G$10-$E$10)*($F$10-$E$10)),$G$10-SQRT((1-T409)*($G$10-$E$10)*($G$10-$F$10))))</f>
        <v>1.02214121787722</v>
      </c>
      <c r="G409" s="52" t="n">
        <f aca="false">IF($G$11=$E$11,$F$11,IF(U409&lt;($F$11-$E$11)/($G$11-$E$11),$E$11+SQRT(U409*($G$11-$E$11)*($F$11-$E$11)),$G$11-SQRT((1-U409)*($G$11-$E$11)*($G$11-$F$11))))</f>
        <v>0.100573828485227</v>
      </c>
      <c r="H409" s="53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-2044282435.75444</v>
      </c>
      <c r="I409" s="53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23744193.8911024</v>
      </c>
      <c r="J409" s="53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344965319.546426</v>
      </c>
      <c r="K409" s="53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717293506.095612</v>
      </c>
      <c r="L409" s="53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860878572.385534</v>
      </c>
      <c r="M409" s="53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1061691039.94534</v>
      </c>
      <c r="N409" s="53" t="n">
        <f aca="false">IF(COUNT('Business Case'!B11:G11)=0,"",H409+NPV(G409,I409:M409))</f>
        <v>44436885.6909187</v>
      </c>
      <c r="P409" s="54" t="n">
        <f aca="true">RAND()</f>
        <v>0.95521153972765</v>
      </c>
      <c r="Q409" s="54" t="n">
        <f aca="true">RAND()</f>
        <v>0.727339750963318</v>
      </c>
      <c r="R409" s="54" t="n">
        <f aca="true">RAND()</f>
        <v>0.774231672504326</v>
      </c>
      <c r="S409" s="54" t="n">
        <f aca="true">RAND()</f>
        <v>0.192688241240255</v>
      </c>
      <c r="T409" s="54" t="n">
        <f aca="true">RAND()</f>
        <v>0.367325072436019</v>
      </c>
      <c r="U409" s="54" t="n">
        <f aca="true">RAND()</f>
        <v>0.371039767131015</v>
      </c>
    </row>
    <row r="410" customFormat="false" ht="15" hidden="false" customHeight="false" outlineLevel="0" collapsed="false">
      <c r="A410" s="50" t="n">
        <v>330</v>
      </c>
      <c r="B410" s="51" t="n">
        <f aca="false">1+IF($G$6=$E$6,$F$6,IF(P410&lt;($F$6-$E$6)/($G$6-$E$6),$E$6+SQRT(P410*($G$6-$E$6)*($F$6-$E$6)),$G$6-SQRT((1-P410)*($G$6-$E$6)*($G$6-$F$6))))</f>
        <v>0.966781407905488</v>
      </c>
      <c r="C410" s="51" t="n">
        <f aca="false">1+IF($G$7=$E$7,$F$7,IF(Q410&lt;($F$7-$E$7)/($G$7-$E$7),$E$7+SQRT(Q410*($G$7-$E$7)*($F$7-$E$7)),$G$7-SQRT((1-Q410)*($G$7-$E$7)*($G$7-$F$7))))</f>
        <v>0.91022476404264</v>
      </c>
      <c r="D410" s="51" t="n">
        <f aca="false">1+IF($G$8=$E$8,$F$8,IF(R410&lt;($F$8-$E$8)/($G$8-$E$8),$E$8+SQRT(R410*($G$8-$E$8)*($F$8-$E$8)),$G$8-SQRT((1-R410)*($G$8-$E$8)*($G$8-$F$8))))</f>
        <v>1.00168848601971</v>
      </c>
      <c r="E410" s="51" t="n">
        <f aca="false">1+IF($G$9=$E$9,$F$9,IF(S410&lt;($F$9-$E$9)/($G$9-$E$9),$E$9+SQRT(S410*($G$9-$E$9)*($F$9-$E$9)),$G$9-SQRT((1-S410)*($G$9-$E$9)*($G$9-$F$9))))</f>
        <v>0.987148534693589</v>
      </c>
      <c r="F410" s="51" t="n">
        <f aca="false">1+IF($G$10=$E$10,$F$10,IF(T410&lt;($F$10-$E$10)/($G$10-$E$10),$E$10+SQRT(T410*($G$10-$E$10)*($F$10-$E$10)),$G$10-SQRT((1-T410)*($G$10-$E$10)*($G$10-$F$10))))</f>
        <v>1.05326627599661</v>
      </c>
      <c r="G410" s="52" t="n">
        <f aca="false">IF($G$11=$E$11,$F$11,IF(U410&lt;($F$11-$E$11)/($G$11-$E$11),$E$11+SQRT(U410*($G$11-$E$11)*($F$11-$E$11)),$G$11-SQRT((1-U410)*($G$11-$E$11)*($G$11-$F$11))))</f>
        <v>0.111711722286422</v>
      </c>
      <c r="H410" s="53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-2106532551.99322</v>
      </c>
      <c r="I410" s="53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-37292937.2918153</v>
      </c>
      <c r="J410" s="53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216731872.211199</v>
      </c>
      <c r="K410" s="53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523419995.514043</v>
      </c>
      <c r="L410" s="53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638507330.389541</v>
      </c>
      <c r="M410" s="53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805775521.449253</v>
      </c>
      <c r="N410" s="53" t="n">
        <f aca="false">IF(COUNT('Business Case'!B11:G11)=0,"",H410+NPV(G410,I410:M410))</f>
        <v>-691221236.931699</v>
      </c>
      <c r="P410" s="54" t="n">
        <f aca="true">RAND()</f>
        <v>0.227968763085379</v>
      </c>
      <c r="Q410" s="54" t="n">
        <f aca="true">RAND()</f>
        <v>0.173564265832223</v>
      </c>
      <c r="R410" s="54" t="n">
        <f aca="true">RAND()</f>
        <v>0.410317959434178</v>
      </c>
      <c r="S410" s="54" t="n">
        <f aca="true">RAND()</f>
        <v>0.184001817317436</v>
      </c>
      <c r="T410" s="54" t="n">
        <f aca="true">RAND()</f>
        <v>0.569384284801948</v>
      </c>
      <c r="U410" s="54" t="n">
        <f aca="true">RAND()</f>
        <v>0.88550742090433</v>
      </c>
    </row>
    <row r="411" customFormat="false" ht="15" hidden="false" customHeight="false" outlineLevel="0" collapsed="false">
      <c r="A411" s="50" t="n">
        <v>331</v>
      </c>
      <c r="B411" s="51" t="n">
        <f aca="false">1+IF($G$6=$E$6,$F$6,IF(P411&lt;($F$6-$E$6)/($G$6-$E$6),$E$6+SQRT(P411*($G$6-$E$6)*($F$6-$E$6)),$G$6-SQRT((1-P411)*($G$6-$E$6)*($G$6-$F$6))))</f>
        <v>0.974188766696122</v>
      </c>
      <c r="C411" s="51" t="n">
        <f aca="false">1+IF($G$7=$E$7,$F$7,IF(Q411&lt;($F$7-$E$7)/($G$7-$E$7),$E$7+SQRT(Q411*($G$7-$E$7)*($F$7-$E$7)),$G$7-SQRT((1-Q411)*($G$7-$E$7)*($G$7-$F$7))))</f>
        <v>0.845946220382363</v>
      </c>
      <c r="D411" s="51" t="n">
        <f aca="false">1+IF($G$8=$E$8,$F$8,IF(R411&lt;($F$8-$E$8)/($G$8-$E$8),$E$8+SQRT(R411*($G$8-$E$8)*($F$8-$E$8)),$G$8-SQRT((1-R411)*($G$8-$E$8)*($G$8-$F$8))))</f>
        <v>0.959155328607829</v>
      </c>
      <c r="E411" s="51" t="n">
        <f aca="false">1+IF($G$9=$E$9,$F$9,IF(S411&lt;($F$9-$E$9)/($G$9-$E$9),$E$9+SQRT(S411*($G$9-$E$9)*($F$9-$E$9)),$G$9-SQRT((1-S411)*($G$9-$E$9)*($G$9-$F$9))))</f>
        <v>1.08210538919083</v>
      </c>
      <c r="F411" s="51" t="n">
        <f aca="false">1+IF($G$10=$E$10,$F$10,IF(T411&lt;($F$10-$E$10)/($G$10-$E$10),$E$10+SQRT(T411*($G$10-$E$10)*($F$10-$E$10)),$G$10-SQRT((1-T411)*($G$10-$E$10)*($G$10-$F$10))))</f>
        <v>1.11735390802273</v>
      </c>
      <c r="G411" s="52" t="n">
        <f aca="false">IF($G$11=$E$11,$F$11,IF(U411&lt;($F$11-$E$11)/($G$11-$E$11),$E$11+SQRT(U411*($G$11-$E$11)*($F$11-$E$11)),$G$11-SQRT((1-U411)*($G$11-$E$11)*($G$11-$F$11))))</f>
        <v>0.117101283119775</v>
      </c>
      <c r="H411" s="53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-2234707816.04547</v>
      </c>
      <c r="I411" s="53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-48694939.1827737</v>
      </c>
      <c r="J411" s="53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210942828.83737</v>
      </c>
      <c r="K411" s="53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526448292.25865</v>
      </c>
      <c r="L411" s="53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641475501.637169</v>
      </c>
      <c r="M411" s="53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798122578.515432</v>
      </c>
      <c r="N411" s="53" t="n">
        <f aca="false">IF(COUNT('Business Case'!B11:G11)=0,"",H411+NPV(G411,I411:M411))</f>
        <v>-860922362.045952</v>
      </c>
      <c r="P411" s="54" t="n">
        <f aca="true">RAND()</f>
        <v>0.305877337088202</v>
      </c>
      <c r="Q411" s="54" t="n">
        <f aca="true">RAND()</f>
        <v>0.0301579309632099</v>
      </c>
      <c r="R411" s="54" t="n">
        <f aca="true">RAND()</f>
        <v>0.0128953910642034</v>
      </c>
      <c r="S411" s="54" t="n">
        <f aca="true">RAND()</f>
        <v>0.978652193599219</v>
      </c>
      <c r="T411" s="54" t="n">
        <f aca="true">RAND()</f>
        <v>0.863392469617702</v>
      </c>
      <c r="U411" s="54" t="n">
        <f aca="true">RAND()</f>
        <v>0.985995734080495</v>
      </c>
    </row>
    <row r="412" customFormat="false" ht="15" hidden="false" customHeight="false" outlineLevel="0" collapsed="false">
      <c r="A412" s="50" t="n">
        <v>332</v>
      </c>
      <c r="B412" s="51" t="n">
        <f aca="false">1+IF($G$6=$E$6,$F$6,IF(P412&lt;($F$6-$E$6)/($G$6-$E$6),$E$6+SQRT(P412*($G$6-$E$6)*($F$6-$E$6)),$G$6-SQRT((1-P412)*($G$6-$E$6)*($G$6-$F$6))))</f>
        <v>1.01357858591967</v>
      </c>
      <c r="C412" s="51" t="n">
        <f aca="false">1+IF($G$7=$E$7,$F$7,IF(Q412&lt;($F$7-$E$7)/($G$7-$E$7),$E$7+SQRT(Q412*($G$7-$E$7)*($F$7-$E$7)),$G$7-SQRT((1-Q412)*($G$7-$E$7)*($G$7-$F$7))))</f>
        <v>1.02361015722866</v>
      </c>
      <c r="D412" s="51" t="n">
        <f aca="false">1+IF($G$8=$E$8,$F$8,IF(R412&lt;($F$8-$E$8)/($G$8-$E$8),$E$8+SQRT(R412*($G$8-$E$8)*($F$8-$E$8)),$G$8-SQRT((1-R412)*($G$8-$E$8)*($G$8-$F$8))))</f>
        <v>0.974646882220147</v>
      </c>
      <c r="E412" s="51" t="n">
        <f aca="false">1+IF($G$9=$E$9,$F$9,IF(S412&lt;($F$9-$E$9)/($G$9-$E$9),$E$9+SQRT(S412*($G$9-$E$9)*($F$9-$E$9)),$G$9-SQRT((1-S412)*($G$9-$E$9)*($G$9-$F$9))))</f>
        <v>1.04058325111042</v>
      </c>
      <c r="F412" s="51" t="n">
        <f aca="false">1+IF($G$10=$E$10,$F$10,IF(T412&lt;($F$10-$E$10)/($G$10-$E$10),$E$10+SQRT(T412*($G$10-$E$10)*($F$10-$E$10)),$G$10-SQRT((1-T412)*($G$10-$E$10)*($G$10-$F$10))))</f>
        <v>1.06687665269578</v>
      </c>
      <c r="G412" s="52" t="n">
        <f aca="false">IF($G$11=$E$11,$F$11,IF(U412&lt;($F$11-$E$11)/($G$11-$E$11),$E$11+SQRT(U412*($G$11-$E$11)*($F$11-$E$11)),$G$11-SQRT((1-U412)*($G$11-$E$11)*($G$11-$F$11))))</f>
        <v>0.118993227990361</v>
      </c>
      <c r="H412" s="53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-2133753305.39156</v>
      </c>
      <c r="I412" s="53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30630446.1876277</v>
      </c>
      <c r="J412" s="53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369703979.915259</v>
      </c>
      <c r="K412" s="53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762121346.277679</v>
      </c>
      <c r="L412" s="53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911002180.161905</v>
      </c>
      <c r="M412" s="53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1108211954.69116</v>
      </c>
      <c r="N412" s="53" t="n">
        <f aca="false">IF(COUNT('Business Case'!B11:G11)=0,"",H412+NPV(G412,I412:M412))</f>
        <v>-54487442.6967809</v>
      </c>
      <c r="P412" s="54" t="n">
        <f aca="true">RAND()</f>
        <v>0.854564349582415</v>
      </c>
      <c r="Q412" s="54" t="n">
        <f aca="true">RAND()</f>
        <v>0.695725859890229</v>
      </c>
      <c r="R412" s="54" t="n">
        <f aca="true">RAND()</f>
        <v>0.0934567389498123</v>
      </c>
      <c r="S412" s="54" t="n">
        <f aca="true">RAND()</f>
        <v>0.764643330092819</v>
      </c>
      <c r="T412" s="54" t="n">
        <f aca="true">RAND()</f>
        <v>0.645563488050393</v>
      </c>
      <c r="U412" s="54" t="n">
        <f aca="true">RAND()</f>
        <v>0.998310683534345</v>
      </c>
    </row>
    <row r="413" customFormat="false" ht="15" hidden="false" customHeight="false" outlineLevel="0" collapsed="false">
      <c r="A413" s="50" t="n">
        <v>333</v>
      </c>
      <c r="B413" s="51" t="n">
        <f aca="false">1+IF($G$6=$E$6,$F$6,IF(P413&lt;($F$6-$E$6)/($G$6-$E$6),$E$6+SQRT(P413*($G$6-$E$6)*($F$6-$E$6)),$G$6-SQRT((1-P413)*($G$6-$E$6)*($G$6-$F$6))))</f>
        <v>0.970307304573482</v>
      </c>
      <c r="C413" s="51" t="n">
        <f aca="false">1+IF($G$7=$E$7,$F$7,IF(Q413&lt;($F$7-$E$7)/($G$7-$E$7),$E$7+SQRT(Q413*($G$7-$E$7)*($F$7-$E$7)),$G$7-SQRT((1-Q413)*($G$7-$E$7)*($G$7-$F$7))))</f>
        <v>1.0148878956628</v>
      </c>
      <c r="D413" s="51" t="n">
        <f aca="false">1+IF($G$8=$E$8,$F$8,IF(R413&lt;($F$8-$E$8)/($G$8-$E$8),$E$8+SQRT(R413*($G$8-$E$8)*($F$8-$E$8)),$G$8-SQRT((1-R413)*($G$8-$E$8)*($G$8-$F$8))))</f>
        <v>1.00360511846728</v>
      </c>
      <c r="E413" s="51" t="n">
        <f aca="false">1+IF($G$9=$E$9,$F$9,IF(S413&lt;($F$9-$E$9)/($G$9-$E$9),$E$9+SQRT(S413*($G$9-$E$9)*($F$9-$E$9)),$G$9-SQRT((1-S413)*($G$9-$E$9)*($G$9-$F$9))))</f>
        <v>1.0780394331782</v>
      </c>
      <c r="F413" s="51" t="n">
        <f aca="false">1+IF($G$10=$E$10,$F$10,IF(T413&lt;($F$10-$E$10)/($G$10-$E$10),$E$10+SQRT(T413*($G$10-$E$10)*($F$10-$E$10)),$G$10-SQRT((1-T413)*($G$10-$E$10)*($G$10-$F$10))))</f>
        <v>0.992957580889987</v>
      </c>
      <c r="G413" s="52" t="n">
        <f aca="false">IF($G$11=$E$11,$F$11,IF(U413&lt;($F$11-$E$11)/($G$11-$E$11),$E$11+SQRT(U413*($G$11-$E$11)*($F$11-$E$11)),$G$11-SQRT((1-U413)*($G$11-$E$11)*($G$11-$F$11))))</f>
        <v>0.105551113626786</v>
      </c>
      <c r="H413" s="53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-1985915161.77997</v>
      </c>
      <c r="I413" s="53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-18473265.4259368</v>
      </c>
      <c r="J413" s="53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266696037.334118</v>
      </c>
      <c r="K413" s="53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601513219.138673</v>
      </c>
      <c r="L413" s="53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730602721.85806</v>
      </c>
      <c r="M413" s="53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917784598.421256</v>
      </c>
      <c r="N413" s="53" t="n">
        <f aca="false">IF(COUNT('Business Case'!B11:G11)=0,"",H413+NPV(G413,I413:M413))</f>
        <v>-294497945.217286</v>
      </c>
      <c r="P413" s="54" t="n">
        <f aca="true">RAND()</f>
        <v>0.263627593067616</v>
      </c>
      <c r="Q413" s="54" t="n">
        <f aca="true">RAND()</f>
        <v>0.652280366887131</v>
      </c>
      <c r="R413" s="54" t="n">
        <f aca="true">RAND()</f>
        <v>0.438829045730946</v>
      </c>
      <c r="S413" s="54" t="n">
        <f aca="true">RAND()</f>
        <v>0.967848900324341</v>
      </c>
      <c r="T413" s="54" t="n">
        <f aca="true">RAND()</f>
        <v>0.14762830047358</v>
      </c>
      <c r="U413" s="54" t="n">
        <f aca="true">RAND()</f>
        <v>0.652049470956604</v>
      </c>
    </row>
    <row r="414" customFormat="false" ht="15" hidden="false" customHeight="false" outlineLevel="0" collapsed="false">
      <c r="A414" s="50" t="n">
        <v>334</v>
      </c>
      <c r="B414" s="51" t="n">
        <f aca="false">1+IF($G$6=$E$6,$F$6,IF(P414&lt;($F$6-$E$6)/($G$6-$E$6),$E$6+SQRT(P414*($G$6-$E$6)*($F$6-$E$6)),$G$6-SQRT((1-P414)*($G$6-$E$6)*($G$6-$F$6))))</f>
        <v>0.967048225780728</v>
      </c>
      <c r="C414" s="51" t="n">
        <f aca="false">1+IF($G$7=$E$7,$F$7,IF(Q414&lt;($F$7-$E$7)/($G$7-$E$7),$E$7+SQRT(Q414*($G$7-$E$7)*($F$7-$E$7)),$G$7-SQRT((1-Q414)*($G$7-$E$7)*($G$7-$F$7))))</f>
        <v>1.1156308639923</v>
      </c>
      <c r="D414" s="51" t="n">
        <f aca="false">1+IF($G$8=$E$8,$F$8,IF(R414&lt;($F$8-$E$8)/($G$8-$E$8),$E$8+SQRT(R414*($G$8-$E$8)*($F$8-$E$8)),$G$8-SQRT((1-R414)*($G$8-$E$8)*($G$8-$F$8))))</f>
        <v>1.056468103</v>
      </c>
      <c r="E414" s="51" t="n">
        <f aca="false">1+IF($G$9=$E$9,$F$9,IF(S414&lt;($F$9-$E$9)/($G$9-$E$9),$E$9+SQRT(S414*($G$9-$E$9)*($F$9-$E$9)),$G$9-SQRT((1-S414)*($G$9-$E$9)*($G$9-$F$9))))</f>
        <v>1.06979311403557</v>
      </c>
      <c r="F414" s="51" t="n">
        <f aca="false">1+IF($G$10=$E$10,$F$10,IF(T414&lt;($F$10-$E$10)/($G$10-$E$10),$E$10+SQRT(T414*($G$10-$E$10)*($F$10-$E$10)),$G$10-SQRT((1-T414)*($G$10-$E$10)*($G$10-$F$10))))</f>
        <v>0.99472319606686</v>
      </c>
      <c r="G414" s="52" t="n">
        <f aca="false">IF($G$11=$E$11,$F$11,IF(U414&lt;($F$11-$E$11)/($G$11-$E$11),$E$11+SQRT(U414*($G$11-$E$11)*($F$11-$E$11)),$G$11-SQRT((1-U414)*($G$11-$E$11)*($G$11-$F$11))))</f>
        <v>0.10960216515206</v>
      </c>
      <c r="H414" s="53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-1989446392.13372</v>
      </c>
      <c r="I414" s="53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-27217658.7640168</v>
      </c>
      <c r="J414" s="53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253090143.956686</v>
      </c>
      <c r="K414" s="53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583134106.480731</v>
      </c>
      <c r="L414" s="53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713855748.095748</v>
      </c>
      <c r="M414" s="53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918927138.657055</v>
      </c>
      <c r="N414" s="53" t="n">
        <f aca="false">IF(COUNT('Business Case'!B11:G11)=0,"",H414+NPV(G414,I414:M414))</f>
        <v>-364342708.541784</v>
      </c>
      <c r="P414" s="54" t="n">
        <f aca="true">RAND()</f>
        <v>0.230576619699414</v>
      </c>
      <c r="Q414" s="54" t="n">
        <f aca="true">RAND()</f>
        <v>0.977500237906361</v>
      </c>
      <c r="R414" s="54" t="n">
        <f aca="true">RAND()</f>
        <v>0.946754790728968</v>
      </c>
      <c r="S414" s="54" t="n">
        <f aca="true">RAND()</f>
        <v>0.939169602688814</v>
      </c>
      <c r="T414" s="54" t="n">
        <f aca="true">RAND()</f>
        <v>0.160013141314785</v>
      </c>
      <c r="U414" s="54" t="n">
        <f aca="true">RAND()</f>
        <v>0.819808384124948</v>
      </c>
    </row>
    <row r="415" customFormat="false" ht="15" hidden="false" customHeight="false" outlineLevel="0" collapsed="false">
      <c r="A415" s="50" t="n">
        <v>335</v>
      </c>
      <c r="B415" s="51" t="n">
        <f aca="false">1+IF($G$6=$E$6,$F$6,IF(P415&lt;($F$6-$E$6)/($G$6-$E$6),$E$6+SQRT(P415*($G$6-$E$6)*($F$6-$E$6)),$G$6-SQRT((1-P415)*($G$6-$E$6)*($G$6-$F$6))))</f>
        <v>0.962212115255497</v>
      </c>
      <c r="C415" s="51" t="n">
        <f aca="false">1+IF($G$7=$E$7,$F$7,IF(Q415&lt;($F$7-$E$7)/($G$7-$E$7),$E$7+SQRT(Q415*($G$7-$E$7)*($F$7-$E$7)),$G$7-SQRT((1-Q415)*($G$7-$E$7)*($G$7-$F$7))))</f>
        <v>1.04639060563067</v>
      </c>
      <c r="D415" s="51" t="n">
        <f aca="false">1+IF($G$8=$E$8,$F$8,IF(R415&lt;($F$8-$E$8)/($G$8-$E$8),$E$8+SQRT(R415*($G$8-$E$8)*($F$8-$E$8)),$G$8-SQRT((1-R415)*($G$8-$E$8)*($G$8-$F$8))))</f>
        <v>1.03792716171283</v>
      </c>
      <c r="E415" s="51" t="n">
        <f aca="false">1+IF($G$9=$E$9,$F$9,IF(S415&lt;($F$9-$E$9)/($G$9-$E$9),$E$9+SQRT(S415*($G$9-$E$9)*($F$9-$E$9)),$G$9-SQRT((1-S415)*($G$9-$E$9)*($G$9-$F$9))))</f>
        <v>0.970566173562466</v>
      </c>
      <c r="F415" s="51" t="n">
        <f aca="false">1+IF($G$10=$E$10,$F$10,IF(T415&lt;($F$10-$E$10)/($G$10-$E$10),$E$10+SQRT(T415*($G$10-$E$10)*($F$10-$E$10)),$G$10-SQRT((1-T415)*($G$10-$E$10)*($G$10-$F$10))))</f>
        <v>0.965162031613502</v>
      </c>
      <c r="G415" s="52" t="n">
        <f aca="false">IF($G$11=$E$11,$F$11,IF(U415&lt;($F$11-$E$11)/($G$11-$E$11),$E$11+SQRT(U415*($G$11-$E$11)*($F$11-$E$11)),$G$11-SQRT((1-U415)*($G$11-$E$11)*($G$11-$F$11))))</f>
        <v>0.103330956032889</v>
      </c>
      <c r="H415" s="53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-1930324063.227</v>
      </c>
      <c r="I415" s="53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-18028046.4506019</v>
      </c>
      <c r="J415" s="53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250669709.523268</v>
      </c>
      <c r="K415" s="53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567625567.077813</v>
      </c>
      <c r="L415" s="53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691988211.990796</v>
      </c>
      <c r="M415" s="53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883370206.393438</v>
      </c>
      <c r="N415" s="53" t="n">
        <f aca="false">IF(COUNT('Business Case'!B11:G11)=0,"",H415+NPV(G415,I415:M415))</f>
        <v>-310903933.613548</v>
      </c>
      <c r="P415" s="54" t="n">
        <f aca="true">RAND()</f>
        <v>0.185610695244098</v>
      </c>
      <c r="Q415" s="54" t="n">
        <f aca="true">RAND()</f>
        <v>0.795525588541355</v>
      </c>
      <c r="R415" s="54" t="n">
        <f aca="true">RAND()</f>
        <v>0.829795796005962</v>
      </c>
      <c r="S415" s="54" t="n">
        <f aca="true">RAND()</f>
        <v>0.0563956660001962</v>
      </c>
      <c r="T415" s="54" t="n">
        <f aca="true">RAND()</f>
        <v>0.0183909762119074</v>
      </c>
      <c r="U415" s="54" t="n">
        <f aca="true">RAND()</f>
        <v>0.536904955370857</v>
      </c>
    </row>
    <row r="416" customFormat="false" ht="15" hidden="false" customHeight="false" outlineLevel="0" collapsed="false">
      <c r="A416" s="50" t="n">
        <v>336</v>
      </c>
      <c r="B416" s="51" t="n">
        <f aca="false">1+IF($G$6=$E$6,$F$6,IF(P416&lt;($F$6-$E$6)/($G$6-$E$6),$E$6+SQRT(P416*($G$6-$E$6)*($F$6-$E$6)),$G$6-SQRT((1-P416)*($G$6-$E$6)*($G$6-$F$6))))</f>
        <v>0.992543841884842</v>
      </c>
      <c r="C416" s="51" t="n">
        <f aca="false">1+IF($G$7=$E$7,$F$7,IF(Q416&lt;($F$7-$E$7)/($G$7-$E$7),$E$7+SQRT(Q416*($G$7-$E$7)*($F$7-$E$7)),$G$7-SQRT((1-Q416)*($G$7-$E$7)*($G$7-$F$7))))</f>
        <v>0.917751718691842</v>
      </c>
      <c r="D416" s="51" t="n">
        <f aca="false">1+IF($G$8=$E$8,$F$8,IF(R416&lt;($F$8-$E$8)/($G$8-$E$8),$E$8+SQRT(R416*($G$8-$E$8)*($F$8-$E$8)),$G$8-SQRT((1-R416)*($G$8-$E$8)*($G$8-$F$8))))</f>
        <v>1.02147141767425</v>
      </c>
      <c r="E416" s="51" t="n">
        <f aca="false">1+IF($G$9=$E$9,$F$9,IF(S416&lt;($F$9-$E$9)/($G$9-$E$9),$E$9+SQRT(S416*($G$9-$E$9)*($F$9-$E$9)),$G$9-SQRT((1-S416)*($G$9-$E$9)*($G$9-$F$9))))</f>
        <v>0.966824888033633</v>
      </c>
      <c r="F416" s="51" t="n">
        <f aca="false">1+IF($G$10=$E$10,$F$10,IF(T416&lt;($F$10-$E$10)/($G$10-$E$10),$E$10+SQRT(T416*($G$10-$E$10)*($F$10-$E$10)),$G$10-SQRT((1-T416)*($G$10-$E$10)*($G$10-$F$10))))</f>
        <v>1.16552304539208</v>
      </c>
      <c r="G416" s="52" t="n">
        <f aca="false">IF($G$11=$E$11,$F$11,IF(U416&lt;($F$11-$E$11)/($G$11-$E$11),$E$11+SQRT(U416*($G$11-$E$11)*($F$11-$E$11)),$G$11-SQRT((1-U416)*($G$11-$E$11)*($G$11-$F$11))))</f>
        <v>0.119175227252451</v>
      </c>
      <c r="H416" s="53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-2331046090.78415</v>
      </c>
      <c r="I416" s="53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-35059474.1125653</v>
      </c>
      <c r="J416" s="53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231137368.453652</v>
      </c>
      <c r="K416" s="53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555610363.289473</v>
      </c>
      <c r="L416" s="53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675823652.852339</v>
      </c>
      <c r="M416" s="53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848969200.743376</v>
      </c>
      <c r="N416" s="53" t="n">
        <f aca="false">IF(COUNT('Business Case'!B11:G11)=0,"",H416+NPV(G416,I416:M416))</f>
        <v>-867220630.774735</v>
      </c>
      <c r="P416" s="54" t="n">
        <f aca="true">RAND()</f>
        <v>0.548188437022181</v>
      </c>
      <c r="Q416" s="54" t="n">
        <f aca="true">RAND()</f>
        <v>0.198078103641182</v>
      </c>
      <c r="R416" s="54" t="n">
        <f aca="true">RAND()</f>
        <v>0.670615870282436</v>
      </c>
      <c r="S416" s="54" t="n">
        <f aca="true">RAND()</f>
        <v>0.0377435809792368</v>
      </c>
      <c r="T416" s="54" t="n">
        <f aca="true">RAND()</f>
        <v>0.976226792019265</v>
      </c>
      <c r="U416" s="54" t="n">
        <f aca="true">RAND()</f>
        <v>0.998866249858167</v>
      </c>
    </row>
    <row r="417" customFormat="false" ht="15" hidden="false" customHeight="false" outlineLevel="0" collapsed="false">
      <c r="A417" s="50" t="n">
        <v>337</v>
      </c>
      <c r="B417" s="51" t="n">
        <f aca="false">1+IF($G$6=$E$6,$F$6,IF(P417&lt;($F$6-$E$6)/($G$6-$E$6),$E$6+SQRT(P417*($G$6-$E$6)*($F$6-$E$6)),$G$6-SQRT((1-P417)*($G$6-$E$6)*($G$6-$F$6))))</f>
        <v>0.959587051019417</v>
      </c>
      <c r="C417" s="51" t="n">
        <f aca="false">1+IF($G$7=$E$7,$F$7,IF(Q417&lt;($F$7-$E$7)/($G$7-$E$7),$E$7+SQRT(Q417*($G$7-$E$7)*($F$7-$E$7)),$G$7-SQRT((1-Q417)*($G$7-$E$7)*($G$7-$F$7))))</f>
        <v>0.892452943886036</v>
      </c>
      <c r="D417" s="51" t="n">
        <f aca="false">1+IF($G$8=$E$8,$F$8,IF(R417&lt;($F$8-$E$8)/($G$8-$E$8),$E$8+SQRT(R417*($G$8-$E$8)*($F$8-$E$8)),$G$8-SQRT((1-R417)*($G$8-$E$8)*($G$8-$F$8))))</f>
        <v>0.964139690368973</v>
      </c>
      <c r="E417" s="51" t="n">
        <f aca="false">1+IF($G$9=$E$9,$F$9,IF(S417&lt;($F$9-$E$9)/($G$9-$E$9),$E$9+SQRT(S417*($G$9-$E$9)*($F$9-$E$9)),$G$9-SQRT((1-S417)*($G$9-$E$9)*($G$9-$F$9))))</f>
        <v>0.979452216236619</v>
      </c>
      <c r="F417" s="51" t="n">
        <f aca="false">1+IF($G$10=$E$10,$F$10,IF(T417&lt;($F$10-$E$10)/($G$10-$E$10),$E$10+SQRT(T417*($G$10-$E$10)*($F$10-$E$10)),$G$10-SQRT((1-T417)*($G$10-$E$10)*($G$10-$F$10))))</f>
        <v>1.08450662461906</v>
      </c>
      <c r="G417" s="52" t="n">
        <f aca="false">IF($G$11=$E$11,$F$11,IF(U417&lt;($F$11-$E$11)/($G$11-$E$11),$E$11+SQRT(U417*($G$11-$E$11)*($F$11-$E$11)),$G$11-SQRT((1-U417)*($G$11-$E$11)*($G$11-$F$11))))</f>
        <v>0.117045845487902</v>
      </c>
      <c r="H417" s="53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-2169013249.23813</v>
      </c>
      <c r="I417" s="53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-31163010.8467749</v>
      </c>
      <c r="J417" s="53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229797811.118083</v>
      </c>
      <c r="K417" s="53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544983964.313893</v>
      </c>
      <c r="L417" s="53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661567615.102765</v>
      </c>
      <c r="M417" s="53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824349520.839321</v>
      </c>
      <c r="N417" s="53" t="n">
        <f aca="false">IF(COUNT('Business Case'!B11:G11)=0,"",H417+NPV(G417,I417:M417))</f>
        <v>-722873240.84956</v>
      </c>
      <c r="P417" s="54" t="n">
        <f aca="true">RAND()</f>
        <v>0.163243188376454</v>
      </c>
      <c r="Q417" s="54" t="n">
        <f aca="true">RAND()</f>
        <v>0.122107811902779</v>
      </c>
      <c r="R417" s="54" t="n">
        <f aca="true">RAND()</f>
        <v>0.0307585913431418</v>
      </c>
      <c r="S417" s="54" t="n">
        <f aca="true">RAND()</f>
        <v>0.115657738833139</v>
      </c>
      <c r="T417" s="54" t="n">
        <f aca="true">RAND()</f>
        <v>0.733225604862361</v>
      </c>
      <c r="U417" s="54" t="n">
        <f aca="true">RAND()</f>
        <v>0.985454951864418</v>
      </c>
    </row>
    <row r="418" customFormat="false" ht="15" hidden="false" customHeight="false" outlineLevel="0" collapsed="false">
      <c r="A418" s="50" t="n">
        <v>338</v>
      </c>
      <c r="B418" s="51" t="n">
        <f aca="false">1+IF($G$6=$E$6,$F$6,IF(P418&lt;($F$6-$E$6)/($G$6-$E$6),$E$6+SQRT(P418*($G$6-$E$6)*($F$6-$E$6)),$G$6-SQRT((1-P418)*($G$6-$E$6)*($G$6-$F$6))))</f>
        <v>0.989871896084694</v>
      </c>
      <c r="C418" s="51" t="n">
        <f aca="false">1+IF($G$7=$E$7,$F$7,IF(Q418&lt;($F$7-$E$7)/($G$7-$E$7),$E$7+SQRT(Q418*($G$7-$E$7)*($F$7-$E$7)),$G$7-SQRT((1-Q418)*($G$7-$E$7)*($G$7-$F$7))))</f>
        <v>0.930794059109954</v>
      </c>
      <c r="D418" s="51" t="n">
        <f aca="false">1+IF($G$8=$E$8,$F$8,IF(R418&lt;($F$8-$E$8)/($G$8-$E$8),$E$8+SQRT(R418*($G$8-$E$8)*($F$8-$E$8)),$G$8-SQRT((1-R418)*($G$8-$E$8)*($G$8-$F$8))))</f>
        <v>1.02348741420392</v>
      </c>
      <c r="E418" s="51" t="n">
        <f aca="false">1+IF($G$9=$E$9,$F$9,IF(S418&lt;($F$9-$E$9)/($G$9-$E$9),$E$9+SQRT(S418*($G$9-$E$9)*($F$9-$E$9)),$G$9-SQRT((1-S418)*($G$9-$E$9)*($G$9-$F$9))))</f>
        <v>0.993485549997702</v>
      </c>
      <c r="F418" s="51" t="n">
        <f aca="false">1+IF($G$10=$E$10,$F$10,IF(T418&lt;($F$10-$E$10)/($G$10-$E$10),$E$10+SQRT(T418*($G$10-$E$10)*($F$10-$E$10)),$G$10-SQRT((1-T418)*($G$10-$E$10)*($G$10-$F$10))))</f>
        <v>1.11728496555355</v>
      </c>
      <c r="G418" s="52" t="n">
        <f aca="false">IF($G$11=$E$11,$F$11,IF(U418&lt;($F$11-$E$11)/($G$11-$E$11),$E$11+SQRT(U418*($G$11-$E$11)*($F$11-$E$11)),$G$11-SQRT((1-U418)*($G$11-$E$11)*($G$11-$F$11))))</f>
        <v>0.106388351340458</v>
      </c>
      <c r="H418" s="53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-2234569931.10711</v>
      </c>
      <c r="I418" s="53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-33783649.5031425</v>
      </c>
      <c r="J418" s="53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233198501.826007</v>
      </c>
      <c r="K418" s="53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556044901.432833</v>
      </c>
      <c r="L418" s="53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676881391.254058</v>
      </c>
      <c r="M418" s="53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852014807.834023</v>
      </c>
      <c r="N418" s="53" t="n">
        <f aca="false">IF(COUNT('Business Case'!B11:G11)=0,"",H418+NPV(G418,I418:M418))</f>
        <v>-698358746.914142</v>
      </c>
      <c r="P418" s="54" t="n">
        <f aca="true">RAND()</f>
        <v>0.50855019400732</v>
      </c>
      <c r="Q418" s="54" t="n">
        <f aca="true">RAND()</f>
        <v>0.244386941406545</v>
      </c>
      <c r="R418" s="54" t="n">
        <f aca="true">RAND()</f>
        <v>0.692916119869278</v>
      </c>
      <c r="S418" s="54" t="n">
        <f aca="true">RAND()</f>
        <v>0.252132407813688</v>
      </c>
      <c r="T418" s="54" t="n">
        <f aca="true">RAND()</f>
        <v>0.86316446153046</v>
      </c>
      <c r="U418" s="54" t="n">
        <f aca="true">RAND()</f>
        <v>0.691205034615307</v>
      </c>
    </row>
    <row r="419" customFormat="false" ht="15" hidden="false" customHeight="false" outlineLevel="0" collapsed="false">
      <c r="A419" s="50" t="n">
        <v>339</v>
      </c>
      <c r="B419" s="51" t="n">
        <f aca="false">1+IF($G$6=$E$6,$F$6,IF(P419&lt;($F$6-$E$6)/($G$6-$E$6),$E$6+SQRT(P419*($G$6-$E$6)*($F$6-$E$6)),$G$6-SQRT((1-P419)*($G$6-$E$6)*($G$6-$F$6))))</f>
        <v>0.994713547145725</v>
      </c>
      <c r="C419" s="51" t="n">
        <f aca="false">1+IF($G$7=$E$7,$F$7,IF(Q419&lt;($F$7-$E$7)/($G$7-$E$7),$E$7+SQRT(Q419*($G$7-$E$7)*($F$7-$E$7)),$G$7-SQRT((1-Q419)*($G$7-$E$7)*($G$7-$F$7))))</f>
        <v>0.934416648150297</v>
      </c>
      <c r="D419" s="51" t="n">
        <f aca="false">1+IF($G$8=$E$8,$F$8,IF(R419&lt;($F$8-$E$8)/($G$8-$E$8),$E$8+SQRT(R419*($G$8-$E$8)*($F$8-$E$8)),$G$8-SQRT((1-R419)*($G$8-$E$8)*($G$8-$F$8))))</f>
        <v>1.04907541477391</v>
      </c>
      <c r="E419" s="51" t="n">
        <f aca="false">1+IF($G$9=$E$9,$F$9,IF(S419&lt;($F$9-$E$9)/($G$9-$E$9),$E$9+SQRT(S419*($G$9-$E$9)*($F$9-$E$9)),$G$9-SQRT((1-S419)*($G$9-$E$9)*($G$9-$F$9))))</f>
        <v>1.03590382827555</v>
      </c>
      <c r="F419" s="51" t="n">
        <f aca="false">1+IF($G$10=$E$10,$F$10,IF(T419&lt;($F$10-$E$10)/($G$10-$E$10),$E$10+SQRT(T419*($G$10-$E$10)*($F$10-$E$10)),$G$10-SQRT((1-T419)*($G$10-$E$10)*($G$10-$F$10))))</f>
        <v>1.09289519931514</v>
      </c>
      <c r="G419" s="52" t="n">
        <f aca="false">IF($G$11=$E$11,$F$11,IF(U419&lt;($F$11-$E$11)/($G$11-$E$11),$E$11+SQRT(U419*($G$11-$E$11)*($F$11-$E$11)),$G$11-SQRT((1-U419)*($G$11-$E$11)*($G$11-$F$11))))</f>
        <v>0.0935424573141009</v>
      </c>
      <c r="H419" s="53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-2185790398.63029</v>
      </c>
      <c r="I419" s="53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-45292251.3256336</v>
      </c>
      <c r="J419" s="53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214194624.084123</v>
      </c>
      <c r="K419" s="53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528326259.459636</v>
      </c>
      <c r="L419" s="53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646944606.211616</v>
      </c>
      <c r="M419" s="53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823619575.096288</v>
      </c>
      <c r="N419" s="53" t="n">
        <f aca="false">IF(COUNT('Business Case'!B11:G11)=0,"",H419+NPV(G419,I419:M419))</f>
        <v>-664994305.122888</v>
      </c>
      <c r="P419" s="54" t="n">
        <f aca="true">RAND()</f>
        <v>0.581470221572541</v>
      </c>
      <c r="Q419" s="54" t="n">
        <f aca="true">RAND()</f>
        <v>0.258111932856581</v>
      </c>
      <c r="R419" s="54" t="n">
        <f aca="true">RAND()</f>
        <v>0.908045195057153</v>
      </c>
      <c r="S419" s="54" t="n">
        <f aca="true">RAND()</f>
        <v>0.726112051351319</v>
      </c>
      <c r="T419" s="54" t="n">
        <f aca="true">RAND()</f>
        <v>0.770571233405145</v>
      </c>
      <c r="U419" s="54" t="n">
        <f aca="true">RAND()</f>
        <v>0.0418300127407565</v>
      </c>
    </row>
    <row r="420" customFormat="false" ht="15" hidden="false" customHeight="false" outlineLevel="0" collapsed="false">
      <c r="A420" s="50" t="n">
        <v>340</v>
      </c>
      <c r="B420" s="51" t="n">
        <f aca="false">1+IF($G$6=$E$6,$F$6,IF(P420&lt;($F$6-$E$6)/($G$6-$E$6),$E$6+SQRT(P420*($G$6-$E$6)*($F$6-$E$6)),$G$6-SQRT((1-P420)*($G$6-$E$6)*($G$6-$F$6))))</f>
        <v>0.983554383196599</v>
      </c>
      <c r="C420" s="51" t="n">
        <f aca="false">1+IF($G$7=$E$7,$F$7,IF(Q420&lt;($F$7-$E$7)/($G$7-$E$7),$E$7+SQRT(Q420*($G$7-$E$7)*($F$7-$E$7)),$G$7-SQRT((1-Q420)*($G$7-$E$7)*($G$7-$F$7))))</f>
        <v>0.998592031688361</v>
      </c>
      <c r="D420" s="51" t="n">
        <f aca="false">1+IF($G$8=$E$8,$F$8,IF(R420&lt;($F$8-$E$8)/($G$8-$E$8),$E$8+SQRT(R420*($G$8-$E$8)*($F$8-$E$8)),$G$8-SQRT((1-R420)*($G$8-$E$8)*($G$8-$F$8))))</f>
        <v>1.01121960980469</v>
      </c>
      <c r="E420" s="51" t="n">
        <f aca="false">1+IF($G$9=$E$9,$F$9,IF(S420&lt;($F$9-$E$9)/($G$9-$E$9),$E$9+SQRT(S420*($G$9-$E$9)*($F$9-$E$9)),$G$9-SQRT((1-S420)*($G$9-$E$9)*($G$9-$F$9))))</f>
        <v>1.09116261815266</v>
      </c>
      <c r="F420" s="51" t="n">
        <f aca="false">1+IF($G$10=$E$10,$F$10,IF(T420&lt;($F$10-$E$10)/($G$10-$E$10),$E$10+SQRT(T420*($G$10-$E$10)*($F$10-$E$10)),$G$10-SQRT((1-T420)*($G$10-$E$10)*($G$10-$F$10))))</f>
        <v>1.15088282165841</v>
      </c>
      <c r="G420" s="52" t="n">
        <f aca="false">IF($G$11=$E$11,$F$11,IF(U420&lt;($F$11-$E$11)/($G$11-$E$11),$E$11+SQRT(U420*($G$11-$E$11)*($F$11-$E$11)),$G$11-SQRT((1-U420)*($G$11-$E$11)*($G$11-$F$11))))</f>
        <v>0.0980069620243701</v>
      </c>
      <c r="H420" s="53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-2301765643.31683</v>
      </c>
      <c r="I420" s="53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-33634371.8833468</v>
      </c>
      <c r="J420" s="53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253898533.198487</v>
      </c>
      <c r="K420" s="53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598975579.363242</v>
      </c>
      <c r="L420" s="53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728763661.389208</v>
      </c>
      <c r="M420" s="53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915454453.215326</v>
      </c>
      <c r="N420" s="53" t="n">
        <f aca="false">IF(COUNT('Business Case'!B11:G11)=0,"",H420+NPV(G420,I420:M420))</f>
        <v>-594345649.486717</v>
      </c>
      <c r="P420" s="54" t="n">
        <f aca="true">RAND()</f>
        <v>0.420745794114602</v>
      </c>
      <c r="Q420" s="54" t="n">
        <f aca="true">RAND()</f>
        <v>0.563411357858729</v>
      </c>
      <c r="R420" s="54" t="n">
        <f aca="true">RAND()</f>
        <v>0.545120954286599</v>
      </c>
      <c r="S420" s="54" t="n">
        <f aca="true">RAND()</f>
        <v>0.994793378805615</v>
      </c>
      <c r="T420" s="54" t="n">
        <f aca="true">RAND()</f>
        <v>0.951750055835214</v>
      </c>
      <c r="U420" s="54" t="n">
        <f aca="true">RAND()</f>
        <v>0.213704802865682</v>
      </c>
    </row>
    <row r="421" customFormat="false" ht="15" hidden="false" customHeight="false" outlineLevel="0" collapsed="false">
      <c r="A421" s="50" t="n">
        <v>341</v>
      </c>
      <c r="B421" s="51" t="n">
        <f aca="false">1+IF($G$6=$E$6,$F$6,IF(P421&lt;($F$6-$E$6)/($G$6-$E$6),$E$6+SQRT(P421*($G$6-$E$6)*($F$6-$E$6)),$G$6-SQRT((1-P421)*($G$6-$E$6)*($G$6-$F$6))))</f>
        <v>0.997112612372957</v>
      </c>
      <c r="C421" s="51" t="n">
        <f aca="false">1+IF($G$7=$E$7,$F$7,IF(Q421&lt;($F$7-$E$7)/($G$7-$E$7),$E$7+SQRT(Q421*($G$7-$E$7)*($F$7-$E$7)),$G$7-SQRT((1-Q421)*($G$7-$E$7)*($G$7-$F$7))))</f>
        <v>1.10873624530116</v>
      </c>
      <c r="D421" s="51" t="n">
        <f aca="false">1+IF($G$8=$E$8,$F$8,IF(R421&lt;($F$8-$E$8)/($G$8-$E$8),$E$8+SQRT(R421*($G$8-$E$8)*($F$8-$E$8)),$G$8-SQRT((1-R421)*($G$8-$E$8)*($G$8-$F$8))))</f>
        <v>1.0026550990921</v>
      </c>
      <c r="E421" s="51" t="n">
        <f aca="false">1+IF($G$9=$E$9,$F$9,IF(S421&lt;($F$9-$E$9)/($G$9-$E$9),$E$9+SQRT(S421*($G$9-$E$9)*($F$9-$E$9)),$G$9-SQRT((1-S421)*($G$9-$E$9)*($G$9-$F$9))))</f>
        <v>1.03934647938795</v>
      </c>
      <c r="F421" s="51" t="n">
        <f aca="false">1+IF($G$10=$E$10,$F$10,IF(T421&lt;($F$10-$E$10)/($G$10-$E$10),$E$10+SQRT(T421*($G$10-$E$10)*($F$10-$E$10)),$G$10-SQRT((1-T421)*($G$10-$E$10)*($G$10-$F$10))))</f>
        <v>1.1372050430367</v>
      </c>
      <c r="G421" s="52" t="n">
        <f aca="false">IF($G$11=$E$11,$F$11,IF(U421&lt;($F$11-$E$11)/($G$11-$E$11),$E$11+SQRT(U421*($G$11-$E$11)*($F$11-$E$11)),$G$11-SQRT((1-U421)*($G$11-$E$11)*($G$11-$F$11))))</f>
        <v>0.0999612343850709</v>
      </c>
      <c r="H421" s="53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-2274410086.0734</v>
      </c>
      <c r="I421" s="53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17594922.9646078</v>
      </c>
      <c r="J421" s="53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354016348.506025</v>
      </c>
      <c r="K421" s="53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747298026.199277</v>
      </c>
      <c r="L421" s="53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897645787.315865</v>
      </c>
      <c r="M421" s="53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1107785859.9645</v>
      </c>
      <c r="N421" s="53" t="n">
        <f aca="false">IF(COUNT('Business Case'!B11:G11)=0,"",H421+NPV(G421,I421:M421))</f>
        <v>-103142925.217575</v>
      </c>
      <c r="P421" s="54" t="n">
        <f aca="true">RAND()</f>
        <v>0.619411977810623</v>
      </c>
      <c r="Q421" s="54" t="n">
        <f aca="true">RAND()</f>
        <v>0.967567667583883</v>
      </c>
      <c r="R421" s="54" t="n">
        <f aca="true">RAND()</f>
        <v>0.42478522149492</v>
      </c>
      <c r="S421" s="54" t="n">
        <f aca="true">RAND()</f>
        <v>0.754743362490902</v>
      </c>
      <c r="T421" s="54" t="n">
        <f aca="true">RAND()</f>
        <v>0.92113586759954</v>
      </c>
      <c r="U421" s="54" t="n">
        <f aca="true">RAND()</f>
        <v>0.330753968247732</v>
      </c>
    </row>
    <row r="422" customFormat="false" ht="15" hidden="false" customHeight="false" outlineLevel="0" collapsed="false">
      <c r="A422" s="50" t="n">
        <v>342</v>
      </c>
      <c r="B422" s="51" t="n">
        <f aca="false">1+IF($G$6=$E$6,$F$6,IF(P422&lt;($F$6-$E$6)/($G$6-$E$6),$E$6+SQRT(P422*($G$6-$E$6)*($F$6-$E$6)),$G$6-SQRT((1-P422)*($G$6-$E$6)*($G$6-$F$6))))</f>
        <v>1.00633224662401</v>
      </c>
      <c r="C422" s="51" t="n">
        <f aca="false">1+IF($G$7=$E$7,$F$7,IF(Q422&lt;($F$7-$E$7)/($G$7-$E$7),$E$7+SQRT(Q422*($G$7-$E$7)*($F$7-$E$7)),$G$7-SQRT((1-Q422)*($G$7-$E$7)*($G$7-$F$7))))</f>
        <v>0.881345941333521</v>
      </c>
      <c r="D422" s="51" t="n">
        <f aca="false">1+IF($G$8=$E$8,$F$8,IF(R422&lt;($F$8-$E$8)/($G$8-$E$8),$E$8+SQRT(R422*($G$8-$E$8)*($F$8-$E$8)),$G$8-SQRT((1-R422)*($G$8-$E$8)*($G$8-$F$8))))</f>
        <v>0.990869692008461</v>
      </c>
      <c r="E422" s="51" t="n">
        <f aca="false">1+IF($G$9=$E$9,$F$9,IF(S422&lt;($F$9-$E$9)/($G$9-$E$9),$E$9+SQRT(S422*($G$9-$E$9)*($F$9-$E$9)),$G$9-SQRT((1-S422)*($G$9-$E$9)*($G$9-$F$9))))</f>
        <v>0.963404631730639</v>
      </c>
      <c r="F422" s="51" t="n">
        <f aca="false">1+IF($G$10=$E$10,$F$10,IF(T422&lt;($F$10-$E$10)/($G$10-$E$10),$E$10+SQRT(T422*($G$10-$E$10)*($F$10-$E$10)),$G$10-SQRT((1-T422)*($G$10-$E$10)*($G$10-$F$10))))</f>
        <v>1.0006350773482</v>
      </c>
      <c r="G422" s="52" t="n">
        <f aca="false">IF($G$11=$E$11,$F$11,IF(U422&lt;($F$11-$E$11)/($G$11-$E$11),$E$11+SQRT(U422*($G$11-$E$11)*($F$11-$E$11)),$G$11-SQRT((1-U422)*($G$11-$E$11)*($G$11-$F$11))))</f>
        <v>0.0992858665988773</v>
      </c>
      <c r="H422" s="53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-2001270154.69639</v>
      </c>
      <c r="I422" s="53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-3640206.72292177</v>
      </c>
      <c r="J422" s="53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275757520.368628</v>
      </c>
      <c r="K422" s="53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605187001.327587</v>
      </c>
      <c r="L422" s="53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728971768.656473</v>
      </c>
      <c r="M422" s="53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897558822.630841</v>
      </c>
      <c r="N422" s="53" t="n">
        <f aca="false">IF(COUNT('Business Case'!B11:G11)=0,"",H422+NPV(G422,I422:M422))</f>
        <v>-262495336.886627</v>
      </c>
      <c r="P422" s="54" t="n">
        <f aca="true">RAND()</f>
        <v>0.76385049637781</v>
      </c>
      <c r="Q422" s="54" t="n">
        <f aca="true">RAND()</f>
        <v>0.094530888163381</v>
      </c>
      <c r="R422" s="54" t="n">
        <f aca="true">RAND()</f>
        <v>0.256974111517917</v>
      </c>
      <c r="S422" s="54" t="n">
        <f aca="true">RAND()</f>
        <v>0.0239578869112064</v>
      </c>
      <c r="T422" s="54" t="n">
        <f aca="true">RAND()</f>
        <v>0.205072552320798</v>
      </c>
      <c r="U422" s="54" t="n">
        <f aca="true">RAND()</f>
        <v>0.287424394973814</v>
      </c>
    </row>
    <row r="423" customFormat="false" ht="15" hidden="false" customHeight="false" outlineLevel="0" collapsed="false">
      <c r="A423" s="50" t="n">
        <v>343</v>
      </c>
      <c r="B423" s="51" t="n">
        <f aca="false">1+IF($G$6=$E$6,$F$6,IF(P423&lt;($F$6-$E$6)/($G$6-$E$6),$E$6+SQRT(P423*($G$6-$E$6)*($F$6-$E$6)),$G$6-SQRT((1-P423)*($G$6-$E$6)*($G$6-$F$6))))</f>
        <v>0.974714647074789</v>
      </c>
      <c r="C423" s="51" t="n">
        <f aca="false">1+IF($G$7=$E$7,$F$7,IF(Q423&lt;($F$7-$E$7)/($G$7-$E$7),$E$7+SQRT(Q423*($G$7-$E$7)*($F$7-$E$7)),$G$7-SQRT((1-Q423)*($G$7-$E$7)*($G$7-$F$7))))</f>
        <v>1.05461036590739</v>
      </c>
      <c r="D423" s="51" t="n">
        <f aca="false">1+IF($G$8=$E$8,$F$8,IF(R423&lt;($F$8-$E$8)/($G$8-$E$8),$E$8+SQRT(R423*($G$8-$E$8)*($F$8-$E$8)),$G$8-SQRT((1-R423)*($G$8-$E$8)*($G$8-$F$8))))</f>
        <v>1.01976607800698</v>
      </c>
      <c r="E423" s="51" t="n">
        <f aca="false">1+IF($G$9=$E$9,$F$9,IF(S423&lt;($F$9-$E$9)/($G$9-$E$9),$E$9+SQRT(S423*($G$9-$E$9)*($F$9-$E$9)),$G$9-SQRT((1-S423)*($G$9-$E$9)*($G$9-$F$9))))</f>
        <v>1.02552113464194</v>
      </c>
      <c r="F423" s="51" t="n">
        <f aca="false">1+IF($G$10=$E$10,$F$10,IF(T423&lt;($F$10-$E$10)/($G$10-$E$10),$E$10+SQRT(T423*($G$10-$E$10)*($F$10-$E$10)),$G$10-SQRT((1-T423)*($G$10-$E$10)*($G$10-$F$10))))</f>
        <v>1.04304803648458</v>
      </c>
      <c r="G423" s="52" t="n">
        <f aca="false">IF($G$11=$E$11,$F$11,IF(U423&lt;($F$11-$E$11)/($G$11-$E$11),$E$11+SQRT(U423*($G$11-$E$11)*($F$11-$E$11)),$G$11-SQRT((1-U423)*($G$11-$E$11)*($G$11-$F$11))))</f>
        <v>0.0979536848082274</v>
      </c>
      <c r="H423" s="53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-2086096072.96915</v>
      </c>
      <c r="I423" s="53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-12009619.4748298</v>
      </c>
      <c r="J423" s="53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279403295.84914</v>
      </c>
      <c r="K423" s="53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622968612.997339</v>
      </c>
      <c r="L423" s="53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755632001.974834</v>
      </c>
      <c r="M423" s="53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951023629.923782</v>
      </c>
      <c r="N423" s="53" t="n">
        <f aca="false">IF(COUNT('Business Case'!B11:G11)=0,"",H423+NPV(G423,I423:M423))</f>
        <v>-278594117.275628</v>
      </c>
      <c r="P423" s="54" t="n">
        <f aca="true">RAND()</f>
        <v>0.311842979637368</v>
      </c>
      <c r="Q423" s="54" t="n">
        <f aca="true">RAND()</f>
        <v>0.826682242051017</v>
      </c>
      <c r="R423" s="54" t="n">
        <f aca="true">RAND()</f>
        <v>0.65114179243645</v>
      </c>
      <c r="S423" s="54" t="n">
        <f aca="true">RAND()</f>
        <v>0.630193240998352</v>
      </c>
      <c r="T423" s="54" t="n">
        <f aca="true">RAND()</f>
        <v>0.507321622973068</v>
      </c>
      <c r="U423" s="54" t="n">
        <f aca="true">RAND()</f>
        <v>0.210870340095425</v>
      </c>
    </row>
    <row r="424" customFormat="false" ht="15" hidden="false" customHeight="false" outlineLevel="0" collapsed="false">
      <c r="A424" s="50" t="n">
        <v>344</v>
      </c>
      <c r="B424" s="51" t="n">
        <f aca="false">1+IF($G$6=$E$6,$F$6,IF(P424&lt;($F$6-$E$6)/($G$6-$E$6),$E$6+SQRT(P424*($G$6-$E$6)*($F$6-$E$6)),$G$6-SQRT((1-P424)*($G$6-$E$6)*($G$6-$F$6))))</f>
        <v>0.938382409327268</v>
      </c>
      <c r="C424" s="51" t="n">
        <f aca="false">1+IF($G$7=$E$7,$F$7,IF(Q424&lt;($F$7-$E$7)/($G$7-$E$7),$E$7+SQRT(Q424*($G$7-$E$7)*($F$7-$E$7)),$G$7-SQRT((1-Q424)*($G$7-$E$7)*($G$7-$F$7))))</f>
        <v>1.05083150499348</v>
      </c>
      <c r="D424" s="51" t="n">
        <f aca="false">1+IF($G$8=$E$8,$F$8,IF(R424&lt;($F$8-$E$8)/($G$8-$E$8),$E$8+SQRT(R424*($G$8-$E$8)*($F$8-$E$8)),$G$8-SQRT((1-R424)*($G$8-$E$8)*($G$8-$F$8))))</f>
        <v>1.02463842025709</v>
      </c>
      <c r="E424" s="51" t="n">
        <f aca="false">1+IF($G$9=$E$9,$F$9,IF(S424&lt;($F$9-$E$9)/($G$9-$E$9),$E$9+SQRT(S424*($G$9-$E$9)*($F$9-$E$9)),$G$9-SQRT((1-S424)*($G$9-$E$9)*($G$9-$F$9))))</f>
        <v>0.989730312663877</v>
      </c>
      <c r="F424" s="51" t="n">
        <f aca="false">1+IF($G$10=$E$10,$F$10,IF(T424&lt;($F$10-$E$10)/($G$10-$E$10),$E$10+SQRT(T424*($G$10-$E$10)*($F$10-$E$10)),$G$10-SQRT((1-T424)*($G$10-$E$10)*($G$10-$F$10))))</f>
        <v>1.01839976925603</v>
      </c>
      <c r="G424" s="52" t="n">
        <f aca="false">IF($G$11=$E$11,$F$11,IF(U424&lt;($F$11-$E$11)/($G$11-$E$11),$E$11+SQRT(U424*($G$11-$E$11)*($F$11-$E$11)),$G$11-SQRT((1-U424)*($G$11-$E$11)*($G$11-$F$11))))</f>
        <v>0.0955169290081867</v>
      </c>
      <c r="H424" s="53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-2036799538.51206</v>
      </c>
      <c r="I424" s="53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-37221813.0572341</v>
      </c>
      <c r="J424" s="53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219254481.755571</v>
      </c>
      <c r="K424" s="53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526650765.031177</v>
      </c>
      <c r="L424" s="53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646221850.2912</v>
      </c>
      <c r="M424" s="53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833656278.731185</v>
      </c>
      <c r="N424" s="53" t="n">
        <f aca="false">IF(COUNT('Business Case'!B11:G11)=0,"",H424+NPV(G424,I424:M424))</f>
        <v>-510569046.033051</v>
      </c>
      <c r="P424" s="54" t="n">
        <f aca="true">RAND()</f>
        <v>0.0351992679870024</v>
      </c>
      <c r="Q424" s="54" t="n">
        <f aca="true">RAND()</f>
        <v>0.812678278059853</v>
      </c>
      <c r="R424" s="54" t="n">
        <f aca="true">RAND()</f>
        <v>0.7052976431124</v>
      </c>
      <c r="S424" s="54" t="n">
        <f aca="true">RAND()</f>
        <v>0.210466365915921</v>
      </c>
      <c r="T424" s="54" t="n">
        <f aca="true">RAND()</f>
        <v>0.340427123874753</v>
      </c>
      <c r="U424" s="54" t="n">
        <f aca="true">RAND()</f>
        <v>0.101455018937906</v>
      </c>
    </row>
    <row r="425" customFormat="false" ht="15" hidden="false" customHeight="false" outlineLevel="0" collapsed="false">
      <c r="A425" s="50" t="n">
        <v>345</v>
      </c>
      <c r="B425" s="51" t="n">
        <f aca="false">1+IF($G$6=$E$6,$F$6,IF(P425&lt;($F$6-$E$6)/($G$6-$E$6),$E$6+SQRT(P425*($G$6-$E$6)*($F$6-$E$6)),$G$6-SQRT((1-P425)*($G$6-$E$6)*($G$6-$F$6))))</f>
        <v>1.00221896112197</v>
      </c>
      <c r="C425" s="51" t="n">
        <f aca="false">1+IF($G$7=$E$7,$F$7,IF(Q425&lt;($F$7-$E$7)/($G$7-$E$7),$E$7+SQRT(Q425*($G$7-$E$7)*($F$7-$E$7)),$G$7-SQRT((1-Q425)*($G$7-$E$7)*($G$7-$F$7))))</f>
        <v>1.01872255558421</v>
      </c>
      <c r="D425" s="51" t="n">
        <f aca="false">1+IF($G$8=$E$8,$F$8,IF(R425&lt;($F$8-$E$8)/($G$8-$E$8),$E$8+SQRT(R425*($G$8-$E$8)*($F$8-$E$8)),$G$8-SQRT((1-R425)*($G$8-$E$8)*($G$8-$F$8))))</f>
        <v>1.01188044873982</v>
      </c>
      <c r="E425" s="51" t="n">
        <f aca="false">1+IF($G$9=$E$9,$F$9,IF(S425&lt;($F$9-$E$9)/($G$9-$E$9),$E$9+SQRT(S425*($G$9-$E$9)*($F$9-$E$9)),$G$9-SQRT((1-S425)*($G$9-$E$9)*($G$9-$F$9))))</f>
        <v>1.04716632775918</v>
      </c>
      <c r="F425" s="51" t="n">
        <f aca="false">1+IF($G$10=$E$10,$F$10,IF(T425&lt;($F$10-$E$10)/($G$10-$E$10),$E$10+SQRT(T425*($G$10-$E$10)*($F$10-$E$10)),$G$10-SQRT((1-T425)*($G$10-$E$10)*($G$10-$F$10))))</f>
        <v>1.1083929888012</v>
      </c>
      <c r="G425" s="52" t="n">
        <f aca="false">IF($G$11=$E$11,$F$11,IF(U425&lt;($F$11-$E$11)/($G$11-$E$11),$E$11+SQRT(U425*($G$11-$E$11)*($F$11-$E$11)),$G$11-SQRT((1-U425)*($G$11-$E$11)*($G$11-$F$11))))</f>
        <v>0.103185846736652</v>
      </c>
      <c r="H425" s="53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-2216785977.60239</v>
      </c>
      <c r="I425" s="53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-4115632.12606084</v>
      </c>
      <c r="J425" s="53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304442848.334655</v>
      </c>
      <c r="K425" s="53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668420978.235431</v>
      </c>
      <c r="L425" s="53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806558979.655204</v>
      </c>
      <c r="M425" s="53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1000627439.95265</v>
      </c>
      <c r="N425" s="53" t="n">
        <f aca="false">IF(COUNT('Business Case'!B11:G11)=0,"",H425+NPV(G425,I425:M425))</f>
        <v>-315559927.809366</v>
      </c>
      <c r="P425" s="54" t="n">
        <f aca="true">RAND()</f>
        <v>0.702623562770208</v>
      </c>
      <c r="Q425" s="54" t="n">
        <f aca="true">RAND()</f>
        <v>0.671737763574482</v>
      </c>
      <c r="R425" s="54" t="n">
        <f aca="true">RAND()</f>
        <v>0.553819878472215</v>
      </c>
      <c r="S425" s="54" t="n">
        <f aca="true">RAND()</f>
        <v>0.813906871836616</v>
      </c>
      <c r="T425" s="54" t="n">
        <f aca="true">RAND()</f>
        <v>0.832163109984442</v>
      </c>
      <c r="U425" s="54" t="n">
        <f aca="true">RAND()</f>
        <v>0.528807083394415</v>
      </c>
    </row>
    <row r="426" customFormat="false" ht="15" hidden="false" customHeight="false" outlineLevel="0" collapsed="false">
      <c r="A426" s="50" t="n">
        <v>346</v>
      </c>
      <c r="B426" s="51" t="n">
        <f aca="false">1+IF($G$6=$E$6,$F$6,IF(P426&lt;($F$6-$E$6)/($G$6-$E$6),$E$6+SQRT(P426*($G$6-$E$6)*($F$6-$E$6)),$G$6-SQRT((1-P426)*($G$6-$E$6)*($G$6-$F$6))))</f>
        <v>0.997786303525112</v>
      </c>
      <c r="C426" s="51" t="n">
        <f aca="false">1+IF($G$7=$E$7,$F$7,IF(Q426&lt;($F$7-$E$7)/($G$7-$E$7),$E$7+SQRT(Q426*($G$7-$E$7)*($F$7-$E$7)),$G$7-SQRT((1-Q426)*($G$7-$E$7)*($G$7-$F$7))))</f>
        <v>1.07469267174203</v>
      </c>
      <c r="D426" s="51" t="n">
        <f aca="false">1+IF($G$8=$E$8,$F$8,IF(R426&lt;($F$8-$E$8)/($G$8-$E$8),$E$8+SQRT(R426*($G$8-$E$8)*($F$8-$E$8)),$G$8-SQRT((1-R426)*($G$8-$E$8)*($G$8-$F$8))))</f>
        <v>0.998864386098478</v>
      </c>
      <c r="E426" s="51" t="n">
        <f aca="false">1+IF($G$9=$E$9,$F$9,IF(S426&lt;($F$9-$E$9)/($G$9-$E$9),$E$9+SQRT(S426*($G$9-$E$9)*($F$9-$E$9)),$G$9-SQRT((1-S426)*($G$9-$E$9)*($G$9-$F$9))))</f>
        <v>1.06225296268542</v>
      </c>
      <c r="F426" s="51" t="n">
        <f aca="false">1+IF($G$10=$E$10,$F$10,IF(T426&lt;($F$10-$E$10)/($G$10-$E$10),$E$10+SQRT(T426*($G$10-$E$10)*($F$10-$E$10)),$G$10-SQRT((1-T426)*($G$10-$E$10)*($G$10-$F$10))))</f>
        <v>1.15861807399014</v>
      </c>
      <c r="G426" s="52" t="n">
        <f aca="false">IF($G$11=$E$11,$F$11,IF(U426&lt;($F$11-$E$11)/($G$11-$E$11),$E$11+SQRT(U426*($G$11-$E$11)*($F$11-$E$11)),$G$11-SQRT((1-U426)*($G$11-$E$11)*($G$11-$F$11))))</f>
        <v>0.115451282646473</v>
      </c>
      <c r="H426" s="53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-2317236147.98027</v>
      </c>
      <c r="I426" s="53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6267244.07047236</v>
      </c>
      <c r="J426" s="53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335037405.328163</v>
      </c>
      <c r="K426" s="53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721738470.285359</v>
      </c>
      <c r="L426" s="53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868387683.034149</v>
      </c>
      <c r="M426" s="53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1072213057.51339</v>
      </c>
      <c r="N426" s="53" t="n">
        <f aca="false">IF(COUNT('Business Case'!B11:G11)=0,"",H426+NPV(G426,I426:M426))</f>
        <v>-340473014.925005</v>
      </c>
      <c r="P426" s="54" t="n">
        <f aca="true">RAND()</f>
        <v>0.630282189177167</v>
      </c>
      <c r="Q426" s="54" t="n">
        <f aca="true">RAND()</f>
        <v>0.891977263059924</v>
      </c>
      <c r="R426" s="54" t="n">
        <f aca="true">RAND()</f>
        <v>0.36734280442787</v>
      </c>
      <c r="S426" s="54" t="n">
        <f aca="true">RAND()</f>
        <v>0.905010744931421</v>
      </c>
      <c r="T426" s="54" t="n">
        <f aca="true">RAND()</f>
        <v>0.965750723994285</v>
      </c>
      <c r="U426" s="54" t="n">
        <f aca="true">RAND()</f>
        <v>0.965515284062875</v>
      </c>
    </row>
    <row r="427" customFormat="false" ht="15" hidden="false" customHeight="false" outlineLevel="0" collapsed="false">
      <c r="A427" s="50" t="n">
        <v>347</v>
      </c>
      <c r="B427" s="51" t="n">
        <f aca="false">1+IF($G$6=$E$6,$F$6,IF(P427&lt;($F$6-$E$6)/($G$6-$E$6),$E$6+SQRT(P427*($G$6-$E$6)*($F$6-$E$6)),$G$6-SQRT((1-P427)*($G$6-$E$6)*($G$6-$F$6))))</f>
        <v>0.999197121138479</v>
      </c>
      <c r="C427" s="51" t="n">
        <f aca="false">1+IF($G$7=$E$7,$F$7,IF(Q427&lt;($F$7-$E$7)/($G$7-$E$7),$E$7+SQRT(Q427*($G$7-$E$7)*($F$7-$E$7)),$G$7-SQRT((1-Q427)*($G$7-$E$7)*($G$7-$F$7))))</f>
        <v>1.12372420517464</v>
      </c>
      <c r="D427" s="51" t="n">
        <f aca="false">1+IF($G$8=$E$8,$F$8,IF(R427&lt;($F$8-$E$8)/($G$8-$E$8),$E$8+SQRT(R427*($G$8-$E$8)*($F$8-$E$8)),$G$8-SQRT((1-R427)*($G$8-$E$8)*($G$8-$F$8))))</f>
        <v>1.04584700329805</v>
      </c>
      <c r="E427" s="51" t="n">
        <f aca="false">1+IF($G$9=$E$9,$F$9,IF(S427&lt;($F$9-$E$9)/($G$9-$E$9),$E$9+SQRT(S427*($G$9-$E$9)*($F$9-$E$9)),$G$9-SQRT((1-S427)*($G$9-$E$9)*($G$9-$F$9))))</f>
        <v>1.01912771805825</v>
      </c>
      <c r="F427" s="51" t="n">
        <f aca="false">1+IF($G$10=$E$10,$F$10,IF(T427&lt;($F$10-$E$10)/($G$10-$E$10),$E$10+SQRT(T427*($G$10-$E$10)*($F$10-$E$10)),$G$10-SQRT((1-T427)*($G$10-$E$10)*($G$10-$F$10))))</f>
        <v>1.03015076445924</v>
      </c>
      <c r="G427" s="52" t="n">
        <f aca="false">IF($G$11=$E$11,$F$11,IF(U427&lt;($F$11-$E$11)/($G$11-$E$11),$E$11+SQRT(U427*($G$11-$E$11)*($F$11-$E$11)),$G$11-SQRT((1-U427)*($G$11-$E$11)*($G$11-$F$11))))</f>
        <v>0.098970751062756</v>
      </c>
      <c r="H427" s="53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-2060301528.91849</v>
      </c>
      <c r="I427" s="53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11899223.7836637</v>
      </c>
      <c r="J427" s="53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329940577.522347</v>
      </c>
      <c r="K427" s="53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699489469.483993</v>
      </c>
      <c r="L427" s="53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844307982.064362</v>
      </c>
      <c r="M427" s="53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1057733986.06881</v>
      </c>
      <c r="N427" s="53" t="n">
        <f aca="false">IF(COUNT('Business Case'!B11:G11)=0,"",H427+NPV(G427,I427:M427))</f>
        <v>-10582036.9407282</v>
      </c>
      <c r="P427" s="54" t="n">
        <f aca="true">RAND()</f>
        <v>0.653352499648224</v>
      </c>
      <c r="Q427" s="54" t="n">
        <f aca="true">RAND()</f>
        <v>0.986849192500872</v>
      </c>
      <c r="R427" s="54" t="n">
        <f aca="true">RAND()</f>
        <v>0.887843540026575</v>
      </c>
      <c r="S427" s="54" t="n">
        <f aca="true">RAND()</f>
        <v>0.563978267568928</v>
      </c>
      <c r="T427" s="54" t="n">
        <f aca="true">RAND()</f>
        <v>0.423024743724416</v>
      </c>
      <c r="U427" s="54" t="n">
        <f aca="true">RAND()</f>
        <v>0.268247915433127</v>
      </c>
    </row>
    <row r="428" customFormat="false" ht="15" hidden="false" customHeight="false" outlineLevel="0" collapsed="false">
      <c r="A428" s="50" t="n">
        <v>348</v>
      </c>
      <c r="B428" s="51" t="n">
        <f aca="false">1+IF($G$6=$E$6,$F$6,IF(P428&lt;($F$6-$E$6)/($G$6-$E$6),$E$6+SQRT(P428*($G$6-$E$6)*($F$6-$E$6)),$G$6-SQRT((1-P428)*($G$6-$E$6)*($G$6-$F$6))))</f>
        <v>1.0042441769108</v>
      </c>
      <c r="C428" s="51" t="n">
        <f aca="false">1+IF($G$7=$E$7,$F$7,IF(Q428&lt;($F$7-$E$7)/($G$7-$E$7),$E$7+SQRT(Q428*($G$7-$E$7)*($F$7-$E$7)),$G$7-SQRT((1-Q428)*($G$7-$E$7)*($G$7-$F$7))))</f>
        <v>0.889680443186749</v>
      </c>
      <c r="D428" s="51" t="n">
        <f aca="false">1+IF($G$8=$E$8,$F$8,IF(R428&lt;($F$8-$E$8)/($G$8-$E$8),$E$8+SQRT(R428*($G$8-$E$8)*($F$8-$E$8)),$G$8-SQRT((1-R428)*($G$8-$E$8)*($G$8-$F$8))))</f>
        <v>0.979521684391552</v>
      </c>
      <c r="E428" s="51" t="n">
        <f aca="false">1+IF($G$9=$E$9,$F$9,IF(S428&lt;($F$9-$E$9)/($G$9-$E$9),$E$9+SQRT(S428*($G$9-$E$9)*($F$9-$E$9)),$G$9-SQRT((1-S428)*($G$9-$E$9)*($G$9-$F$9))))</f>
        <v>1.01594910504435</v>
      </c>
      <c r="F428" s="51" t="n">
        <f aca="false">1+IF($G$10=$E$10,$F$10,IF(T428&lt;($F$10-$E$10)/($G$10-$E$10),$E$10+SQRT(T428*($G$10-$E$10)*($F$10-$E$10)),$G$10-SQRT((1-T428)*($G$10-$E$10)*($G$10-$F$10))))</f>
        <v>1.02013670157805</v>
      </c>
      <c r="G428" s="52" t="n">
        <f aca="false">IF($G$11=$E$11,$F$11,IF(U428&lt;($F$11-$E$11)/($G$11-$E$11),$E$11+SQRT(U428*($G$11-$E$11)*($F$11-$E$11)),$G$11-SQRT((1-U428)*($G$11-$E$11)*($G$11-$F$11))))</f>
        <v>0.109175148642901</v>
      </c>
      <c r="H428" s="53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-2040273403.15609</v>
      </c>
      <c r="I428" s="53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-7111750.52124213</v>
      </c>
      <c r="J428" s="53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278574911.855775</v>
      </c>
      <c r="K428" s="53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615268409.311696</v>
      </c>
      <c r="L428" s="53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741375150.106133</v>
      </c>
      <c r="M428" s="53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911203343.451008</v>
      </c>
      <c r="N428" s="53" t="n">
        <f aca="false">IF(COUNT('Business Case'!B11:G11)=0,"",H428+NPV(G428,I428:M428))</f>
        <v>-336778082.355021</v>
      </c>
      <c r="P428" s="54" t="n">
        <f aca="true">RAND()</f>
        <v>0.733650232336146</v>
      </c>
      <c r="Q428" s="54" t="n">
        <f aca="true">RAND()</f>
        <v>0.114894027002452</v>
      </c>
      <c r="R428" s="54" t="n">
        <f aca="true">RAND()</f>
        <v>0.13408151527914</v>
      </c>
      <c r="S428" s="54" t="n">
        <f aca="true">RAND()</f>
        <v>0.529029803810339</v>
      </c>
      <c r="T428" s="54" t="n">
        <f aca="true">RAND()</f>
        <v>0.3529838776155</v>
      </c>
      <c r="U428" s="54" t="n">
        <f aca="true">RAND()</f>
        <v>0.804704321827838</v>
      </c>
    </row>
    <row r="429" customFormat="false" ht="15" hidden="false" customHeight="false" outlineLevel="0" collapsed="false">
      <c r="A429" s="50" t="n">
        <v>349</v>
      </c>
      <c r="B429" s="51" t="n">
        <f aca="false">1+IF($G$6=$E$6,$F$6,IF(P429&lt;($F$6-$E$6)/($G$6-$E$6),$E$6+SQRT(P429*($G$6-$E$6)*($F$6-$E$6)),$G$6-SQRT((1-P429)*($G$6-$E$6)*($G$6-$F$6))))</f>
        <v>0.951903013014873</v>
      </c>
      <c r="C429" s="51" t="n">
        <f aca="false">1+IF($G$7=$E$7,$F$7,IF(Q429&lt;($F$7-$E$7)/($G$7-$E$7),$E$7+SQRT(Q429*($G$7-$E$7)*($F$7-$E$7)),$G$7-SQRT((1-Q429)*($G$7-$E$7)*($G$7-$F$7))))</f>
        <v>0.979803417250928</v>
      </c>
      <c r="D429" s="51" t="n">
        <f aca="false">1+IF($G$8=$E$8,$F$8,IF(R429&lt;($F$8-$E$8)/($G$8-$E$8),$E$8+SQRT(R429*($G$8-$E$8)*($F$8-$E$8)),$G$8-SQRT((1-R429)*($G$8-$E$8)*($G$8-$F$8))))</f>
        <v>0.998071512012043</v>
      </c>
      <c r="E429" s="51" t="n">
        <f aca="false">1+IF($G$9=$E$9,$F$9,IF(S429&lt;($F$9-$E$9)/($G$9-$E$9),$E$9+SQRT(S429*($G$9-$E$9)*($F$9-$E$9)),$G$9-SQRT((1-S429)*($G$9-$E$9)*($G$9-$F$9))))</f>
        <v>1.04777343192163</v>
      </c>
      <c r="F429" s="51" t="n">
        <f aca="false">1+IF($G$10=$E$10,$F$10,IF(T429&lt;($F$10-$E$10)/($G$10-$E$10),$E$10+SQRT(T429*($G$10-$E$10)*($F$10-$E$10)),$G$10-SQRT((1-T429)*($G$10-$E$10)*($G$10-$F$10))))</f>
        <v>0.992902168319536</v>
      </c>
      <c r="G429" s="52" t="n">
        <f aca="false">IF($G$11=$E$11,$F$11,IF(U429&lt;($F$11-$E$11)/($G$11-$E$11),$E$11+SQRT(U429*($G$11-$E$11)*($F$11-$E$11)),$G$11-SQRT((1-U429)*($G$11-$E$11)*($G$11-$F$11))))</f>
        <v>0.108735256696824</v>
      </c>
      <c r="H429" s="53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-1985804336.63907</v>
      </c>
      <c r="I429" s="53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-33316998.2799037</v>
      </c>
      <c r="J429" s="53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229999620.741654</v>
      </c>
      <c r="K429" s="53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542961348.179188</v>
      </c>
      <c r="L429" s="53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662966900.153208</v>
      </c>
      <c r="M429" s="53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840250301.137462</v>
      </c>
      <c r="N429" s="53" t="n">
        <f aca="false">IF(COUNT('Business Case'!B11:G11)=0,"",H429+NPV(G429,I429:M429))</f>
        <v>-490174974.375638</v>
      </c>
      <c r="P429" s="54" t="n">
        <f aca="true">RAND()</f>
        <v>0.106021066606993</v>
      </c>
      <c r="Q429" s="54" t="n">
        <f aca="true">RAND()</f>
        <v>0.461846697930161</v>
      </c>
      <c r="R429" s="54" t="n">
        <f aca="true">RAND()</f>
        <v>0.355518502634461</v>
      </c>
      <c r="S429" s="54" t="n">
        <f aca="true">RAND()</f>
        <v>0.818159039117051</v>
      </c>
      <c r="T429" s="54" t="n">
        <f aca="true">RAND()</f>
        <v>0.147247683721425</v>
      </c>
      <c r="U429" s="54" t="n">
        <f aca="true">RAND()</f>
        <v>0.788509263855923</v>
      </c>
    </row>
    <row r="430" customFormat="false" ht="15" hidden="false" customHeight="false" outlineLevel="0" collapsed="false">
      <c r="A430" s="50" t="n">
        <v>350</v>
      </c>
      <c r="B430" s="51" t="n">
        <f aca="false">1+IF($G$6=$E$6,$F$6,IF(P430&lt;($F$6-$E$6)/($G$6-$E$6),$E$6+SQRT(P430*($G$6-$E$6)*($F$6-$E$6)),$G$6-SQRT((1-P430)*($G$6-$E$6)*($G$6-$F$6))))</f>
        <v>0.983449478230131</v>
      </c>
      <c r="C430" s="51" t="n">
        <f aca="false">1+IF($G$7=$E$7,$F$7,IF(Q430&lt;($F$7-$E$7)/($G$7-$E$7),$E$7+SQRT(Q430*($G$7-$E$7)*($F$7-$E$7)),$G$7-SQRT((1-Q430)*($G$7-$E$7)*($G$7-$F$7))))</f>
        <v>1.03957591184025</v>
      </c>
      <c r="D430" s="51" t="n">
        <f aca="false">1+IF($G$8=$E$8,$F$8,IF(R430&lt;($F$8-$E$8)/($G$8-$E$8),$E$8+SQRT(R430*($G$8-$E$8)*($F$8-$E$8)),$G$8-SQRT((1-R430)*($G$8-$E$8)*($G$8-$F$8))))</f>
        <v>1.01917645839541</v>
      </c>
      <c r="E430" s="51" t="n">
        <f aca="false">1+IF($G$9=$E$9,$F$9,IF(S430&lt;($F$9-$E$9)/($G$9-$E$9),$E$9+SQRT(S430*($G$9-$E$9)*($F$9-$E$9)),$G$9-SQRT((1-S430)*($G$9-$E$9)*($G$9-$F$9))))</f>
        <v>1.00988867655722</v>
      </c>
      <c r="F430" s="51" t="n">
        <f aca="false">1+IF($G$10=$E$10,$F$10,IF(T430&lt;($F$10-$E$10)/($G$10-$E$10),$E$10+SQRT(T430*($G$10-$E$10)*($F$10-$E$10)),$G$10-SQRT((1-T430)*($G$10-$E$10)*($G$10-$F$10))))</f>
        <v>1.00857547971815</v>
      </c>
      <c r="G430" s="52" t="n">
        <f aca="false">IF($G$11=$E$11,$F$11,IF(U430&lt;($F$11-$E$11)/($G$11-$E$11),$E$11+SQRT(U430*($G$11-$E$11)*($F$11-$E$11)),$G$11-SQRT((1-U430)*($G$11-$E$11)*($G$11-$F$11))))</f>
        <v>0.103817825802487</v>
      </c>
      <c r="H430" s="53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-2017150959.4363</v>
      </c>
      <c r="I430" s="53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-2453462.87126</v>
      </c>
      <c r="J430" s="53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292556472.953794</v>
      </c>
      <c r="K430" s="53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637995182.764756</v>
      </c>
      <c r="L430" s="53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771664948.651815</v>
      </c>
      <c r="M430" s="53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965997112.018043</v>
      </c>
      <c r="N430" s="53" t="n">
        <f aca="false">IF(COUNT('Business Case'!B11:G11)=0,"",H430+NPV(G430,I430:M430))</f>
        <v>-195572137.895953</v>
      </c>
      <c r="P430" s="54" t="n">
        <f aca="true">RAND()</f>
        <v>0.419357946632903</v>
      </c>
      <c r="Q430" s="54" t="n">
        <f aca="true">RAND()</f>
        <v>0.767743252458801</v>
      </c>
      <c r="R430" s="54" t="n">
        <f aca="true">RAND()</f>
        <v>0.644278537180316</v>
      </c>
      <c r="S430" s="54" t="n">
        <f aca="true">RAND()</f>
        <v>0.458663292492688</v>
      </c>
      <c r="T430" s="54" t="n">
        <f aca="true">RAND()</f>
        <v>0.267133060697288</v>
      </c>
      <c r="U430" s="54" t="n">
        <f aca="true">RAND()</f>
        <v>0.563562063735572</v>
      </c>
    </row>
    <row r="431" customFormat="false" ht="15" hidden="false" customHeight="false" outlineLevel="0" collapsed="false">
      <c r="A431" s="50" t="n">
        <v>351</v>
      </c>
      <c r="B431" s="51" t="n">
        <f aca="false">1+IF($G$6=$E$6,$F$6,IF(P431&lt;($F$6-$E$6)/($G$6-$E$6),$E$6+SQRT(P431*($G$6-$E$6)*($F$6-$E$6)),$G$6-SQRT((1-P431)*($G$6-$E$6)*($G$6-$F$6))))</f>
        <v>0.989268799131055</v>
      </c>
      <c r="C431" s="51" t="n">
        <f aca="false">1+IF($G$7=$E$7,$F$7,IF(Q431&lt;($F$7-$E$7)/($G$7-$E$7),$E$7+SQRT(Q431*($G$7-$E$7)*($F$7-$E$7)),$G$7-SQRT((1-Q431)*($G$7-$E$7)*($G$7-$F$7))))</f>
        <v>1.0128768161753</v>
      </c>
      <c r="D431" s="51" t="n">
        <f aca="false">1+IF($G$8=$E$8,$F$8,IF(R431&lt;($F$8-$E$8)/($G$8-$E$8),$E$8+SQRT(R431*($G$8-$E$8)*($F$8-$E$8)),$G$8-SQRT((1-R431)*($G$8-$E$8)*($G$8-$F$8))))</f>
        <v>1.03374119057897</v>
      </c>
      <c r="E431" s="51" t="n">
        <f aca="false">1+IF($G$9=$E$9,$F$9,IF(S431&lt;($F$9-$E$9)/($G$9-$E$9),$E$9+SQRT(S431*($G$9-$E$9)*($F$9-$E$9)),$G$9-SQRT((1-S431)*($G$9-$E$9)*($G$9-$F$9))))</f>
        <v>0.993867916020237</v>
      </c>
      <c r="F431" s="51" t="n">
        <f aca="false">1+IF($G$10=$E$10,$F$10,IF(T431&lt;($F$10-$E$10)/($G$10-$E$10),$E$10+SQRT(T431*($G$10-$E$10)*($F$10-$E$10)),$G$10-SQRT((1-T431)*($G$10-$E$10)*($G$10-$F$10))))</f>
        <v>1.06360041504632</v>
      </c>
      <c r="G431" s="52" t="n">
        <f aca="false">IF($G$11=$E$11,$F$11,IF(U431&lt;($F$11-$E$11)/($G$11-$E$11),$E$11+SQRT(U431*($G$11-$E$11)*($F$11-$E$11)),$G$11-SQRT((1-U431)*($G$11-$E$11)*($G$11-$F$11))))</f>
        <v>0.106199761497817</v>
      </c>
      <c r="H431" s="53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-2127200830.09263</v>
      </c>
      <c r="I431" s="53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-14923001.9601442</v>
      </c>
      <c r="J431" s="53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269786120.496846</v>
      </c>
      <c r="K431" s="53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607675263.706152</v>
      </c>
      <c r="L431" s="53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737207681.361433</v>
      </c>
      <c r="M431" s="53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927669253.960992</v>
      </c>
      <c r="N431" s="53" t="n">
        <f aca="false">IF(COUNT('Business Case'!B11:G11)=0,"",H431+NPV(G431,I431:M431))</f>
        <v>-418920303.326062</v>
      </c>
      <c r="P431" s="54" t="n">
        <f aca="true">RAND()</f>
        <v>0.499809013860258</v>
      </c>
      <c r="Q431" s="54" t="n">
        <f aca="true">RAND()</f>
        <v>0.641852046814808</v>
      </c>
      <c r="R431" s="54" t="n">
        <f aca="true">RAND()</f>
        <v>0.794242552975805</v>
      </c>
      <c r="S431" s="54" t="n">
        <f aca="true">RAND()</f>
        <v>0.256585874127806</v>
      </c>
      <c r="T431" s="54" t="n">
        <f aca="true">RAND()</f>
        <v>0.627903064489258</v>
      </c>
      <c r="U431" s="54" t="n">
        <f aca="true">RAND()</f>
        <v>0.682589028804765</v>
      </c>
    </row>
    <row r="432" customFormat="false" ht="15" hidden="false" customHeight="false" outlineLevel="0" collapsed="false">
      <c r="A432" s="50" t="n">
        <v>352</v>
      </c>
      <c r="B432" s="51" t="n">
        <f aca="false">1+IF($G$6=$E$6,$F$6,IF(P432&lt;($F$6-$E$6)/($G$6-$E$6),$E$6+SQRT(P432*($G$6-$E$6)*($F$6-$E$6)),$G$6-SQRT((1-P432)*($G$6-$E$6)*($G$6-$F$6))))</f>
        <v>1.00051390202988</v>
      </c>
      <c r="C432" s="51" t="n">
        <f aca="false">1+IF($G$7=$E$7,$F$7,IF(Q432&lt;($F$7-$E$7)/($G$7-$E$7),$E$7+SQRT(Q432*($G$7-$E$7)*($F$7-$E$7)),$G$7-SQRT((1-Q432)*($G$7-$E$7)*($G$7-$F$7))))</f>
        <v>0.909215389099383</v>
      </c>
      <c r="D432" s="51" t="n">
        <f aca="false">1+IF($G$8=$E$8,$F$8,IF(R432&lt;($F$8-$E$8)/($G$8-$E$8),$E$8+SQRT(R432*($G$8-$E$8)*($F$8-$E$8)),$G$8-SQRT((1-R432)*($G$8-$E$8)*($G$8-$F$8))))</f>
        <v>1.03194267924163</v>
      </c>
      <c r="E432" s="51" t="n">
        <f aca="false">1+IF($G$9=$E$9,$F$9,IF(S432&lt;($F$9-$E$9)/($G$9-$E$9),$E$9+SQRT(S432*($G$9-$E$9)*($F$9-$E$9)),$G$9-SQRT((1-S432)*($G$9-$E$9)*($G$9-$F$9))))</f>
        <v>1.07181644516144</v>
      </c>
      <c r="F432" s="51" t="n">
        <f aca="false">1+IF($G$10=$E$10,$F$10,IF(T432&lt;($F$10-$E$10)/($G$10-$E$10),$E$10+SQRT(T432*($G$10-$E$10)*($F$10-$E$10)),$G$10-SQRT((1-T432)*($G$10-$E$10)*($G$10-$F$10))))</f>
        <v>1.00845146198727</v>
      </c>
      <c r="G432" s="52" t="n">
        <f aca="false">IF($G$11=$E$11,$F$11,IF(U432&lt;($F$11-$E$11)/($G$11-$E$11),$E$11+SQRT(U432*($G$11-$E$11)*($F$11-$E$11)),$G$11-SQRT((1-U432)*($G$11-$E$11)*($G$11-$F$11))))</f>
        <v>0.109075684915732</v>
      </c>
      <c r="H432" s="53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-2016902923.97455</v>
      </c>
      <c r="I432" s="53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-35632935.5943347</v>
      </c>
      <c r="J432" s="53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229149521.400276</v>
      </c>
      <c r="K432" s="53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544354551.494251</v>
      </c>
      <c r="L432" s="53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664054002.417962</v>
      </c>
      <c r="M432" s="53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836966478.008253</v>
      </c>
      <c r="N432" s="53" t="n">
        <f aca="false">IF(COUNT('Business Case'!B11:G11)=0,"",H432+NPV(G432,I432:M432))</f>
        <v>-526049955.15425</v>
      </c>
      <c r="P432" s="54" t="n">
        <f aca="true">RAND()</f>
        <v>0.675176680644548</v>
      </c>
      <c r="Q432" s="54" t="n">
        <f aca="true">RAND()</f>
        <v>0.17040001737328</v>
      </c>
      <c r="R432" s="54" t="n">
        <f aca="true">RAND()</f>
        <v>0.777932107839164</v>
      </c>
      <c r="S432" s="54" t="n">
        <f aca="true">RAND()</f>
        <v>0.947045815777452</v>
      </c>
      <c r="T432" s="54" t="n">
        <f aca="true">RAND()</f>
        <v>0.26618315170375</v>
      </c>
      <c r="U432" s="54" t="n">
        <f aca="true">RAND()</f>
        <v>0.801098899899401</v>
      </c>
    </row>
    <row r="433" customFormat="false" ht="15" hidden="false" customHeight="false" outlineLevel="0" collapsed="false">
      <c r="A433" s="50" t="n">
        <v>353</v>
      </c>
      <c r="B433" s="51" t="n">
        <f aca="false">1+IF($G$6=$E$6,$F$6,IF(P433&lt;($F$6-$E$6)/($G$6-$E$6),$E$6+SQRT(P433*($G$6-$E$6)*($F$6-$E$6)),$G$6-SQRT((1-P433)*($G$6-$E$6)*($G$6-$F$6))))</f>
        <v>0.988308804852036</v>
      </c>
      <c r="C433" s="51" t="n">
        <f aca="false">1+IF($G$7=$E$7,$F$7,IF(Q433&lt;($F$7-$E$7)/($G$7-$E$7),$E$7+SQRT(Q433*($G$7-$E$7)*($F$7-$E$7)),$G$7-SQRT((1-Q433)*($G$7-$E$7)*($G$7-$F$7))))</f>
        <v>0.954897972683638</v>
      </c>
      <c r="D433" s="51" t="n">
        <f aca="false">1+IF($G$8=$E$8,$F$8,IF(R433&lt;($F$8-$E$8)/($G$8-$E$8),$E$8+SQRT(R433*($G$8-$E$8)*($F$8-$E$8)),$G$8-SQRT((1-R433)*($G$8-$E$8)*($G$8-$F$8))))</f>
        <v>0.987642300506355</v>
      </c>
      <c r="E433" s="51" t="n">
        <f aca="false">1+IF($G$9=$E$9,$F$9,IF(S433&lt;($F$9-$E$9)/($G$9-$E$9),$E$9+SQRT(S433*($G$9-$E$9)*($F$9-$E$9)),$G$9-SQRT((1-S433)*($G$9-$E$9)*($G$9-$F$9))))</f>
        <v>1.02310818039844</v>
      </c>
      <c r="F433" s="51" t="n">
        <f aca="false">1+IF($G$10=$E$10,$F$10,IF(T433&lt;($F$10-$E$10)/($G$10-$E$10),$E$10+SQRT(T433*($G$10-$E$10)*($F$10-$E$10)),$G$10-SQRT((1-T433)*($G$10-$E$10)*($G$10-$F$10))))</f>
        <v>1.05969738526278</v>
      </c>
      <c r="G433" s="52" t="n">
        <f aca="false">IF($G$11=$E$11,$F$11,IF(U433&lt;($F$11-$E$11)/($G$11-$E$11),$E$11+SQRT(U433*($G$11-$E$11)*($F$11-$E$11)),$G$11-SQRT((1-U433)*($G$11-$E$11)*($G$11-$F$11))))</f>
        <v>0.0983547235663089</v>
      </c>
      <c r="H433" s="53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-2119394770.52556</v>
      </c>
      <c r="I433" s="53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-10183279.6099351</v>
      </c>
      <c r="J433" s="53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280012336.962411</v>
      </c>
      <c r="K433" s="53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623192822.797897</v>
      </c>
      <c r="L433" s="53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752540144.590908</v>
      </c>
      <c r="M433" s="53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931925117.403173</v>
      </c>
      <c r="N433" s="53" t="n">
        <f aca="false">IF(COUNT('Business Case'!B11:G11)=0,"",H433+NPV(G433,I433:M433))</f>
        <v>-326155123.496524</v>
      </c>
      <c r="P433" s="54" t="n">
        <f aca="true">RAND()</f>
        <v>0.486051335449323</v>
      </c>
      <c r="Q433" s="54" t="n">
        <f aca="true">RAND()</f>
        <v>0.342762599164302</v>
      </c>
      <c r="R433" s="54" t="n">
        <f aca="true">RAND()</f>
        <v>0.21799119806319</v>
      </c>
      <c r="S433" s="54" t="n">
        <f aca="true">RAND()</f>
        <v>0.605843205224117</v>
      </c>
      <c r="T433" s="54" t="n">
        <f aca="true">RAND()</f>
        <v>0.606303525957977</v>
      </c>
      <c r="U433" s="54" t="n">
        <f aca="true">RAND()</f>
        <v>0.232671352898126</v>
      </c>
    </row>
    <row r="434" customFormat="false" ht="15" hidden="false" customHeight="false" outlineLevel="0" collapsed="false">
      <c r="A434" s="50" t="n">
        <v>354</v>
      </c>
      <c r="B434" s="51" t="n">
        <f aca="false">1+IF($G$6=$E$6,$F$6,IF(P434&lt;($F$6-$E$6)/($G$6-$E$6),$E$6+SQRT(P434*($G$6-$E$6)*($F$6-$E$6)),$G$6-SQRT((1-P434)*($G$6-$E$6)*($G$6-$F$6))))</f>
        <v>0.958448422323132</v>
      </c>
      <c r="C434" s="51" t="n">
        <f aca="false">1+IF($G$7=$E$7,$F$7,IF(Q434&lt;($F$7-$E$7)/($G$7-$E$7),$E$7+SQRT(Q434*($G$7-$E$7)*($F$7-$E$7)),$G$7-SQRT((1-Q434)*($G$7-$E$7)*($G$7-$F$7))))</f>
        <v>0.95307229409472</v>
      </c>
      <c r="D434" s="51" t="n">
        <f aca="false">1+IF($G$8=$E$8,$F$8,IF(R434&lt;($F$8-$E$8)/($G$8-$E$8),$E$8+SQRT(R434*($G$8-$E$8)*($F$8-$E$8)),$G$8-SQRT((1-R434)*($G$8-$E$8)*($G$8-$F$8))))</f>
        <v>1.07001322965339</v>
      </c>
      <c r="E434" s="51" t="n">
        <f aca="false">1+IF($G$9=$E$9,$F$9,IF(S434&lt;($F$9-$E$9)/($G$9-$E$9),$E$9+SQRT(S434*($G$9-$E$9)*($F$9-$E$9)),$G$9-SQRT((1-S434)*($G$9-$E$9)*($G$9-$F$9))))</f>
        <v>1.02570795750561</v>
      </c>
      <c r="F434" s="51" t="n">
        <f aca="false">1+IF($G$10=$E$10,$F$10,IF(T434&lt;($F$10-$E$10)/($G$10-$E$10),$E$10+SQRT(T434*($G$10-$E$10)*($F$10-$E$10)),$G$10-SQRT((1-T434)*($G$10-$E$10)*($G$10-$F$10))))</f>
        <v>1.0415788558877</v>
      </c>
      <c r="G434" s="52" t="n">
        <f aca="false">IF($G$11=$E$11,$F$11,IF(U434&lt;($F$11-$E$11)/($G$11-$E$11),$E$11+SQRT(U434*($G$11-$E$11)*($F$11-$E$11)),$G$11-SQRT((1-U434)*($G$11-$E$11)*($G$11-$F$11))))</f>
        <v>0.100240187290222</v>
      </c>
      <c r="H434" s="53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-2083157711.7754</v>
      </c>
      <c r="I434" s="53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-71225650.9729642</v>
      </c>
      <c r="J434" s="53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154916573.003297</v>
      </c>
      <c r="K434" s="53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433137739.773943</v>
      </c>
      <c r="L434" s="53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540088026.301468</v>
      </c>
      <c r="M434" s="53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713720524.913043</v>
      </c>
      <c r="N434" s="53" t="n">
        <f aca="false">IF(COUNT('Business Case'!B11:G11)=0,"",H434+NPV(G434,I434:M434))</f>
        <v>-883463962.391127</v>
      </c>
      <c r="P434" s="54" t="n">
        <f aca="true">RAND()</f>
        <v>0.153987622826865</v>
      </c>
      <c r="Q434" s="54" t="n">
        <f aca="true">RAND()</f>
        <v>0.334730388848864</v>
      </c>
      <c r="R434" s="54" t="n">
        <f aca="true">RAND()</f>
        <v>0.990410040196549</v>
      </c>
      <c r="S434" s="54" t="n">
        <f aca="true">RAND()</f>
        <v>0.632046161467491</v>
      </c>
      <c r="T434" s="54" t="n">
        <f aca="true">RAND()</f>
        <v>0.498054821962989</v>
      </c>
      <c r="U434" s="54" t="n">
        <f aca="true">RAND()</f>
        <v>0.349249669457482</v>
      </c>
    </row>
    <row r="435" customFormat="false" ht="15" hidden="false" customHeight="false" outlineLevel="0" collapsed="false">
      <c r="A435" s="50" t="n">
        <v>355</v>
      </c>
      <c r="B435" s="51" t="n">
        <f aca="false">1+IF($G$6=$E$6,$F$6,IF(P435&lt;($F$6-$E$6)/($G$6-$E$6),$E$6+SQRT(P435*($G$6-$E$6)*($F$6-$E$6)),$G$6-SQRT((1-P435)*($G$6-$E$6)*($G$6-$F$6))))</f>
        <v>0.981209034295424</v>
      </c>
      <c r="C435" s="51" t="n">
        <f aca="false">1+IF($G$7=$E$7,$F$7,IF(Q435&lt;($F$7-$E$7)/($G$7-$E$7),$E$7+SQRT(Q435*($G$7-$E$7)*($F$7-$E$7)),$G$7-SQRT((1-Q435)*($G$7-$E$7)*($G$7-$F$7))))</f>
        <v>0.830131026784237</v>
      </c>
      <c r="D435" s="51" t="n">
        <f aca="false">1+IF($G$8=$E$8,$F$8,IF(R435&lt;($F$8-$E$8)/($G$8-$E$8),$E$8+SQRT(R435*($G$8-$E$8)*($F$8-$E$8)),$G$8-SQRT((1-R435)*($G$8-$E$8)*($G$8-$F$8))))</f>
        <v>0.996712788474211</v>
      </c>
      <c r="E435" s="51" t="n">
        <f aca="false">1+IF($G$9=$E$9,$F$9,IF(S435&lt;($F$9-$E$9)/($G$9-$E$9),$E$9+SQRT(S435*($G$9-$E$9)*($F$9-$E$9)),$G$9-SQRT((1-S435)*($G$9-$E$9)*($G$9-$F$9))))</f>
        <v>0.985781441996615</v>
      </c>
      <c r="F435" s="51" t="n">
        <f aca="false">1+IF($G$10=$E$10,$F$10,IF(T435&lt;($F$10-$E$10)/($G$10-$E$10),$E$10+SQRT(T435*($G$10-$E$10)*($F$10-$E$10)),$G$10-SQRT((1-T435)*($G$10-$E$10)*($G$10-$F$10))))</f>
        <v>0.975862935093183</v>
      </c>
      <c r="G435" s="52" t="n">
        <f aca="false">IF($G$11=$E$11,$F$11,IF(U435&lt;($F$11-$E$11)/($G$11-$E$11),$E$11+SQRT(U435*($G$11-$E$11)*($F$11-$E$11)),$G$11-SQRT((1-U435)*($G$11-$E$11)*($G$11-$F$11))))</f>
        <v>0.0979464474971625</v>
      </c>
      <c r="H435" s="53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-1951725870.18637</v>
      </c>
      <c r="I435" s="53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-36393090.3039235</v>
      </c>
      <c r="J435" s="53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207203576.10603</v>
      </c>
      <c r="K435" s="53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499593389.270643</v>
      </c>
      <c r="L435" s="53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608942506.175721</v>
      </c>
      <c r="M435" s="53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763768760.735401</v>
      </c>
      <c r="N435" s="53" t="n">
        <f aca="false">IF(COUNT('Business Case'!B11:G11)=0,"",H435+NPV(G435,I435:M435))</f>
        <v>-537798370.153231</v>
      </c>
      <c r="P435" s="54" t="n">
        <f aca="true">RAND()</f>
        <v>0.390265195768588</v>
      </c>
      <c r="Q435" s="54" t="n">
        <f aca="true">RAND()</f>
        <v>0.0129696967867485</v>
      </c>
      <c r="R435" s="54" t="n">
        <f aca="true">RAND()</f>
        <v>0.335705324159445</v>
      </c>
      <c r="S435" s="54" t="n">
        <f aca="true">RAND()</f>
        <v>0.170708212180947</v>
      </c>
      <c r="T435" s="54" t="n">
        <f aca="true">RAND()</f>
        <v>0.0535113129307373</v>
      </c>
      <c r="U435" s="54" t="n">
        <f aca="true">RAND()</f>
        <v>0.210486759417198</v>
      </c>
    </row>
    <row r="436" customFormat="false" ht="15" hidden="false" customHeight="false" outlineLevel="0" collapsed="false">
      <c r="A436" s="50" t="n">
        <v>356</v>
      </c>
      <c r="B436" s="51" t="n">
        <f aca="false">1+IF($G$6=$E$6,$F$6,IF(P436&lt;($F$6-$E$6)/($G$6-$E$6),$E$6+SQRT(P436*($G$6-$E$6)*($F$6-$E$6)),$G$6-SQRT((1-P436)*($G$6-$E$6)*($G$6-$F$6))))</f>
        <v>0.998603154539541</v>
      </c>
      <c r="C436" s="51" t="n">
        <f aca="false">1+IF($G$7=$E$7,$F$7,IF(Q436&lt;($F$7-$E$7)/($G$7-$E$7),$E$7+SQRT(Q436*($G$7-$E$7)*($F$7-$E$7)),$G$7-SQRT((1-Q436)*($G$7-$E$7)*($G$7-$F$7))))</f>
        <v>0.980282025107823</v>
      </c>
      <c r="D436" s="51" t="n">
        <f aca="false">1+IF($G$8=$E$8,$F$8,IF(R436&lt;($F$8-$E$8)/($G$8-$E$8),$E$8+SQRT(R436*($G$8-$E$8)*($F$8-$E$8)),$G$8-SQRT((1-R436)*($G$8-$E$8)*($G$8-$F$8))))</f>
        <v>1.06862399126875</v>
      </c>
      <c r="E436" s="51" t="n">
        <f aca="false">1+IF($G$9=$E$9,$F$9,IF(S436&lt;($F$9-$E$9)/($G$9-$E$9),$E$9+SQRT(S436*($G$9-$E$9)*($F$9-$E$9)),$G$9-SQRT((1-S436)*($G$9-$E$9)*($G$9-$F$9))))</f>
        <v>1.02664011601446</v>
      </c>
      <c r="F436" s="51" t="n">
        <f aca="false">1+IF($G$10=$E$10,$F$10,IF(T436&lt;($F$10-$E$10)/($G$10-$E$10),$E$10+SQRT(T436*($G$10-$E$10)*($F$10-$E$10)),$G$10-SQRT((1-T436)*($G$10-$E$10)*($G$10-$F$10))))</f>
        <v>1.01012777792577</v>
      </c>
      <c r="G436" s="52" t="n">
        <f aca="false">IF($G$11=$E$11,$F$11,IF(U436&lt;($F$11-$E$11)/($G$11-$E$11),$E$11+SQRT(U436*($G$11-$E$11)*($F$11-$E$11)),$G$11-SQRT((1-U436)*($G$11-$E$11)*($G$11-$F$11))))</f>
        <v>0.10056154119491</v>
      </c>
      <c r="H436" s="53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-2020255555.85154</v>
      </c>
      <c r="I436" s="53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-32211111.8670116</v>
      </c>
      <c r="J436" s="53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233325614.095968</v>
      </c>
      <c r="K436" s="53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549368728.955236</v>
      </c>
      <c r="L436" s="53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671712194.636335</v>
      </c>
      <c r="M436" s="53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857783924.950249</v>
      </c>
      <c r="N436" s="53" t="n">
        <f aca="false">IF(COUNT('Business Case'!B11:G11)=0,"",H436+NPV(G436,I436:M436))</f>
        <v>-455659940.129923</v>
      </c>
      <c r="P436" s="54" t="n">
        <f aca="true">RAND()</f>
        <v>0.643589156621551</v>
      </c>
      <c r="Q436" s="54" t="n">
        <f aca="true">RAND()</f>
        <v>0.464308693956825</v>
      </c>
      <c r="R436" s="54" t="n">
        <f aca="true">RAND()</f>
        <v>0.987556387052545</v>
      </c>
      <c r="S436" s="54" t="n">
        <f aca="true">RAND()</f>
        <v>0.641221828108522</v>
      </c>
      <c r="T436" s="54" t="n">
        <f aca="true">RAND()</f>
        <v>0.278970785691874</v>
      </c>
      <c r="U436" s="54" t="n">
        <f aca="true">RAND()</f>
        <v>0.370243865471374</v>
      </c>
    </row>
    <row r="437" customFormat="false" ht="15" hidden="false" customHeight="false" outlineLevel="0" collapsed="false">
      <c r="A437" s="50" t="n">
        <v>357</v>
      </c>
      <c r="B437" s="51" t="n">
        <f aca="false">1+IF($G$6=$E$6,$F$6,IF(P437&lt;($F$6-$E$6)/($G$6-$E$6),$E$6+SQRT(P437*($G$6-$E$6)*($F$6-$E$6)),$G$6-SQRT((1-P437)*($G$6-$E$6)*($G$6-$F$6))))</f>
        <v>0.95601092421223</v>
      </c>
      <c r="C437" s="51" t="n">
        <f aca="false">1+IF($G$7=$E$7,$F$7,IF(Q437&lt;($F$7-$E$7)/($G$7-$E$7),$E$7+SQRT(Q437*($G$7-$E$7)*($F$7-$E$7)),$G$7-SQRT((1-Q437)*($G$7-$E$7)*($G$7-$F$7))))</f>
        <v>1.0199030086793</v>
      </c>
      <c r="D437" s="51" t="n">
        <f aca="false">1+IF($G$8=$E$8,$F$8,IF(R437&lt;($F$8-$E$8)/($G$8-$E$8),$E$8+SQRT(R437*($G$8-$E$8)*($F$8-$E$8)),$G$8-SQRT((1-R437)*($G$8-$E$8)*($G$8-$F$8))))</f>
        <v>0.994358391236683</v>
      </c>
      <c r="E437" s="51" t="n">
        <f aca="false">1+IF($G$9=$E$9,$F$9,IF(S437&lt;($F$9-$E$9)/($G$9-$E$9),$E$9+SQRT(S437*($G$9-$E$9)*($F$9-$E$9)),$G$9-SQRT((1-S437)*($G$9-$E$9)*($G$9-$F$9))))</f>
        <v>0.999638456279865</v>
      </c>
      <c r="F437" s="51" t="n">
        <f aca="false">1+IF($G$10=$E$10,$F$10,IF(T437&lt;($F$10-$E$10)/($G$10-$E$10),$E$10+SQRT(T437*($G$10-$E$10)*($F$10-$E$10)),$G$10-SQRT((1-T437)*($G$10-$E$10)*($G$10-$F$10))))</f>
        <v>0.981575504476962</v>
      </c>
      <c r="G437" s="52" t="n">
        <f aca="false">IF($G$11=$E$11,$F$11,IF(U437&lt;($F$11-$E$11)/($G$11-$E$11),$E$11+SQRT(U437*($G$11-$E$11)*($F$11-$E$11)),$G$11-SQRT((1-U437)*($G$11-$E$11)*($G$11-$F$11))))</f>
        <v>0.105494814842588</v>
      </c>
      <c r="H437" s="53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-1963151008.95392</v>
      </c>
      <c r="I437" s="53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-11388678.3759394</v>
      </c>
      <c r="J437" s="53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268074773.76453</v>
      </c>
      <c r="K437" s="53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596617001.128847</v>
      </c>
      <c r="L437" s="53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723468812.899481</v>
      </c>
      <c r="M437" s="53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908804115.38044</v>
      </c>
      <c r="N437" s="53" t="n">
        <f aca="false">IF(COUNT('Business Case'!B11:G11)=0,"",H437+NPV(G437,I437:M437))</f>
        <v>-277705967.441487</v>
      </c>
      <c r="P437" s="54" t="n">
        <f aca="true">RAND()</f>
        <v>0.135081944022811</v>
      </c>
      <c r="Q437" s="54" t="n">
        <f aca="true">RAND()</f>
        <v>0.67761472093909</v>
      </c>
      <c r="R437" s="54" t="n">
        <f aca="true">RAND()</f>
        <v>0.302717980477946</v>
      </c>
      <c r="S437" s="54" t="n">
        <f aca="true">RAND()</f>
        <v>0.32853017891307</v>
      </c>
      <c r="T437" s="54" t="n">
        <f aca="true">RAND()</f>
        <v>0.0797609986379734</v>
      </c>
      <c r="U437" s="54" t="n">
        <f aca="true">RAND()</f>
        <v>0.649332672581979</v>
      </c>
    </row>
    <row r="438" customFormat="false" ht="15" hidden="false" customHeight="false" outlineLevel="0" collapsed="false">
      <c r="A438" s="50" t="n">
        <v>358</v>
      </c>
      <c r="B438" s="51" t="n">
        <f aca="false">1+IF($G$6=$E$6,$F$6,IF(P438&lt;($F$6-$E$6)/($G$6-$E$6),$E$6+SQRT(P438*($G$6-$E$6)*($F$6-$E$6)),$G$6-SQRT((1-P438)*($G$6-$E$6)*($G$6-$F$6))))</f>
        <v>0.967931883638635</v>
      </c>
      <c r="C438" s="51" t="n">
        <f aca="false">1+IF($G$7=$E$7,$F$7,IF(Q438&lt;($F$7-$E$7)/($G$7-$E$7),$E$7+SQRT(Q438*($G$7-$E$7)*($F$7-$E$7)),$G$7-SQRT((1-Q438)*($G$7-$E$7)*($G$7-$F$7))))</f>
        <v>1.0168191956464</v>
      </c>
      <c r="D438" s="51" t="n">
        <f aca="false">1+IF($G$8=$E$8,$F$8,IF(R438&lt;($F$8-$E$8)/($G$8-$E$8),$E$8+SQRT(R438*($G$8-$E$8)*($F$8-$E$8)),$G$8-SQRT((1-R438)*($G$8-$E$8)*($G$8-$F$8))))</f>
        <v>0.984492085721104</v>
      </c>
      <c r="E438" s="51" t="n">
        <f aca="false">1+IF($G$9=$E$9,$F$9,IF(S438&lt;($F$9-$E$9)/($G$9-$E$9),$E$9+SQRT(S438*($G$9-$E$9)*($F$9-$E$9)),$G$9-SQRT((1-S438)*($G$9-$E$9)*($G$9-$F$9))))</f>
        <v>1.05342066892177</v>
      </c>
      <c r="F438" s="51" t="n">
        <f aca="false">1+IF($G$10=$E$10,$F$10,IF(T438&lt;($F$10-$E$10)/($G$10-$E$10),$E$10+SQRT(T438*($G$10-$E$10)*($F$10-$E$10)),$G$10-SQRT((1-T438)*($G$10-$E$10)*($G$10-$F$10))))</f>
        <v>1.1294133159061</v>
      </c>
      <c r="G438" s="52" t="n">
        <f aca="false">IF($G$11=$E$11,$F$11,IF(U438&lt;($F$11-$E$11)/($G$11-$E$11),$E$11+SQRT(U438*($G$11-$E$11)*($F$11-$E$11)),$G$11-SQRT((1-U438)*($G$11-$E$11)*($G$11-$F$11))))</f>
        <v>0.104244547165904</v>
      </c>
      <c r="H438" s="53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-2258826631.8122</v>
      </c>
      <c r="I438" s="53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-20076771.5759936</v>
      </c>
      <c r="J438" s="53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273605743.091022</v>
      </c>
      <c r="K438" s="53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623758923.553342</v>
      </c>
      <c r="L438" s="53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755667452.130162</v>
      </c>
      <c r="M438" s="53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942746415.746481</v>
      </c>
      <c r="N438" s="53" t="n">
        <f aca="false">IF(COUNT('Business Case'!B11:G11)=0,"",H438+NPV(G438,I438:M438))</f>
        <v>-506918636.408565</v>
      </c>
      <c r="P438" s="54" t="n">
        <f aca="true">RAND()</f>
        <v>0.239319319702876</v>
      </c>
      <c r="Q438" s="54" t="n">
        <f aca="true">RAND()</f>
        <v>0.662149968604362</v>
      </c>
      <c r="R438" s="54" t="n">
        <f aca="true">RAND()</f>
        <v>0.183031381137224</v>
      </c>
      <c r="S438" s="54" t="n">
        <f aca="true">RAND()</f>
        <v>0.855357727753644</v>
      </c>
      <c r="T438" s="54" t="n">
        <f aca="true">RAND()</f>
        <v>0.900350400572555</v>
      </c>
      <c r="U438" s="54" t="n">
        <f aca="true">RAND()</f>
        <v>0.586276176654283</v>
      </c>
    </row>
    <row r="439" customFormat="false" ht="15" hidden="false" customHeight="false" outlineLevel="0" collapsed="false">
      <c r="A439" s="50" t="n">
        <v>359</v>
      </c>
      <c r="B439" s="51" t="n">
        <f aca="false">1+IF($G$6=$E$6,$F$6,IF(P439&lt;($F$6-$E$6)/($G$6-$E$6),$E$6+SQRT(P439*($G$6-$E$6)*($F$6-$E$6)),$G$6-SQRT((1-P439)*($G$6-$E$6)*($G$6-$F$6))))</f>
        <v>1.01964542564237</v>
      </c>
      <c r="C439" s="51" t="n">
        <f aca="false">1+IF($G$7=$E$7,$F$7,IF(Q439&lt;($F$7-$E$7)/($G$7-$E$7),$E$7+SQRT(Q439*($G$7-$E$7)*($F$7-$E$7)),$G$7-SQRT((1-Q439)*($G$7-$E$7)*($G$7-$F$7))))</f>
        <v>1.02539541753931</v>
      </c>
      <c r="D439" s="51" t="n">
        <f aca="false">1+IF($G$8=$E$8,$F$8,IF(R439&lt;($F$8-$E$8)/($G$8-$E$8),$E$8+SQRT(R439*($G$8-$E$8)*($F$8-$E$8)),$G$8-SQRT((1-R439)*($G$8-$E$8)*($G$8-$F$8))))</f>
        <v>1.01972989091693</v>
      </c>
      <c r="E439" s="51" t="n">
        <f aca="false">1+IF($G$9=$E$9,$F$9,IF(S439&lt;($F$9-$E$9)/($G$9-$E$9),$E$9+SQRT(S439*($G$9-$E$9)*($F$9-$E$9)),$G$9-SQRT((1-S439)*($G$9-$E$9)*($G$9-$F$9))))</f>
        <v>1.04116290034715</v>
      </c>
      <c r="F439" s="51" t="n">
        <f aca="false">1+IF($G$10=$E$10,$F$10,IF(T439&lt;($F$10-$E$10)/($G$10-$E$10),$E$10+SQRT(T439*($G$10-$E$10)*($F$10-$E$10)),$G$10-SQRT((1-T439)*($G$10-$E$10)*($G$10-$F$10))))</f>
        <v>1.03486074117148</v>
      </c>
      <c r="G439" s="52" t="n">
        <f aca="false">IF($G$11=$E$11,$F$11,IF(U439&lt;($F$11-$E$11)/($G$11-$E$11),$E$11+SQRT(U439*($G$11-$E$11)*($F$11-$E$11)),$G$11-SQRT((1-U439)*($G$11-$E$11)*($G$11-$F$11))))</f>
        <v>0.104154986664604</v>
      </c>
      <c r="H439" s="53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-2069721482.34295</v>
      </c>
      <c r="I439" s="53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15355067.7839549</v>
      </c>
      <c r="J439" s="53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336450354.597274</v>
      </c>
      <c r="K439" s="53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709288678.469167</v>
      </c>
      <c r="L439" s="53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852454294.395509</v>
      </c>
      <c r="M439" s="53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1051190489.4993</v>
      </c>
      <c r="N439" s="53" t="n">
        <f aca="false">IF(COUNT('Business Case'!B11:G11)=0,"",H439+NPV(G439,I439:M439))</f>
        <v>-38898759.3243613</v>
      </c>
      <c r="P439" s="54" t="n">
        <f aca="true">RAND()</f>
        <v>0.913685688066596</v>
      </c>
      <c r="Q439" s="54" t="n">
        <f aca="true">RAND()</f>
        <v>0.704260914853283</v>
      </c>
      <c r="R439" s="54" t="n">
        <f aca="true">RAND()</f>
        <v>0.650722495299556</v>
      </c>
      <c r="S439" s="54" t="n">
        <f aca="true">RAND()</f>
        <v>0.769213046962677</v>
      </c>
      <c r="T439" s="54" t="n">
        <f aca="true">RAND()</f>
        <v>0.454580503871318</v>
      </c>
      <c r="U439" s="54" t="n">
        <f aca="true">RAND()</f>
        <v>0.581559254001886</v>
      </c>
    </row>
    <row r="440" customFormat="false" ht="15" hidden="false" customHeight="false" outlineLevel="0" collapsed="false">
      <c r="A440" s="50" t="n">
        <v>360</v>
      </c>
      <c r="B440" s="51" t="n">
        <f aca="false">1+IF($G$6=$E$6,$F$6,IF(P440&lt;($F$6-$E$6)/($G$6-$E$6),$E$6+SQRT(P440*($G$6-$E$6)*($F$6-$E$6)),$G$6-SQRT((1-P440)*($G$6-$E$6)*($G$6-$F$6))))</f>
        <v>1.00990375414636</v>
      </c>
      <c r="C440" s="51" t="n">
        <f aca="false">1+IF($G$7=$E$7,$F$7,IF(Q440&lt;($F$7-$E$7)/($G$7-$E$7),$E$7+SQRT(Q440*($G$7-$E$7)*($F$7-$E$7)),$G$7-SQRT((1-Q440)*($G$7-$E$7)*($G$7-$F$7))))</f>
        <v>1.09253386738426</v>
      </c>
      <c r="D440" s="51" t="n">
        <f aca="false">1+IF($G$8=$E$8,$F$8,IF(R440&lt;($F$8-$E$8)/($G$8-$E$8),$E$8+SQRT(R440*($G$8-$E$8)*($F$8-$E$8)),$G$8-SQRT((1-R440)*($G$8-$E$8)*($G$8-$F$8))))</f>
        <v>1.06296892288349</v>
      </c>
      <c r="E440" s="51" t="n">
        <f aca="false">1+IF($G$9=$E$9,$F$9,IF(S440&lt;($F$9-$E$9)/($G$9-$E$9),$E$9+SQRT(S440*($G$9-$E$9)*($F$9-$E$9)),$G$9-SQRT((1-S440)*($G$9-$E$9)*($G$9-$F$9))))</f>
        <v>1.00686869673873</v>
      </c>
      <c r="F440" s="51" t="n">
        <f aca="false">1+IF($G$10=$E$10,$F$10,IF(T440&lt;($F$10-$E$10)/($G$10-$E$10),$E$10+SQRT(T440*($G$10-$E$10)*($F$10-$E$10)),$G$10-SQRT((1-T440)*($G$10-$E$10)*($G$10-$F$10))))</f>
        <v>1.13610101302194</v>
      </c>
      <c r="G440" s="52" t="n">
        <f aca="false">IF($G$11=$E$11,$F$11,IF(U440&lt;($F$11-$E$11)/($G$11-$E$11),$E$11+SQRT(U440*($G$11-$E$11)*($F$11-$E$11)),$G$11-SQRT((1-U440)*($G$11-$E$11)*($G$11-$F$11))))</f>
        <v>0.101212575595084</v>
      </c>
      <c r="H440" s="53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-2272202026.04388</v>
      </c>
      <c r="I440" s="53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-4766114.59231266</v>
      </c>
      <c r="J440" s="53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304452474.96372</v>
      </c>
      <c r="K440" s="53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670476115.170851</v>
      </c>
      <c r="L440" s="53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811680894.469465</v>
      </c>
      <c r="M440" s="53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1021406433.09245</v>
      </c>
      <c r="N440" s="53" t="n">
        <f aca="false">IF(COUNT('Business Case'!B11:G11)=0,"",H440+NPV(G440,I440:M440))</f>
        <v>-340713706.016499</v>
      </c>
      <c r="P440" s="54" t="n">
        <f aca="true">RAND()</f>
        <v>0.811294996982738</v>
      </c>
      <c r="Q440" s="54" t="n">
        <f aca="true">RAND()</f>
        <v>0.937097973375057</v>
      </c>
      <c r="R440" s="54" t="n">
        <f aca="true">RAND()</f>
        <v>0.97210984733187</v>
      </c>
      <c r="S440" s="54" t="n">
        <f aca="true">RAND()</f>
        <v>0.42177069019047</v>
      </c>
      <c r="T440" s="54" t="n">
        <f aca="true">RAND()</f>
        <v>0.918338389263556</v>
      </c>
      <c r="U440" s="54" t="n">
        <f aca="true">RAND()</f>
        <v>0.411721140382619</v>
      </c>
    </row>
    <row r="441" customFormat="false" ht="15" hidden="false" customHeight="false" outlineLevel="0" collapsed="false">
      <c r="A441" s="50" t="n">
        <v>361</v>
      </c>
      <c r="B441" s="51" t="n">
        <f aca="false">1+IF($G$6=$E$6,$F$6,IF(P441&lt;($F$6-$E$6)/($G$6-$E$6),$E$6+SQRT(P441*($G$6-$E$6)*($F$6-$E$6)),$G$6-SQRT((1-P441)*($G$6-$E$6)*($G$6-$F$6))))</f>
        <v>0.997981892715512</v>
      </c>
      <c r="C441" s="51" t="n">
        <f aca="false">1+IF($G$7=$E$7,$F$7,IF(Q441&lt;($F$7-$E$7)/($G$7-$E$7),$E$7+SQRT(Q441*($G$7-$E$7)*($F$7-$E$7)),$G$7-SQRT((1-Q441)*($G$7-$E$7)*($G$7-$F$7))))</f>
        <v>1.01173014452131</v>
      </c>
      <c r="D441" s="51" t="n">
        <f aca="false">1+IF($G$8=$E$8,$F$8,IF(R441&lt;($F$8-$E$8)/($G$8-$E$8),$E$8+SQRT(R441*($G$8-$E$8)*($F$8-$E$8)),$G$8-SQRT((1-R441)*($G$8-$E$8)*($G$8-$F$8))))</f>
        <v>1.03266919432473</v>
      </c>
      <c r="E441" s="51" t="n">
        <f aca="false">1+IF($G$9=$E$9,$F$9,IF(S441&lt;($F$9-$E$9)/($G$9-$E$9),$E$9+SQRT(S441*($G$9-$E$9)*($F$9-$E$9)),$G$9-SQRT((1-S441)*($G$9-$E$9)*($G$9-$F$9))))</f>
        <v>0.950982917564634</v>
      </c>
      <c r="F441" s="51" t="n">
        <f aca="false">1+IF($G$10=$E$10,$F$10,IF(T441&lt;($F$10-$E$10)/($G$10-$E$10),$E$10+SQRT(T441*($G$10-$E$10)*($F$10-$E$10)),$G$10-SQRT((1-T441)*($G$10-$E$10)*($G$10-$F$10))))</f>
        <v>1.12053074584072</v>
      </c>
      <c r="G441" s="52" t="n">
        <f aca="false">IF($G$11=$E$11,$F$11,IF(U441&lt;($F$11-$E$11)/($G$11-$E$11),$E$11+SQRT(U441*($G$11-$E$11)*($F$11-$E$11)),$G$11-SQRT((1-U441)*($G$11-$E$11)*($G$11-$F$11))))</f>
        <v>0.109786951986969</v>
      </c>
      <c r="H441" s="53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-2241061491.68143</v>
      </c>
      <c r="I441" s="53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-7462706.79663625</v>
      </c>
      <c r="J441" s="53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284699676.686592</v>
      </c>
      <c r="K441" s="53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632888597.461855</v>
      </c>
      <c r="L441" s="53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765170888.501665</v>
      </c>
      <c r="M441" s="53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957092452.834704</v>
      </c>
      <c r="N441" s="53" t="n">
        <f aca="false">IF(COUNT('Business Case'!B11:G11)=0,"",H441+NPV(G441,I441:M441))</f>
        <v>-480637210.811549</v>
      </c>
      <c r="P441" s="54" t="n">
        <f aca="true">RAND()</f>
        <v>0.63345579078058</v>
      </c>
      <c r="Q441" s="54" t="n">
        <f aca="true">RAND()</f>
        <v>0.635837086969556</v>
      </c>
      <c r="R441" s="54" t="n">
        <f aca="true">RAND()</f>
        <v>0.7845956571279</v>
      </c>
      <c r="S441" s="54" t="n">
        <f aca="true">RAND()</f>
        <v>0.000128816925182027</v>
      </c>
      <c r="T441" s="54" t="n">
        <f aca="true">RAND()</f>
        <v>0.87369275286734</v>
      </c>
      <c r="U441" s="54" t="n">
        <f aca="true">RAND()</f>
        <v>0.826156083805862</v>
      </c>
    </row>
    <row r="442" customFormat="false" ht="15" hidden="false" customHeight="false" outlineLevel="0" collapsed="false">
      <c r="A442" s="50" t="n">
        <v>362</v>
      </c>
      <c r="B442" s="51" t="n">
        <f aca="false">1+IF($G$6=$E$6,$F$6,IF(P442&lt;($F$6-$E$6)/($G$6-$E$6),$E$6+SQRT(P442*($G$6-$E$6)*($F$6-$E$6)),$G$6-SQRT((1-P442)*($G$6-$E$6)*($G$6-$F$6))))</f>
        <v>0.988930125814175</v>
      </c>
      <c r="C442" s="51" t="n">
        <f aca="false">1+IF($G$7=$E$7,$F$7,IF(Q442&lt;($F$7-$E$7)/($G$7-$E$7),$E$7+SQRT(Q442*($G$7-$E$7)*($F$7-$E$7)),$G$7-SQRT((1-Q442)*($G$7-$E$7)*($G$7-$F$7))))</f>
        <v>0.973878636076679</v>
      </c>
      <c r="D442" s="51" t="n">
        <f aca="false">1+IF($G$8=$E$8,$F$8,IF(R442&lt;($F$8-$E$8)/($G$8-$E$8),$E$8+SQRT(R442*($G$8-$E$8)*($F$8-$E$8)),$G$8-SQRT((1-R442)*($G$8-$E$8)*($G$8-$F$8))))</f>
        <v>1.02588430499098</v>
      </c>
      <c r="E442" s="51" t="n">
        <f aca="false">1+IF($G$9=$E$9,$F$9,IF(S442&lt;($F$9-$E$9)/($G$9-$E$9),$E$9+SQRT(S442*($G$9-$E$9)*($F$9-$E$9)),$G$9-SQRT((1-S442)*($G$9-$E$9)*($G$9-$F$9))))</f>
        <v>0.990180739950486</v>
      </c>
      <c r="F442" s="51" t="n">
        <f aca="false">1+IF($G$10=$E$10,$F$10,IF(T442&lt;($F$10-$E$10)/($G$10-$E$10),$E$10+SQRT(T442*($G$10-$E$10)*($F$10-$E$10)),$G$10-SQRT((1-T442)*($G$10-$E$10)*($G$10-$F$10))))</f>
        <v>1.11051246950009</v>
      </c>
      <c r="G442" s="52" t="n">
        <f aca="false">IF($G$11=$E$11,$F$11,IF(U442&lt;($F$11-$E$11)/($G$11-$E$11),$E$11+SQRT(U442*($G$11-$E$11)*($F$11-$E$11)),$G$11-SQRT((1-U442)*($G$11-$E$11)*($G$11-$F$11))))</f>
        <v>0.110013022375985</v>
      </c>
      <c r="H442" s="53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-2221024939.00018</v>
      </c>
      <c r="I442" s="53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-24387921.8065358</v>
      </c>
      <c r="J442" s="53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253006100.839719</v>
      </c>
      <c r="K442" s="53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585925746.960978</v>
      </c>
      <c r="L442" s="53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711675085.364277</v>
      </c>
      <c r="M442" s="53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894740738.397624</v>
      </c>
      <c r="N442" s="53" t="n">
        <f aca="false">IF(COUNT('Business Case'!B11:G11)=0,"",H442+NPV(G442,I442:M442))</f>
        <v>-609512038.379657</v>
      </c>
      <c r="P442" s="54" t="n">
        <f aca="true">RAND()</f>
        <v>0.494933567162298</v>
      </c>
      <c r="Q442" s="54" t="n">
        <f aca="true">RAND()</f>
        <v>0.431911144055515</v>
      </c>
      <c r="R442" s="54" t="n">
        <f aca="true">RAND()</f>
        <v>0.718412649393373</v>
      </c>
      <c r="S442" s="54" t="n">
        <f aca="true">RAND()</f>
        <v>0.215265581729149</v>
      </c>
      <c r="T442" s="54" t="n">
        <f aca="true">RAND()</f>
        <v>0.839839637700556</v>
      </c>
      <c r="U442" s="54" t="n">
        <f aca="true">RAND()</f>
        <v>0.833767129895707</v>
      </c>
    </row>
    <row r="443" customFormat="false" ht="15" hidden="false" customHeight="false" outlineLevel="0" collapsed="false">
      <c r="A443" s="50" t="n">
        <v>363</v>
      </c>
      <c r="B443" s="51" t="n">
        <f aca="false">1+IF($G$6=$E$6,$F$6,IF(P443&lt;($F$6-$E$6)/($G$6-$E$6),$E$6+SQRT(P443*($G$6-$E$6)*($F$6-$E$6)),$G$6-SQRT((1-P443)*($G$6-$E$6)*($G$6-$F$6))))</f>
        <v>0.983426445789302</v>
      </c>
      <c r="C443" s="51" t="n">
        <f aca="false">1+IF($G$7=$E$7,$F$7,IF(Q443&lt;($F$7-$E$7)/($G$7-$E$7),$E$7+SQRT(Q443*($G$7-$E$7)*($F$7-$E$7)),$G$7-SQRT((1-Q443)*($G$7-$E$7)*($G$7-$F$7))))</f>
        <v>0.950040453104978</v>
      </c>
      <c r="D443" s="51" t="n">
        <f aca="false">1+IF($G$8=$E$8,$F$8,IF(R443&lt;($F$8-$E$8)/($G$8-$E$8),$E$8+SQRT(R443*($G$8-$E$8)*($F$8-$E$8)),$G$8-SQRT((1-R443)*($G$8-$E$8)*($G$8-$F$8))))</f>
        <v>1.01270238373476</v>
      </c>
      <c r="E443" s="51" t="n">
        <f aca="false">1+IF($G$9=$E$9,$F$9,IF(S443&lt;($F$9-$E$9)/($G$9-$E$9),$E$9+SQRT(S443*($G$9-$E$9)*($F$9-$E$9)),$G$9-SQRT((1-S443)*($G$9-$E$9)*($G$9-$F$9))))</f>
        <v>1.03907145624798</v>
      </c>
      <c r="F443" s="51" t="n">
        <f aca="false">1+IF($G$10=$E$10,$F$10,IF(T443&lt;($F$10-$E$10)/($G$10-$E$10),$E$10+SQRT(T443*($G$10-$E$10)*($F$10-$E$10)),$G$10-SQRT((1-T443)*($G$10-$E$10)*($G$10-$F$10))))</f>
        <v>1.02819832783332</v>
      </c>
      <c r="G443" s="52" t="n">
        <f aca="false">IF($G$11=$E$11,$F$11,IF(U443&lt;($F$11-$E$11)/($G$11-$E$11),$E$11+SQRT(U443*($G$11-$E$11)*($F$11-$E$11)),$G$11-SQRT((1-U443)*($G$11-$E$11)*($G$11-$F$11))))</f>
        <v>0.104004457743292</v>
      </c>
      <c r="H443" s="53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-2056396655.66663</v>
      </c>
      <c r="I443" s="53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-26277290.295609</v>
      </c>
      <c r="J443" s="53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246455061.205553</v>
      </c>
      <c r="K443" s="53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570597329.09838</v>
      </c>
      <c r="L443" s="53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693797344.888751</v>
      </c>
      <c r="M443" s="53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871388120.65033</v>
      </c>
      <c r="N443" s="53" t="n">
        <f aca="false">IF(COUNT('Business Case'!B11:G11)=0,"",H443+NPV(G443,I443:M443))</f>
        <v>-455584793.065902</v>
      </c>
      <c r="P443" s="54" t="n">
        <f aca="true">RAND()</f>
        <v>0.419053544319084</v>
      </c>
      <c r="Q443" s="54" t="n">
        <f aca="true">RAND()</f>
        <v>0.321601965256387</v>
      </c>
      <c r="R443" s="54" t="n">
        <f aca="true">RAND()</f>
        <v>0.564522196636241</v>
      </c>
      <c r="S443" s="54" t="n">
        <f aca="true">RAND()</f>
        <v>0.752514170417235</v>
      </c>
      <c r="T443" s="54" t="n">
        <f aca="true">RAND()</f>
        <v>0.409683708814626</v>
      </c>
      <c r="U443" s="54" t="n">
        <f aca="true">RAND()</f>
        <v>0.573571046523121</v>
      </c>
    </row>
    <row r="444" customFormat="false" ht="15" hidden="false" customHeight="false" outlineLevel="0" collapsed="false">
      <c r="A444" s="50" t="n">
        <v>364</v>
      </c>
      <c r="B444" s="51" t="n">
        <f aca="false">1+IF($G$6=$E$6,$F$6,IF(P444&lt;($F$6-$E$6)/($G$6-$E$6),$E$6+SQRT(P444*($G$6-$E$6)*($F$6-$E$6)),$G$6-SQRT((1-P444)*($G$6-$E$6)*($G$6-$F$6))))</f>
        <v>1.00701380061342</v>
      </c>
      <c r="C444" s="51" t="n">
        <f aca="false">1+IF($G$7=$E$7,$F$7,IF(Q444&lt;($F$7-$E$7)/($G$7-$E$7),$E$7+SQRT(Q444*($G$7-$E$7)*($F$7-$E$7)),$G$7-SQRT((1-Q444)*($G$7-$E$7)*($G$7-$F$7))))</f>
        <v>1.04346277479284</v>
      </c>
      <c r="D444" s="51" t="n">
        <f aca="false">1+IF($G$8=$E$8,$F$8,IF(R444&lt;($F$8-$E$8)/($G$8-$E$8),$E$8+SQRT(R444*($G$8-$E$8)*($F$8-$E$8)),$G$8-SQRT((1-R444)*($G$8-$E$8)*($G$8-$F$8))))</f>
        <v>1.01761562840291</v>
      </c>
      <c r="E444" s="51" t="n">
        <f aca="false">1+IF($G$9=$E$9,$F$9,IF(S444&lt;($F$9-$E$9)/($G$9-$E$9),$E$9+SQRT(S444*($G$9-$E$9)*($F$9-$E$9)),$G$9-SQRT((1-S444)*($G$9-$E$9)*($G$9-$F$9))))</f>
        <v>0.985979397297437</v>
      </c>
      <c r="F444" s="51" t="n">
        <f aca="false">1+IF($G$10=$E$10,$F$10,IF(T444&lt;($F$10-$E$10)/($G$10-$E$10),$E$10+SQRT(T444*($G$10-$E$10)*($F$10-$E$10)),$G$10-SQRT((1-T444)*($G$10-$E$10)*($G$10-$F$10))))</f>
        <v>0.988229355848781</v>
      </c>
      <c r="G444" s="52" t="n">
        <f aca="false">IF($G$11=$E$11,$F$11,IF(U444&lt;($F$11-$E$11)/($G$11-$E$11),$E$11+SQRT(U444*($G$11-$E$11)*($F$11-$E$11)),$G$11-SQRT((1-U444)*($G$11-$E$11)*($G$11-$F$11))))</f>
        <v>0.100534846009489</v>
      </c>
      <c r="H444" s="53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-1976458711.69756</v>
      </c>
      <c r="I444" s="53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23584725.9904462</v>
      </c>
      <c r="J444" s="53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340671166.396547</v>
      </c>
      <c r="K444" s="53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707169074.595087</v>
      </c>
      <c r="L444" s="53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849179560.420508</v>
      </c>
      <c r="M444" s="53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1048912091.7158</v>
      </c>
      <c r="N444" s="53" t="n">
        <f aca="false">IF(COUNT('Business Case'!B11:G11)=0,"",H444+NPV(G444,I444:M444))</f>
        <v>85361919.3679667</v>
      </c>
      <c r="P444" s="54" t="n">
        <f aca="true">RAND()</f>
        <v>0.773314718756008</v>
      </c>
      <c r="Q444" s="54" t="n">
        <f aca="true">RAND()</f>
        <v>0.783806088479231</v>
      </c>
      <c r="R444" s="54" t="n">
        <f aca="true">RAND()</f>
        <v>0.625787517349648</v>
      </c>
      <c r="S444" s="54" t="n">
        <f aca="true">RAND()</f>
        <v>0.172602270651579</v>
      </c>
      <c r="T444" s="54" t="n">
        <f aca="true">RAND()</f>
        <v>0.116918691889017</v>
      </c>
      <c r="U444" s="54" t="n">
        <f aca="true">RAND()</f>
        <v>0.368512966876133</v>
      </c>
    </row>
    <row r="445" customFormat="false" ht="15" hidden="false" customHeight="false" outlineLevel="0" collapsed="false">
      <c r="A445" s="50" t="n">
        <v>365</v>
      </c>
      <c r="B445" s="51" t="n">
        <f aca="false">1+IF($G$6=$E$6,$F$6,IF(P445&lt;($F$6-$E$6)/($G$6-$E$6),$E$6+SQRT(P445*($G$6-$E$6)*($F$6-$E$6)),$G$6-SQRT((1-P445)*($G$6-$E$6)*($G$6-$F$6))))</f>
        <v>0.997682984174215</v>
      </c>
      <c r="C445" s="51" t="n">
        <f aca="false">1+IF($G$7=$E$7,$F$7,IF(Q445&lt;($F$7-$E$7)/($G$7-$E$7),$E$7+SQRT(Q445*($G$7-$E$7)*($F$7-$E$7)),$G$7-SQRT((1-Q445)*($G$7-$E$7)*($G$7-$F$7))))</f>
        <v>1.04130327582627</v>
      </c>
      <c r="D445" s="51" t="n">
        <f aca="false">1+IF($G$8=$E$8,$F$8,IF(R445&lt;($F$8-$E$8)/($G$8-$E$8),$E$8+SQRT(R445*($G$8-$E$8)*($F$8-$E$8)),$G$8-SQRT((1-R445)*($G$8-$E$8)*($G$8-$F$8))))</f>
        <v>0.997076548610536</v>
      </c>
      <c r="E445" s="51" t="n">
        <f aca="false">1+IF($G$9=$E$9,$F$9,IF(S445&lt;($F$9-$E$9)/($G$9-$E$9),$E$9+SQRT(S445*($G$9-$E$9)*($F$9-$E$9)),$G$9-SQRT((1-S445)*($G$9-$E$9)*($G$9-$F$9))))</f>
        <v>1.03710149037926</v>
      </c>
      <c r="F445" s="51" t="n">
        <f aca="false">1+IF($G$10=$E$10,$F$10,IF(T445&lt;($F$10-$E$10)/($G$10-$E$10),$E$10+SQRT(T445*($G$10-$E$10)*($F$10-$E$10)),$G$10-SQRT((1-T445)*($G$10-$E$10)*($G$10-$F$10))))</f>
        <v>1.14557761055786</v>
      </c>
      <c r="G445" s="52" t="n">
        <f aca="false">IF($G$11=$E$11,$F$11,IF(U445&lt;($F$11-$E$11)/($G$11-$E$11),$E$11+SQRT(U445*($G$11-$E$11)*($F$11-$E$11)),$G$11-SQRT((1-U445)*($G$11-$E$11)*($G$11-$F$11))))</f>
        <v>0.0974042556054127</v>
      </c>
      <c r="H445" s="53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-2291155221.11572</v>
      </c>
      <c r="I445" s="53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3530902.53028482</v>
      </c>
      <c r="J445" s="53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322951484.660891</v>
      </c>
      <c r="K445" s="53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699650947.31939</v>
      </c>
      <c r="L445" s="53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842028532.437996</v>
      </c>
      <c r="M445" s="53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1039500850.01755</v>
      </c>
      <c r="N445" s="53" t="n">
        <f aca="false">IF(COUNT('Business Case'!B11:G11)=0,"",H445+NPV(G445,I445:M445))</f>
        <v>-256678943.725285</v>
      </c>
      <c r="P445" s="54" t="n">
        <f aca="true">RAND()</f>
        <v>0.62860896148035</v>
      </c>
      <c r="Q445" s="54" t="n">
        <f aca="true">RAND()</f>
        <v>0.774952802931426</v>
      </c>
      <c r="R445" s="54" t="n">
        <f aca="true">RAND()</f>
        <v>0.340954066012327</v>
      </c>
      <c r="S445" s="54" t="n">
        <f aca="true">RAND()</f>
        <v>0.736251832499292</v>
      </c>
      <c r="T445" s="54" t="n">
        <f aca="true">RAND()</f>
        <v>0.940764070548157</v>
      </c>
      <c r="U445" s="54" t="n">
        <f aca="true">RAND()</f>
        <v>0.18274333690095</v>
      </c>
    </row>
    <row r="446" customFormat="false" ht="15" hidden="false" customHeight="false" outlineLevel="0" collapsed="false">
      <c r="A446" s="50" t="n">
        <v>366</v>
      </c>
      <c r="B446" s="51" t="n">
        <f aca="false">1+IF($G$6=$E$6,$F$6,IF(P446&lt;($F$6-$E$6)/($G$6-$E$6),$E$6+SQRT(P446*($G$6-$E$6)*($F$6-$E$6)),$G$6-SQRT((1-P446)*($G$6-$E$6)*($G$6-$F$6))))</f>
        <v>0.969325385402083</v>
      </c>
      <c r="C446" s="51" t="n">
        <f aca="false">1+IF($G$7=$E$7,$F$7,IF(Q446&lt;($F$7-$E$7)/($G$7-$E$7),$E$7+SQRT(Q446*($G$7-$E$7)*($F$7-$E$7)),$G$7-SQRT((1-Q446)*($G$7-$E$7)*($G$7-$F$7))))</f>
        <v>1.05994501206473</v>
      </c>
      <c r="D446" s="51" t="n">
        <f aca="false">1+IF($G$8=$E$8,$F$8,IF(R446&lt;($F$8-$E$8)/($G$8-$E$8),$E$8+SQRT(R446*($G$8-$E$8)*($F$8-$E$8)),$G$8-SQRT((1-R446)*($G$8-$E$8)*($G$8-$F$8))))</f>
        <v>1.00722796767731</v>
      </c>
      <c r="E446" s="51" t="n">
        <f aca="false">1+IF($G$9=$E$9,$F$9,IF(S446&lt;($F$9-$E$9)/($G$9-$E$9),$E$9+SQRT(S446*($G$9-$E$9)*($F$9-$E$9)),$G$9-SQRT((1-S446)*($G$9-$E$9)*($G$9-$F$9))))</f>
        <v>1.03584843629599</v>
      </c>
      <c r="F446" s="51" t="n">
        <f aca="false">1+IF($G$10=$E$10,$F$10,IF(T446&lt;($F$10-$E$10)/($G$10-$E$10),$E$10+SQRT(T446*($G$10-$E$10)*($F$10-$E$10)),$G$10-SQRT((1-T446)*($G$10-$E$10)*($G$10-$F$10))))</f>
        <v>1.09852105932962</v>
      </c>
      <c r="G446" s="52" t="n">
        <f aca="false">IF($G$11=$E$11,$F$11,IF(U446&lt;($F$11-$E$11)/($G$11-$E$11),$E$11+SQRT(U446*($G$11-$E$11)*($F$11-$E$11)),$G$11-SQRT((1-U446)*($G$11-$E$11)*($G$11-$F$11))))</f>
        <v>0.108362268679274</v>
      </c>
      <c r="H446" s="53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-2197042118.65925</v>
      </c>
      <c r="I446" s="53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-15400343.4225634</v>
      </c>
      <c r="J446" s="53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279611121.252836</v>
      </c>
      <c r="K446" s="53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629548638.894718</v>
      </c>
      <c r="L446" s="53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763393830.135658</v>
      </c>
      <c r="M446" s="53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958688030.055929</v>
      </c>
      <c r="N446" s="53" t="n">
        <f aca="false">IF(COUNT('Business Case'!B11:G11)=0,"",H446+NPV(G446,I446:M446))</f>
        <v>-441962503.631362</v>
      </c>
      <c r="P446" s="54" t="n">
        <f aca="true">RAND()</f>
        <v>0.253436838027502</v>
      </c>
      <c r="Q446" s="54" t="n">
        <f aca="true">RAND()</f>
        <v>0.845525698056719</v>
      </c>
      <c r="R446" s="54" t="n">
        <f aca="true">RAND()</f>
        <v>0.490791472271706</v>
      </c>
      <c r="S446" s="54" t="n">
        <f aca="true">RAND()</f>
        <v>0.725638458288727</v>
      </c>
      <c r="T446" s="54" t="n">
        <f aca="true">RAND()</f>
        <v>0.79404049200837</v>
      </c>
      <c r="U446" s="54" t="n">
        <f aca="true">RAND()</f>
        <v>0.774272016177656</v>
      </c>
    </row>
    <row r="447" customFormat="false" ht="15" hidden="false" customHeight="false" outlineLevel="0" collapsed="false">
      <c r="A447" s="50" t="n">
        <v>367</v>
      </c>
      <c r="B447" s="51" t="n">
        <f aca="false">1+IF($G$6=$E$6,$F$6,IF(P447&lt;($F$6-$E$6)/($G$6-$E$6),$E$6+SQRT(P447*($G$6-$E$6)*($F$6-$E$6)),$G$6-SQRT((1-P447)*($G$6-$E$6)*($G$6-$F$6))))</f>
        <v>1.01650169231391</v>
      </c>
      <c r="C447" s="51" t="n">
        <f aca="false">1+IF($G$7=$E$7,$F$7,IF(Q447&lt;($F$7-$E$7)/($G$7-$E$7),$E$7+SQRT(Q447*($G$7-$E$7)*($F$7-$E$7)),$G$7-SQRT((1-Q447)*($G$7-$E$7)*($G$7-$F$7))))</f>
        <v>1.0803447277254</v>
      </c>
      <c r="D447" s="51" t="n">
        <f aca="false">1+IF($G$8=$E$8,$F$8,IF(R447&lt;($F$8-$E$8)/($G$8-$E$8),$E$8+SQRT(R447*($G$8-$E$8)*($F$8-$E$8)),$G$8-SQRT((1-R447)*($G$8-$E$8)*($G$8-$F$8))))</f>
        <v>1.01548398676529</v>
      </c>
      <c r="E447" s="51" t="n">
        <f aca="false">1+IF($G$9=$E$9,$F$9,IF(S447&lt;($F$9-$E$9)/($G$9-$E$9),$E$9+SQRT(S447*($G$9-$E$9)*($F$9-$E$9)),$G$9-SQRT((1-S447)*($G$9-$E$9)*($G$9-$F$9))))</f>
        <v>1.04405962457852</v>
      </c>
      <c r="F447" s="51" t="n">
        <f aca="false">1+IF($G$10=$E$10,$F$10,IF(T447&lt;($F$10-$E$10)/($G$10-$E$10),$E$10+SQRT(T447*($G$10-$E$10)*($F$10-$E$10)),$G$10-SQRT((1-T447)*($G$10-$E$10)*($G$10-$F$10))))</f>
        <v>0.972142944317121</v>
      </c>
      <c r="G447" s="52" t="n">
        <f aca="false">IF($G$11=$E$11,$F$11,IF(U447&lt;($F$11-$E$11)/($G$11-$E$11),$E$11+SQRT(U447*($G$11-$E$11)*($F$11-$E$11)),$G$11-SQRT((1-U447)*($G$11-$E$11)*($G$11-$F$11))))</f>
        <v>0.0995433439511073</v>
      </c>
      <c r="H447" s="53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-1944285888.63424</v>
      </c>
      <c r="I447" s="53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35259821.045228</v>
      </c>
      <c r="J447" s="53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373128464.266986</v>
      </c>
      <c r="K447" s="53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759604254.7046</v>
      </c>
      <c r="L447" s="53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910179968.531687</v>
      </c>
      <c r="M447" s="53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1118920548.67411</v>
      </c>
      <c r="N447" s="53" t="n">
        <f aca="false">IF(COUNT('Business Case'!B11:G11)=0,"",H447+NPV(G447,I447:M447))</f>
        <v>286726012.745885</v>
      </c>
      <c r="P447" s="54" t="n">
        <f aca="true">RAND()</f>
        <v>0.884964486643748</v>
      </c>
      <c r="Q447" s="54" t="n">
        <f aca="true">RAND()</f>
        <v>0.907583677035267</v>
      </c>
      <c r="R447" s="54" t="n">
        <f aca="true">RAND()</f>
        <v>0.599777311182593</v>
      </c>
      <c r="S447" s="54" t="n">
        <f aca="true">RAND()</f>
        <v>0.791378293180241</v>
      </c>
      <c r="T447" s="54" t="n">
        <f aca="true">RAND()</f>
        <v>0.0392247986424905</v>
      </c>
      <c r="U447" s="54" t="n">
        <f aca="true">RAND()</f>
        <v>0.303584712563788</v>
      </c>
    </row>
    <row r="448" customFormat="false" ht="15" hidden="false" customHeight="false" outlineLevel="0" collapsed="false">
      <c r="A448" s="50" t="n">
        <v>368</v>
      </c>
      <c r="B448" s="51" t="n">
        <f aca="false">1+IF($G$6=$E$6,$F$6,IF(P448&lt;($F$6-$E$6)/($G$6-$E$6),$E$6+SQRT(P448*($G$6-$E$6)*($F$6-$E$6)),$G$6-SQRT((1-P448)*($G$6-$E$6)*($G$6-$F$6))))</f>
        <v>0.98773026338512</v>
      </c>
      <c r="C448" s="51" t="n">
        <f aca="false">1+IF($G$7=$E$7,$F$7,IF(Q448&lt;($F$7-$E$7)/($G$7-$E$7),$E$7+SQRT(Q448*($G$7-$E$7)*($F$7-$E$7)),$G$7-SQRT((1-Q448)*($G$7-$E$7)*($G$7-$F$7))))</f>
        <v>1.13377496659398</v>
      </c>
      <c r="D448" s="51" t="n">
        <f aca="false">1+IF($G$8=$E$8,$F$8,IF(R448&lt;($F$8-$E$8)/($G$8-$E$8),$E$8+SQRT(R448*($G$8-$E$8)*($F$8-$E$8)),$G$8-SQRT((1-R448)*($G$8-$E$8)*($G$8-$F$8))))</f>
        <v>1.07008433662388</v>
      </c>
      <c r="E448" s="51" t="n">
        <f aca="false">1+IF($G$9=$E$9,$F$9,IF(S448&lt;($F$9-$E$9)/($G$9-$E$9),$E$9+SQRT(S448*($G$9-$E$9)*($F$9-$E$9)),$G$9-SQRT((1-S448)*($G$9-$E$9)*($G$9-$F$9))))</f>
        <v>1.05172539818612</v>
      </c>
      <c r="F448" s="51" t="n">
        <f aca="false">1+IF($G$10=$E$10,$F$10,IF(T448&lt;($F$10-$E$10)/($G$10-$E$10),$E$10+SQRT(T448*($G$10-$E$10)*($F$10-$E$10)),$G$10-SQRT((1-T448)*($G$10-$E$10)*($G$10-$F$10))))</f>
        <v>1.05425826824038</v>
      </c>
      <c r="G448" s="52" t="n">
        <f aca="false">IF($G$11=$E$11,$F$11,IF(U448&lt;($F$11-$E$11)/($G$11-$E$11),$E$11+SQRT(U448*($G$11-$E$11)*($F$11-$E$11)),$G$11-SQRT((1-U448)*($G$11-$E$11)*($G$11-$F$11))))</f>
        <v>0.0998785041709753</v>
      </c>
      <c r="H448" s="53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-2108516536.48077</v>
      </c>
      <c r="I448" s="53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-16864975.5791071</v>
      </c>
      <c r="J448" s="53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279304969.083884</v>
      </c>
      <c r="K448" s="53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628187827.158895</v>
      </c>
      <c r="L448" s="53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765613636.577221</v>
      </c>
      <c r="M448" s="53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978477356.495864</v>
      </c>
      <c r="N448" s="53" t="n">
        <f aca="false">IF(COUNT('Business Case'!B11:G11)=0,"",H448+NPV(G448,I448:M448))</f>
        <v>-289796639.052933</v>
      </c>
      <c r="P448" s="54" t="n">
        <f aca="true">RAND()</f>
        <v>0.477852976897684</v>
      </c>
      <c r="Q448" s="54" t="n">
        <f aca="true">RAND()</f>
        <v>0.99498568173283</v>
      </c>
      <c r="R448" s="54" t="n">
        <f aca="true">RAND()</f>
        <v>0.990546117289571</v>
      </c>
      <c r="S448" s="54" t="n">
        <f aca="true">RAND()</f>
        <v>0.844637521314104</v>
      </c>
      <c r="T448" s="54" t="n">
        <f aca="true">RAND()</f>
        <v>0.575186952474165</v>
      </c>
      <c r="U448" s="54" t="n">
        <f aca="true">RAND()</f>
        <v>0.325282815519921</v>
      </c>
    </row>
    <row r="449" customFormat="false" ht="15" hidden="false" customHeight="false" outlineLevel="0" collapsed="false">
      <c r="A449" s="50" t="n">
        <v>369</v>
      </c>
      <c r="B449" s="51" t="n">
        <f aca="false">1+IF($G$6=$E$6,$F$6,IF(P449&lt;($F$6-$E$6)/($G$6-$E$6),$E$6+SQRT(P449*($G$6-$E$6)*($F$6-$E$6)),$G$6-SQRT((1-P449)*($G$6-$E$6)*($G$6-$F$6))))</f>
        <v>0.972998003201149</v>
      </c>
      <c r="C449" s="51" t="n">
        <f aca="false">1+IF($G$7=$E$7,$F$7,IF(Q449&lt;($F$7-$E$7)/($G$7-$E$7),$E$7+SQRT(Q449*($G$7-$E$7)*($F$7-$E$7)),$G$7-SQRT((1-Q449)*($G$7-$E$7)*($G$7-$F$7))))</f>
        <v>1.00478880982025</v>
      </c>
      <c r="D449" s="51" t="n">
        <f aca="false">1+IF($G$8=$E$8,$F$8,IF(R449&lt;($F$8-$E$8)/($G$8-$E$8),$E$8+SQRT(R449*($G$8-$E$8)*($F$8-$E$8)),$G$8-SQRT((1-R449)*($G$8-$E$8)*($G$8-$F$8))))</f>
        <v>1.04293981347154</v>
      </c>
      <c r="E449" s="51" t="n">
        <f aca="false">1+IF($G$9=$E$9,$F$9,IF(S449&lt;($F$9-$E$9)/($G$9-$E$9),$E$9+SQRT(S449*($G$9-$E$9)*($F$9-$E$9)),$G$9-SQRT((1-S449)*($G$9-$E$9)*($G$9-$F$9))))</f>
        <v>1.00502878589347</v>
      </c>
      <c r="F449" s="51" t="n">
        <f aca="false">1+IF($G$10=$E$10,$F$10,IF(T449&lt;($F$10-$E$10)/($G$10-$E$10),$E$10+SQRT(T449*($G$10-$E$10)*($F$10-$E$10)),$G$10-SQRT((1-T449)*($G$10-$E$10)*($G$10-$F$10))))</f>
        <v>1.04328177473346</v>
      </c>
      <c r="G449" s="52" t="n">
        <f aca="false">IF($G$11=$E$11,$F$11,IF(U449&lt;($F$11-$E$11)/($G$11-$E$11),$E$11+SQRT(U449*($G$11-$E$11)*($F$11-$E$11)),$G$11-SQRT((1-U449)*($G$11-$E$11)*($G$11-$F$11))))</f>
        <v>0.0990345774445726</v>
      </c>
      <c r="H449" s="53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-2086563549.46693</v>
      </c>
      <c r="I449" s="53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-33611650.7480354</v>
      </c>
      <c r="J449" s="53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230701734.421318</v>
      </c>
      <c r="K449" s="53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547179208.327344</v>
      </c>
      <c r="L449" s="53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669071513.443789</v>
      </c>
      <c r="M449" s="53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854904652.10709</v>
      </c>
      <c r="N449" s="53" t="n">
        <f aca="false">IF(COUNT('Business Case'!B11:G11)=0,"",H449+NPV(G449,I449:M449))</f>
        <v>-522203791.434533</v>
      </c>
      <c r="P449" s="54" t="n">
        <f aca="true">RAND()</f>
        <v>0.292582119094687</v>
      </c>
      <c r="Q449" s="54" t="n">
        <f aca="true">RAND()</f>
        <v>0.598356385649176</v>
      </c>
      <c r="R449" s="54" t="n">
        <f aca="true">RAND()</f>
        <v>0.867936786007278</v>
      </c>
      <c r="S449" s="54" t="n">
        <f aca="true">RAND()</f>
        <v>0.398697899408726</v>
      </c>
      <c r="T449" s="54" t="n">
        <f aca="true">RAND()</f>
        <v>0.50878795738614</v>
      </c>
      <c r="U449" s="54" t="n">
        <f aca="true">RAND()</f>
        <v>0.272078632006601</v>
      </c>
    </row>
    <row r="450" customFormat="false" ht="15" hidden="false" customHeight="false" outlineLevel="0" collapsed="false">
      <c r="A450" s="50" t="n">
        <v>370</v>
      </c>
      <c r="B450" s="51" t="n">
        <f aca="false">1+IF($G$6=$E$6,$F$6,IF(P450&lt;($F$6-$E$6)/($G$6-$E$6),$E$6+SQRT(P450*($G$6-$E$6)*($F$6-$E$6)),$G$6-SQRT((1-P450)*($G$6-$E$6)*($G$6-$F$6))))</f>
        <v>0.946986469867115</v>
      </c>
      <c r="C450" s="51" t="n">
        <f aca="false">1+IF($G$7=$E$7,$F$7,IF(Q450&lt;($F$7-$E$7)/($G$7-$E$7),$E$7+SQRT(Q450*($G$7-$E$7)*($F$7-$E$7)),$G$7-SQRT((1-Q450)*($G$7-$E$7)*($G$7-$F$7))))</f>
        <v>1.05566468831508</v>
      </c>
      <c r="D450" s="51" t="n">
        <f aca="false">1+IF($G$8=$E$8,$F$8,IF(R450&lt;($F$8-$E$8)/($G$8-$E$8),$E$8+SQRT(R450*($G$8-$E$8)*($F$8-$E$8)),$G$8-SQRT((1-R450)*($G$8-$E$8)*($G$8-$F$8))))</f>
        <v>1.07250467991715</v>
      </c>
      <c r="E450" s="51" t="n">
        <f aca="false">1+IF($G$9=$E$9,$F$9,IF(S450&lt;($F$9-$E$9)/($G$9-$E$9),$E$9+SQRT(S450*($G$9-$E$9)*($F$9-$E$9)),$G$9-SQRT((1-S450)*($G$9-$E$9)*($G$9-$F$9))))</f>
        <v>1.0193394609072</v>
      </c>
      <c r="F450" s="51" t="n">
        <f aca="false">1+IF($G$10=$E$10,$F$10,IF(T450&lt;($F$10-$E$10)/($G$10-$E$10),$E$10+SQRT(T450*($G$10-$E$10)*($F$10-$E$10)),$G$10-SQRT((1-T450)*($G$10-$E$10)*($G$10-$F$10))))</f>
        <v>1.0250980964206</v>
      </c>
      <c r="G450" s="52" t="n">
        <f aca="false">IF($G$11=$E$11,$F$11,IF(U450&lt;($F$11-$E$11)/($G$11-$E$11),$E$11+SQRT(U450*($G$11-$E$11)*($F$11-$E$11)),$G$11-SQRT((1-U450)*($G$11-$E$11)*($G$11-$F$11))))</f>
        <v>0.108214069932504</v>
      </c>
      <c r="H450" s="53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-2050196192.8412</v>
      </c>
      <c r="I450" s="53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-60056461.8463974</v>
      </c>
      <c r="J450" s="53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179171414.442666</v>
      </c>
      <c r="K450" s="53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469654195.552758</v>
      </c>
      <c r="L450" s="53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583946459.084044</v>
      </c>
      <c r="M450" s="53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773969468.642832</v>
      </c>
      <c r="N450" s="53" t="n">
        <f aca="false">IF(COUNT('Business Case'!B11:G11)=0,"",H450+NPV(G450,I450:M450))</f>
        <v>-763254287.288358</v>
      </c>
      <c r="P450" s="54" t="n">
        <f aca="true">RAND()</f>
        <v>0.0758614120717406</v>
      </c>
      <c r="Q450" s="54" t="n">
        <f aca="true">RAND()</f>
        <v>0.830492361320155</v>
      </c>
      <c r="R450" s="54" t="n">
        <f aca="true">RAND()</f>
        <v>0.994598093928432</v>
      </c>
      <c r="S450" s="54" t="n">
        <f aca="true">RAND()</f>
        <v>0.566258495550598</v>
      </c>
      <c r="T450" s="54" t="n">
        <f aca="true">RAND()</f>
        <v>0.388186482486048</v>
      </c>
      <c r="U450" s="54" t="n">
        <f aca="true">RAND()</f>
        <v>0.768486420740171</v>
      </c>
    </row>
    <row r="451" customFormat="false" ht="15" hidden="false" customHeight="false" outlineLevel="0" collapsed="false">
      <c r="A451" s="50" t="n">
        <v>371</v>
      </c>
      <c r="B451" s="51" t="n">
        <f aca="false">1+IF($G$6=$E$6,$F$6,IF(P451&lt;($F$6-$E$6)/($G$6-$E$6),$E$6+SQRT(P451*($G$6-$E$6)*($F$6-$E$6)),$G$6-SQRT((1-P451)*($G$6-$E$6)*($G$6-$F$6))))</f>
        <v>0.995895856839905</v>
      </c>
      <c r="C451" s="51" t="n">
        <f aca="false">1+IF($G$7=$E$7,$F$7,IF(Q451&lt;($F$7-$E$7)/($G$7-$E$7),$E$7+SQRT(Q451*($G$7-$E$7)*($F$7-$E$7)),$G$7-SQRT((1-Q451)*($G$7-$E$7)*($G$7-$F$7))))</f>
        <v>1.00637698968862</v>
      </c>
      <c r="D451" s="51" t="n">
        <f aca="false">1+IF($G$8=$E$8,$F$8,IF(R451&lt;($F$8-$E$8)/($G$8-$E$8),$E$8+SQRT(R451*($G$8-$E$8)*($F$8-$E$8)),$G$8-SQRT((1-R451)*($G$8-$E$8)*($G$8-$F$8))))</f>
        <v>0.99037678526056</v>
      </c>
      <c r="E451" s="51" t="n">
        <f aca="false">1+IF($G$9=$E$9,$F$9,IF(S451&lt;($F$9-$E$9)/($G$9-$E$9),$E$9+SQRT(S451*($G$9-$E$9)*($F$9-$E$9)),$G$9-SQRT((1-S451)*($G$9-$E$9)*($G$9-$F$9))))</f>
        <v>0.991532969938346</v>
      </c>
      <c r="F451" s="51" t="n">
        <f aca="false">1+IF($G$10=$E$10,$F$10,IF(T451&lt;($F$10-$E$10)/($G$10-$E$10),$E$10+SQRT(T451*($G$10-$E$10)*($F$10-$E$10)),$G$10-SQRT((1-T451)*($G$10-$E$10)*($G$10-$F$10))))</f>
        <v>0.980965479846725</v>
      </c>
      <c r="G451" s="52" t="n">
        <f aca="false">IF($G$11=$E$11,$F$11,IF(U451&lt;($F$11-$E$11)/($G$11-$E$11),$E$11+SQRT(U451*($G$11-$E$11)*($F$11-$E$11)),$G$11-SQRT((1-U451)*($G$11-$E$11)*($G$11-$F$11))))</f>
        <v>0.0928002617078254</v>
      </c>
      <c r="H451" s="53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-1961930959.69345</v>
      </c>
      <c r="I451" s="53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19636406.8165708</v>
      </c>
      <c r="J451" s="53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330321817.54653</v>
      </c>
      <c r="K451" s="53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690055502.268826</v>
      </c>
      <c r="L451" s="53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828254950.914468</v>
      </c>
      <c r="M451" s="53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1018761998.79391</v>
      </c>
      <c r="N451" s="53" t="n">
        <f aca="false">IF(COUNT('Business Case'!B11:G11)=0,"",H451+NPV(G451,I451:M451))</f>
        <v>95854877.160835</v>
      </c>
      <c r="P451" s="54" t="n">
        <f aca="true">RAND()</f>
        <v>0.600018863069105</v>
      </c>
      <c r="Q451" s="54" t="n">
        <f aca="true">RAND()</f>
        <v>0.607093922078036</v>
      </c>
      <c r="R451" s="54" t="n">
        <f aca="true">RAND()</f>
        <v>0.250813044304211</v>
      </c>
      <c r="S451" s="54" t="n">
        <f aca="true">RAND()</f>
        <v>0.229998345586603</v>
      </c>
      <c r="T451" s="54" t="n">
        <f aca="true">RAND()</f>
        <v>0.076708875371035</v>
      </c>
      <c r="U451" s="54" t="n">
        <f aca="true">RAND()</f>
        <v>0.026138218774378</v>
      </c>
    </row>
    <row r="452" customFormat="false" ht="15" hidden="false" customHeight="false" outlineLevel="0" collapsed="false">
      <c r="A452" s="50" t="n">
        <v>372</v>
      </c>
      <c r="B452" s="51" t="n">
        <f aca="false">1+IF($G$6=$E$6,$F$6,IF(P452&lt;($F$6-$E$6)/($G$6-$E$6),$E$6+SQRT(P452*($G$6-$E$6)*($F$6-$E$6)),$G$6-SQRT((1-P452)*($G$6-$E$6)*($G$6-$F$6))))</f>
        <v>0.935955957281048</v>
      </c>
      <c r="C452" s="51" t="n">
        <f aca="false">1+IF($G$7=$E$7,$F$7,IF(Q452&lt;($F$7-$E$7)/($G$7-$E$7),$E$7+SQRT(Q452*($G$7-$E$7)*($F$7-$E$7)),$G$7-SQRT((1-Q452)*($G$7-$E$7)*($G$7-$F$7))))</f>
        <v>1.0516581167799</v>
      </c>
      <c r="D452" s="51" t="n">
        <f aca="false">1+IF($G$8=$E$8,$F$8,IF(R452&lt;($F$8-$E$8)/($G$8-$E$8),$E$8+SQRT(R452*($G$8-$E$8)*($F$8-$E$8)),$G$8-SQRT((1-R452)*($G$8-$E$8)*($G$8-$F$8))))</f>
        <v>1.0176107290123</v>
      </c>
      <c r="E452" s="51" t="n">
        <f aca="false">1+IF($G$9=$E$9,$F$9,IF(S452&lt;($F$9-$E$9)/($G$9-$E$9),$E$9+SQRT(S452*($G$9-$E$9)*($F$9-$E$9)),$G$9-SQRT((1-S452)*($G$9-$E$9)*($G$9-$F$9))))</f>
        <v>0.98445282865941</v>
      </c>
      <c r="F452" s="51" t="n">
        <f aca="false">1+IF($G$10=$E$10,$F$10,IF(T452&lt;($F$10-$E$10)/($G$10-$E$10),$E$10+SQRT(T452*($G$10-$E$10)*($F$10-$E$10)),$G$10-SQRT((1-T452)*($G$10-$E$10)*($G$10-$F$10))))</f>
        <v>1.09852730744112</v>
      </c>
      <c r="G452" s="52" t="n">
        <f aca="false">IF($G$11=$E$11,$F$11,IF(U452&lt;($F$11-$E$11)/($G$11-$E$11),$E$11+SQRT(U452*($G$11-$E$11)*($F$11-$E$11)),$G$11-SQRT((1-U452)*($G$11-$E$11)*($G$11-$F$11))))</f>
        <v>0.103646924071596</v>
      </c>
      <c r="H452" s="53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-2197054614.88225</v>
      </c>
      <c r="I452" s="53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-42496928.0963979</v>
      </c>
      <c r="J452" s="53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215874473.207979</v>
      </c>
      <c r="K452" s="53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529172239.884412</v>
      </c>
      <c r="L452" s="53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649313644.600067</v>
      </c>
      <c r="M452" s="53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836410468.144813</v>
      </c>
      <c r="N452" s="53" t="n">
        <f aca="false">IF(COUNT('Business Case'!B11:G11)=0,"",H452+NPV(G452,I452:M452))</f>
        <v>-716204388.772705</v>
      </c>
      <c r="P452" s="54" t="n">
        <f aca="true">RAND()</f>
        <v>0.0265200596619397</v>
      </c>
      <c r="Q452" s="54" t="n">
        <f aca="true">RAND()</f>
        <v>0.815788076280463</v>
      </c>
      <c r="R452" s="54" t="n">
        <f aca="true">RAND()</f>
        <v>0.625728737079137</v>
      </c>
      <c r="S452" s="54" t="n">
        <f aca="true">RAND()</f>
        <v>0.158266320351288</v>
      </c>
      <c r="T452" s="54" t="n">
        <f aca="true">RAND()</f>
        <v>0.794065853297033</v>
      </c>
      <c r="U452" s="54" t="n">
        <f aca="true">RAND()</f>
        <v>0.554294846133108</v>
      </c>
    </row>
    <row r="453" customFormat="false" ht="15" hidden="false" customHeight="false" outlineLevel="0" collapsed="false">
      <c r="A453" s="50" t="n">
        <v>373</v>
      </c>
      <c r="B453" s="51" t="n">
        <f aca="false">1+IF($G$6=$E$6,$F$6,IF(P453&lt;($F$6-$E$6)/($G$6-$E$6),$E$6+SQRT(P453*($G$6-$E$6)*($F$6-$E$6)),$G$6-SQRT((1-P453)*($G$6-$E$6)*($G$6-$F$6))))</f>
        <v>0.978152002317642</v>
      </c>
      <c r="C453" s="51" t="n">
        <f aca="false">1+IF($G$7=$E$7,$F$7,IF(Q453&lt;($F$7-$E$7)/($G$7-$E$7),$E$7+SQRT(Q453*($G$7-$E$7)*($F$7-$E$7)),$G$7-SQRT((1-Q453)*($G$7-$E$7)*($G$7-$F$7))))</f>
        <v>0.957596477196433</v>
      </c>
      <c r="D453" s="51" t="n">
        <f aca="false">1+IF($G$8=$E$8,$F$8,IF(R453&lt;($F$8-$E$8)/($G$8-$E$8),$E$8+SQRT(R453*($G$8-$E$8)*($F$8-$E$8)),$G$8-SQRT((1-R453)*($G$8-$E$8)*($G$8-$F$8))))</f>
        <v>0.96663065376127</v>
      </c>
      <c r="E453" s="51" t="n">
        <f aca="false">1+IF($G$9=$E$9,$F$9,IF(S453&lt;($F$9-$E$9)/($G$9-$E$9),$E$9+SQRT(S453*($G$9-$E$9)*($F$9-$E$9)),$G$9-SQRT((1-S453)*($G$9-$E$9)*($G$9-$F$9))))</f>
        <v>1.01023654346921</v>
      </c>
      <c r="F453" s="51" t="n">
        <f aca="false">1+IF($G$10=$E$10,$F$10,IF(T453&lt;($F$10-$E$10)/($G$10-$E$10),$E$10+SQRT(T453*($G$10-$E$10)*($F$10-$E$10)),$G$10-SQRT((1-T453)*($G$10-$E$10)*($G$10-$F$10))))</f>
        <v>1.13858310258992</v>
      </c>
      <c r="G453" s="52" t="n">
        <f aca="false">IF($G$11=$E$11,$F$11,IF(U453&lt;($F$11-$E$11)/($G$11-$E$11),$E$11+SQRT(U453*($G$11-$E$11)*($F$11-$E$11)),$G$11-SQRT((1-U453)*($G$11-$E$11)*($G$11-$F$11))))</f>
        <v>0.108748163779401</v>
      </c>
      <c r="H453" s="53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-2277166205.17985</v>
      </c>
      <c r="I453" s="53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-12721689.3101614</v>
      </c>
      <c r="J453" s="53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280627795.536402</v>
      </c>
      <c r="K453" s="53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630906435.512463</v>
      </c>
      <c r="L453" s="53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761061082.072258</v>
      </c>
      <c r="M453" s="53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939104249.265767</v>
      </c>
      <c r="N453" s="53" t="n">
        <f aca="false">IF(COUNT('Business Case'!B11:G11)=0,"",H453+NPV(G453,I453:M453))</f>
        <v>-533415615.633447</v>
      </c>
      <c r="P453" s="54" t="n">
        <f aca="true">RAND()</f>
        <v>0.352255768078238</v>
      </c>
      <c r="Q453" s="54" t="n">
        <f aca="true">RAND()</f>
        <v>0.354809280353227</v>
      </c>
      <c r="R453" s="54" t="n">
        <f aca="true">RAND()</f>
        <v>0.0425505606964974</v>
      </c>
      <c r="S453" s="54" t="n">
        <f aca="true">RAND()</f>
        <v>0.46283479144296</v>
      </c>
      <c r="T453" s="54" t="n">
        <f aca="true">RAND()</f>
        <v>0.924559294250404</v>
      </c>
      <c r="U453" s="54" t="n">
        <f aca="true">RAND()</f>
        <v>0.788993636108013</v>
      </c>
    </row>
    <row r="454" customFormat="false" ht="15" hidden="false" customHeight="false" outlineLevel="0" collapsed="false">
      <c r="A454" s="50" t="n">
        <v>374</v>
      </c>
      <c r="B454" s="51" t="n">
        <f aca="false">1+IF($G$6=$E$6,$F$6,IF(P454&lt;($F$6-$E$6)/($G$6-$E$6),$E$6+SQRT(P454*($G$6-$E$6)*($F$6-$E$6)),$G$6-SQRT((1-P454)*($G$6-$E$6)*($G$6-$F$6))))</f>
        <v>0.9964388223495</v>
      </c>
      <c r="C454" s="51" t="n">
        <f aca="false">1+IF($G$7=$E$7,$F$7,IF(Q454&lt;($F$7-$E$7)/($G$7-$E$7),$E$7+SQRT(Q454*($G$7-$E$7)*($F$7-$E$7)),$G$7-SQRT((1-Q454)*($G$7-$E$7)*($G$7-$F$7))))</f>
        <v>0.971278761629587</v>
      </c>
      <c r="D454" s="51" t="n">
        <f aca="false">1+IF($G$8=$E$8,$F$8,IF(R454&lt;($F$8-$E$8)/($G$8-$E$8),$E$8+SQRT(R454*($G$8-$E$8)*($F$8-$E$8)),$G$8-SQRT((1-R454)*($G$8-$E$8)*($G$8-$F$8))))</f>
        <v>1.05762401846934</v>
      </c>
      <c r="E454" s="51" t="n">
        <f aca="false">1+IF($G$9=$E$9,$F$9,IF(S454&lt;($F$9-$E$9)/($G$9-$E$9),$E$9+SQRT(S454*($G$9-$E$9)*($F$9-$E$9)),$G$9-SQRT((1-S454)*($G$9-$E$9)*($G$9-$F$9))))</f>
        <v>1.0265694161847</v>
      </c>
      <c r="F454" s="51" t="n">
        <f aca="false">1+IF($G$10=$E$10,$F$10,IF(T454&lt;($F$10-$E$10)/($G$10-$E$10),$E$10+SQRT(T454*($G$10-$E$10)*($F$10-$E$10)),$G$10-SQRT((1-T454)*($G$10-$E$10)*($G$10-$F$10))))</f>
        <v>1.09308158302347</v>
      </c>
      <c r="G454" s="52" t="n">
        <f aca="false">IF($G$11=$E$11,$F$11,IF(U454&lt;($F$11-$E$11)/($G$11-$E$11),$E$11+SQRT(U454*($G$11-$E$11)*($F$11-$E$11)),$G$11-SQRT((1-U454)*($G$11-$E$11)*($G$11-$F$11))))</f>
        <v>0.104632758941835</v>
      </c>
      <c r="H454" s="53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-2186163166.04695</v>
      </c>
      <c r="I454" s="53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-38612624.9122853</v>
      </c>
      <c r="J454" s="53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228232861.282161</v>
      </c>
      <c r="K454" s="53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549732426.62778</v>
      </c>
      <c r="L454" s="53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672128776.574542</v>
      </c>
      <c r="M454" s="53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856091976.591915</v>
      </c>
      <c r="N454" s="53" t="n">
        <f aca="false">IF(COUNT('Business Case'!B11:G11)=0,"",H454+NPV(G454,I454:M454))</f>
        <v>-654295523.761452</v>
      </c>
      <c r="P454" s="54" t="n">
        <f aca="true">RAND()</f>
        <v>0.608634746060247</v>
      </c>
      <c r="Q454" s="54" t="n">
        <f aca="true">RAND()</f>
        <v>0.4190916312195</v>
      </c>
      <c r="R454" s="54" t="n">
        <f aca="true">RAND()</f>
        <v>0.951857254859554</v>
      </c>
      <c r="S454" s="54" t="n">
        <f aca="true">RAND()</f>
        <v>0.640529957369579</v>
      </c>
      <c r="T454" s="54" t="n">
        <f aca="true">RAND()</f>
        <v>0.771369042224669</v>
      </c>
      <c r="U454" s="54" t="n">
        <f aca="true">RAND()</f>
        <v>0.606413170433763</v>
      </c>
    </row>
    <row r="455" customFormat="false" ht="15" hidden="false" customHeight="false" outlineLevel="0" collapsed="false">
      <c r="A455" s="50" t="n">
        <v>375</v>
      </c>
      <c r="B455" s="51" t="n">
        <f aca="false">1+IF($G$6=$E$6,$F$6,IF(P455&lt;($F$6-$E$6)/($G$6-$E$6),$E$6+SQRT(P455*($G$6-$E$6)*($F$6-$E$6)),$G$6-SQRT((1-P455)*($G$6-$E$6)*($G$6-$F$6))))</f>
        <v>0.994293099024494</v>
      </c>
      <c r="C455" s="51" t="n">
        <f aca="false">1+IF($G$7=$E$7,$F$7,IF(Q455&lt;($F$7-$E$7)/($G$7-$E$7),$E$7+SQRT(Q455*($G$7-$E$7)*($F$7-$E$7)),$G$7-SQRT((1-Q455)*($G$7-$E$7)*($G$7-$F$7))))</f>
        <v>1.04982812624995</v>
      </c>
      <c r="D455" s="51" t="n">
        <f aca="false">1+IF($G$8=$E$8,$F$8,IF(R455&lt;($F$8-$E$8)/($G$8-$E$8),$E$8+SQRT(R455*($G$8-$E$8)*($F$8-$E$8)),$G$8-SQRT((1-R455)*($G$8-$E$8)*($G$8-$F$8))))</f>
        <v>1.02295774043605</v>
      </c>
      <c r="E455" s="51" t="n">
        <f aca="false">1+IF($G$9=$E$9,$F$9,IF(S455&lt;($F$9-$E$9)/($G$9-$E$9),$E$9+SQRT(S455*($G$9-$E$9)*($F$9-$E$9)),$G$9-SQRT((1-S455)*($G$9-$E$9)*($G$9-$F$9))))</f>
        <v>1.00898427358662</v>
      </c>
      <c r="F455" s="51" t="n">
        <f aca="false">1+IF($G$10=$E$10,$F$10,IF(T455&lt;($F$10-$E$10)/($G$10-$E$10),$E$10+SQRT(T455*($G$10-$E$10)*($F$10-$E$10)),$G$10-SQRT((1-T455)*($G$10-$E$10)*($G$10-$F$10))))</f>
        <v>1.01181513526388</v>
      </c>
      <c r="G455" s="52" t="n">
        <f aca="false">IF($G$11=$E$11,$F$11,IF(U455&lt;($F$11-$E$11)/($G$11-$E$11),$E$11+SQRT(U455*($G$11-$E$11)*($F$11-$E$11)),$G$11-SQRT((1-U455)*($G$11-$E$11)*($G$11-$F$11))))</f>
        <v>0.100192829154118</v>
      </c>
      <c r="H455" s="53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-2023630270.52776</v>
      </c>
      <c r="I455" s="53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6439818.13174073</v>
      </c>
      <c r="J455" s="53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311651216.372904</v>
      </c>
      <c r="K455" s="53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667453371.377261</v>
      </c>
      <c r="L455" s="53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805265506.04366</v>
      </c>
      <c r="M455" s="53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1003678016.60005</v>
      </c>
      <c r="N455" s="53" t="n">
        <f aca="false">IF(COUNT('Business Case'!B11:G11)=0,"",H455+NPV(G455,I455:M455))</f>
        <v>-86819422.9310296</v>
      </c>
      <c r="P455" s="54" t="n">
        <f aca="true">RAND()</f>
        <v>0.574944225277416</v>
      </c>
      <c r="Q455" s="54" t="n">
        <f aca="true">RAND()</f>
        <v>0.808868489702941</v>
      </c>
      <c r="R455" s="54" t="n">
        <f aca="true">RAND()</f>
        <v>0.687132752292196</v>
      </c>
      <c r="S455" s="54" t="n">
        <f aca="true">RAND()</f>
        <v>0.447742503029686</v>
      </c>
      <c r="T455" s="54" t="n">
        <f aca="true">RAND()</f>
        <v>0.291729133684983</v>
      </c>
      <c r="U455" s="54" t="n">
        <f aca="true">RAND()</f>
        <v>0.346126638470046</v>
      </c>
    </row>
    <row r="456" customFormat="false" ht="15" hidden="false" customHeight="false" outlineLevel="0" collapsed="false">
      <c r="A456" s="50" t="n">
        <v>376</v>
      </c>
      <c r="B456" s="51" t="n">
        <f aca="false">1+IF($G$6=$E$6,$F$6,IF(P456&lt;($F$6-$E$6)/($G$6-$E$6),$E$6+SQRT(P456*($G$6-$E$6)*($F$6-$E$6)),$G$6-SQRT((1-P456)*($G$6-$E$6)*($G$6-$F$6))))</f>
        <v>0.961966127586381</v>
      </c>
      <c r="C456" s="51" t="n">
        <f aca="false">1+IF($G$7=$E$7,$F$7,IF(Q456&lt;($F$7-$E$7)/($G$7-$E$7),$E$7+SQRT(Q456*($G$7-$E$7)*($F$7-$E$7)),$G$7-SQRT((1-Q456)*($G$7-$E$7)*($G$7-$F$7))))</f>
        <v>1.06110481390224</v>
      </c>
      <c r="D456" s="51" t="n">
        <f aca="false">1+IF($G$8=$E$8,$F$8,IF(R456&lt;($F$8-$E$8)/($G$8-$E$8),$E$8+SQRT(R456*($G$8-$E$8)*($F$8-$E$8)),$G$8-SQRT((1-R456)*($G$8-$E$8)*($G$8-$F$8))))</f>
        <v>0.995802296320505</v>
      </c>
      <c r="E456" s="51" t="n">
        <f aca="false">1+IF($G$9=$E$9,$F$9,IF(S456&lt;($F$9-$E$9)/($G$9-$E$9),$E$9+SQRT(S456*($G$9-$E$9)*($F$9-$E$9)),$G$9-SQRT((1-S456)*($G$9-$E$9)*($G$9-$F$9))))</f>
        <v>1.005248426431</v>
      </c>
      <c r="F456" s="51" t="n">
        <f aca="false">1+IF($G$10=$E$10,$F$10,IF(T456&lt;($F$10-$E$10)/($G$10-$E$10),$E$10+SQRT(T456*($G$10-$E$10)*($F$10-$E$10)),$G$10-SQRT((1-T456)*($G$10-$E$10)*($G$10-$F$10))))</f>
        <v>1.03949689197051</v>
      </c>
      <c r="G456" s="52" t="n">
        <f aca="false">IF($G$11=$E$11,$F$11,IF(U456&lt;($F$11-$E$11)/($G$11-$E$11),$E$11+SQRT(U456*($G$11-$E$11)*($F$11-$E$11)),$G$11-SQRT((1-U456)*($G$11-$E$11)*($G$11-$F$11))))</f>
        <v>0.10187009783744</v>
      </c>
      <c r="H456" s="53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-2078993783.94102</v>
      </c>
      <c r="I456" s="53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-4666918.88857429</v>
      </c>
      <c r="J456" s="53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290477696.373409</v>
      </c>
      <c r="K456" s="53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637597156.233919</v>
      </c>
      <c r="L456" s="53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771255707.13126</v>
      </c>
      <c r="M456" s="53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965279275.752997</v>
      </c>
      <c r="N456" s="53" t="n">
        <f aca="false">IF(COUNT('Business Case'!B11:G11)=0,"",H456+NPV(G456,I456:M456))</f>
        <v>-249873516.002008</v>
      </c>
      <c r="P456" s="54" t="n">
        <f aca="true">RAND()</f>
        <v>0.183453735895461</v>
      </c>
      <c r="Q456" s="54" t="n">
        <f aca="true">RAND()</f>
        <v>0.849478969307526</v>
      </c>
      <c r="R456" s="54" t="n">
        <f aca="true">RAND()</f>
        <v>0.322746207420208</v>
      </c>
      <c r="S456" s="54" t="n">
        <f aca="true">RAND()</f>
        <v>0.401475953746518</v>
      </c>
      <c r="T456" s="54" t="n">
        <f aca="true">RAND()</f>
        <v>0.484775046257483</v>
      </c>
      <c r="U456" s="54" t="n">
        <f aca="true">RAND()</f>
        <v>0.452177745960004</v>
      </c>
    </row>
    <row r="457" customFormat="false" ht="15" hidden="false" customHeight="false" outlineLevel="0" collapsed="false">
      <c r="A457" s="50" t="n">
        <v>377</v>
      </c>
      <c r="B457" s="51" t="n">
        <f aca="false">1+IF($G$6=$E$6,$F$6,IF(P457&lt;($F$6-$E$6)/($G$6-$E$6),$E$6+SQRT(P457*($G$6-$E$6)*($F$6-$E$6)),$G$6-SQRT((1-P457)*($G$6-$E$6)*($G$6-$F$6))))</f>
        <v>1.01540378985916</v>
      </c>
      <c r="C457" s="51" t="n">
        <f aca="false">1+IF($G$7=$E$7,$F$7,IF(Q457&lt;($F$7-$E$7)/($G$7-$E$7),$E$7+SQRT(Q457*($G$7-$E$7)*($F$7-$E$7)),$G$7-SQRT((1-Q457)*($G$7-$E$7)*($G$7-$F$7))))</f>
        <v>0.850881933561158</v>
      </c>
      <c r="D457" s="51" t="n">
        <f aca="false">1+IF($G$8=$E$8,$F$8,IF(R457&lt;($F$8-$E$8)/($G$8-$E$8),$E$8+SQRT(R457*($G$8-$E$8)*($F$8-$E$8)),$G$8-SQRT((1-R457)*($G$8-$E$8)*($G$8-$F$8))))</f>
        <v>1.01527971615746</v>
      </c>
      <c r="E457" s="51" t="n">
        <f aca="false">1+IF($G$9=$E$9,$F$9,IF(S457&lt;($F$9-$E$9)/($G$9-$E$9),$E$9+SQRT(S457*($G$9-$E$9)*($F$9-$E$9)),$G$9-SQRT((1-S457)*($G$9-$E$9)*($G$9-$F$9))))</f>
        <v>1.0685172267014</v>
      </c>
      <c r="F457" s="51" t="n">
        <f aca="false">1+IF($G$10=$E$10,$F$10,IF(T457&lt;($F$10-$E$10)/($G$10-$E$10),$E$10+SQRT(T457*($G$10-$E$10)*($F$10-$E$10)),$G$10-SQRT((1-T457)*($G$10-$E$10)*($G$10-$F$10))))</f>
        <v>1.02621693661544</v>
      </c>
      <c r="G457" s="52" t="n">
        <f aca="false">IF($G$11=$E$11,$F$11,IF(U457&lt;($F$11-$E$11)/($G$11-$E$11),$E$11+SQRT(U457*($G$11-$E$11)*($F$11-$E$11)),$G$11-SQRT((1-U457)*($G$11-$E$11)*($G$11-$F$11))))</f>
        <v>0.108536684117852</v>
      </c>
      <c r="H457" s="53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-2052433873.23087</v>
      </c>
      <c r="I457" s="53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-33924105.6414139</v>
      </c>
      <c r="J457" s="53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231505808.300401</v>
      </c>
      <c r="K457" s="53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548246569.072988</v>
      </c>
      <c r="L457" s="53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666582657.910091</v>
      </c>
      <c r="M457" s="53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830809637.620827</v>
      </c>
      <c r="N457" s="53" t="n">
        <f aca="false">IF(COUNT('Business Case'!B11:G11)=0,"",H457+NPV(G457,I457:M457))</f>
        <v>-554452364.538531</v>
      </c>
      <c r="P457" s="54" t="n">
        <f aca="true">RAND()</f>
        <v>0.873963843064113</v>
      </c>
      <c r="Q457" s="54" t="n">
        <f aca="true">RAND()</f>
        <v>0.0369853023274578</v>
      </c>
      <c r="R457" s="54" t="n">
        <f aca="true">RAND()</f>
        <v>0.59723892878277</v>
      </c>
      <c r="S457" s="54" t="n">
        <f aca="true">RAND()</f>
        <v>0.93392233236194</v>
      </c>
      <c r="T457" s="54" t="n">
        <f aca="true">RAND()</f>
        <v>0.395988937613532</v>
      </c>
      <c r="U457" s="54" t="n">
        <f aca="true">RAND()</f>
        <v>0.780987314976828</v>
      </c>
    </row>
    <row r="458" customFormat="false" ht="15" hidden="false" customHeight="false" outlineLevel="0" collapsed="false">
      <c r="A458" s="50" t="n">
        <v>378</v>
      </c>
      <c r="B458" s="51" t="n">
        <f aca="false">1+IF($G$6=$E$6,$F$6,IF(P458&lt;($F$6-$E$6)/($G$6-$E$6),$E$6+SQRT(P458*($G$6-$E$6)*($F$6-$E$6)),$G$6-SQRT((1-P458)*($G$6-$E$6)*($G$6-$F$6))))</f>
        <v>0.999815157579122</v>
      </c>
      <c r="C458" s="51" t="n">
        <f aca="false">1+IF($G$7=$E$7,$F$7,IF(Q458&lt;($F$7-$E$7)/($G$7-$E$7),$E$7+SQRT(Q458*($G$7-$E$7)*($F$7-$E$7)),$G$7-SQRT((1-Q458)*($G$7-$E$7)*($G$7-$F$7))))</f>
        <v>0.960874310423284</v>
      </c>
      <c r="D458" s="51" t="n">
        <f aca="false">1+IF($G$8=$E$8,$F$8,IF(R458&lt;($F$8-$E$8)/($G$8-$E$8),$E$8+SQRT(R458*($G$8-$E$8)*($F$8-$E$8)),$G$8-SQRT((1-R458)*($G$8-$E$8)*($G$8-$F$8))))</f>
        <v>0.963325789822706</v>
      </c>
      <c r="E458" s="51" t="n">
        <f aca="false">1+IF($G$9=$E$9,$F$9,IF(S458&lt;($F$9-$E$9)/($G$9-$E$9),$E$9+SQRT(S458*($G$9-$E$9)*($F$9-$E$9)),$G$9-SQRT((1-S458)*($G$9-$E$9)*($G$9-$F$9))))</f>
        <v>1.0635440628081</v>
      </c>
      <c r="F458" s="51" t="n">
        <f aca="false">1+IF($G$10=$E$10,$F$10,IF(T458&lt;($F$10-$E$10)/($G$10-$E$10),$E$10+SQRT(T458*($G$10-$E$10)*($F$10-$E$10)),$G$10-SQRT((1-T458)*($G$10-$E$10)*($G$10-$F$10))))</f>
        <v>0.986539554887332</v>
      </c>
      <c r="G458" s="52" t="n">
        <f aca="false">IF($G$11=$E$11,$F$11,IF(U458&lt;($F$11-$E$11)/($G$11-$E$11),$E$11+SQRT(U458*($G$11-$E$11)*($F$11-$E$11)),$G$11-SQRT((1-U458)*($G$11-$E$11)*($G$11-$F$11))))</f>
        <v>0.103993393368721</v>
      </c>
      <c r="H458" s="53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-1973079109.77466</v>
      </c>
      <c r="I458" s="53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13336258.1308741</v>
      </c>
      <c r="J458" s="53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326364954.414437</v>
      </c>
      <c r="K458" s="53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688720628.442366</v>
      </c>
      <c r="L458" s="53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826265205.15865</v>
      </c>
      <c r="M458" s="53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1008874433.91168</v>
      </c>
      <c r="N458" s="53" t="n">
        <f aca="false">IF(COUNT('Business Case'!B11:G11)=0,"",H458+NPV(G458,I458:M458))</f>
        <v>-9960113.78950596</v>
      </c>
      <c r="P458" s="54" t="n">
        <f aca="true">RAND()</f>
        <v>0.663589518685418</v>
      </c>
      <c r="Q458" s="54" t="n">
        <f aca="true">RAND()</f>
        <v>0.369722053630961</v>
      </c>
      <c r="R458" s="54" t="n">
        <f aca="true">RAND()</f>
        <v>0.0273194883690655</v>
      </c>
      <c r="S458" s="54" t="n">
        <f aca="true">RAND()</f>
        <v>0.911397642897327</v>
      </c>
      <c r="T458" s="54" t="n">
        <f aca="true">RAND()</f>
        <v>0.106811125709145</v>
      </c>
      <c r="U458" s="54" t="n">
        <f aca="true">RAND()</f>
        <v>0.572980906919166</v>
      </c>
    </row>
    <row r="459" customFormat="false" ht="15" hidden="false" customHeight="false" outlineLevel="0" collapsed="false">
      <c r="A459" s="50" t="n">
        <v>379</v>
      </c>
      <c r="B459" s="51" t="n">
        <f aca="false">1+IF($G$6=$E$6,$F$6,IF(P459&lt;($F$6-$E$6)/($G$6-$E$6),$E$6+SQRT(P459*($G$6-$E$6)*($F$6-$E$6)),$G$6-SQRT((1-P459)*($G$6-$E$6)*($G$6-$F$6))))</f>
        <v>1.02733666092998</v>
      </c>
      <c r="C459" s="51" t="n">
        <f aca="false">1+IF($G$7=$E$7,$F$7,IF(Q459&lt;($F$7-$E$7)/($G$7-$E$7),$E$7+SQRT(Q459*($G$7-$E$7)*($F$7-$E$7)),$G$7-SQRT((1-Q459)*($G$7-$E$7)*($G$7-$F$7))))</f>
        <v>0.934847584910505</v>
      </c>
      <c r="D459" s="51" t="n">
        <f aca="false">1+IF($G$8=$E$8,$F$8,IF(R459&lt;($F$8-$E$8)/($G$8-$E$8),$E$8+SQRT(R459*($G$8-$E$8)*($F$8-$E$8)),$G$8-SQRT((1-R459)*($G$8-$E$8)*($G$8-$F$8))))</f>
        <v>1.00763538171898</v>
      </c>
      <c r="E459" s="51" t="n">
        <f aca="false">1+IF($G$9=$E$9,$F$9,IF(S459&lt;($F$9-$E$9)/($G$9-$E$9),$E$9+SQRT(S459*($G$9-$E$9)*($F$9-$E$9)),$G$9-SQRT((1-S459)*($G$9-$E$9)*($G$9-$F$9))))</f>
        <v>1.04674977656418</v>
      </c>
      <c r="F459" s="51" t="n">
        <f aca="false">1+IF($G$10=$E$10,$F$10,IF(T459&lt;($F$10-$E$10)/($G$10-$E$10),$E$10+SQRT(T459*($G$10-$E$10)*($F$10-$E$10)),$G$10-SQRT((1-T459)*($G$10-$E$10)*($G$10-$F$10))))</f>
        <v>1.1604537792401</v>
      </c>
      <c r="G459" s="52" t="n">
        <f aca="false">IF($G$11=$E$11,$F$11,IF(U459&lt;($F$11-$E$11)/($G$11-$E$11),$E$11+SQRT(U459*($G$11-$E$11)*($F$11-$E$11)),$G$11-SQRT((1-U459)*($G$11-$E$11)*($G$11-$F$11))))</f>
        <v>0.0986570231206777</v>
      </c>
      <c r="H459" s="53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-2320907558.4802</v>
      </c>
      <c r="I459" s="53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-10262349.7332238</v>
      </c>
      <c r="J459" s="53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294155798.384313</v>
      </c>
      <c r="K459" s="53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656596635.463854</v>
      </c>
      <c r="L459" s="53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791260885.969249</v>
      </c>
      <c r="M459" s="53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973814325.533437</v>
      </c>
      <c r="N459" s="53" t="n">
        <f aca="false">IF(COUNT('Business Case'!B11:G11)=0,"",H459+NPV(G459,I459:M459))</f>
        <v>-439971744.349827</v>
      </c>
      <c r="P459" s="54" t="n">
        <f aca="true">RAND()</f>
        <v>0.966591634082842</v>
      </c>
      <c r="Q459" s="54" t="n">
        <f aca="true">RAND()</f>
        <v>0.259769587945656</v>
      </c>
      <c r="R459" s="54" t="n">
        <f aca="true">RAND()</f>
        <v>0.49647711740786</v>
      </c>
      <c r="S459" s="54" t="n">
        <f aca="true">RAND()</f>
        <v>0.810960913602369</v>
      </c>
      <c r="T459" s="54" t="n">
        <f aca="true">RAND()</f>
        <v>0.968721928472182</v>
      </c>
      <c r="U459" s="54" t="n">
        <f aca="true">RAND()</f>
        <v>0.249813497706492</v>
      </c>
    </row>
    <row r="460" customFormat="false" ht="15" hidden="false" customHeight="false" outlineLevel="0" collapsed="false">
      <c r="A460" s="50" t="n">
        <v>380</v>
      </c>
      <c r="B460" s="51" t="n">
        <f aca="false">1+IF($G$6=$E$6,$F$6,IF(P460&lt;($F$6-$E$6)/($G$6-$E$6),$E$6+SQRT(P460*($G$6-$E$6)*($F$6-$E$6)),$G$6-SQRT((1-P460)*($G$6-$E$6)*($G$6-$F$6))))</f>
        <v>0.987847921984995</v>
      </c>
      <c r="C460" s="51" t="n">
        <f aca="false">1+IF($G$7=$E$7,$F$7,IF(Q460&lt;($F$7-$E$7)/($G$7-$E$7),$E$7+SQRT(Q460*($G$7-$E$7)*($F$7-$E$7)),$G$7-SQRT((1-Q460)*($G$7-$E$7)*($G$7-$F$7))))</f>
        <v>0.997858976263865</v>
      </c>
      <c r="D460" s="51" t="n">
        <f aca="false">1+IF($G$8=$E$8,$F$8,IF(R460&lt;($F$8-$E$8)/($G$8-$E$8),$E$8+SQRT(R460*($G$8-$E$8)*($F$8-$E$8)),$G$8-SQRT((1-R460)*($G$8-$E$8)*($G$8-$F$8))))</f>
        <v>0.96468677859027</v>
      </c>
      <c r="E460" s="51" t="n">
        <f aca="false">1+IF($G$9=$E$9,$F$9,IF(S460&lt;($F$9-$E$9)/($G$9-$E$9),$E$9+SQRT(S460*($G$9-$E$9)*($F$9-$E$9)),$G$9-SQRT((1-S460)*($G$9-$E$9)*($G$9-$F$9))))</f>
        <v>1.02456957322277</v>
      </c>
      <c r="F460" s="51" t="n">
        <f aca="false">1+IF($G$10=$E$10,$F$10,IF(T460&lt;($F$10-$E$10)/($G$10-$E$10),$E$10+SQRT(T460*($G$10-$E$10)*($F$10-$E$10)),$G$10-SQRT((1-T460)*($G$10-$E$10)*($G$10-$F$10))))</f>
        <v>1.00745467292612</v>
      </c>
      <c r="G460" s="52" t="n">
        <f aca="false">IF($G$11=$E$11,$F$11,IF(U460&lt;($F$11-$E$11)/($G$11-$E$11),$E$11+SQRT(U460*($G$11-$E$11)*($F$11-$E$11)),$G$11-SQRT((1-U460)*($G$11-$E$11)*($G$11-$F$11))))</f>
        <v>0.105875621308047</v>
      </c>
      <c r="H460" s="53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-2014909345.85223</v>
      </c>
      <c r="I460" s="53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17061448.831848</v>
      </c>
      <c r="J460" s="53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331662552.641093</v>
      </c>
      <c r="K460" s="53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696636390.096643</v>
      </c>
      <c r="L460" s="53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835570354.281395</v>
      </c>
      <c r="M460" s="53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1022938466.98059</v>
      </c>
      <c r="N460" s="53" t="n">
        <f aca="false">IF(COUNT('Business Case'!B11:G11)=0,"",H460+NPV(G460,I460:M460))</f>
        <v>-36047534.1712055</v>
      </c>
      <c r="P460" s="54" t="n">
        <f aca="true">RAND()</f>
        <v>0.47951463725854</v>
      </c>
      <c r="Q460" s="54" t="n">
        <f aca="true">RAND()</f>
        <v>0.559259635545495</v>
      </c>
      <c r="R460" s="54" t="n">
        <f aca="true">RAND()</f>
        <v>0.0331848408245545</v>
      </c>
      <c r="S460" s="54" t="n">
        <f aca="true">RAND()</f>
        <v>0.620683381080295</v>
      </c>
      <c r="T460" s="54" t="n">
        <f aca="true">RAND()</f>
        <v>0.258525940440218</v>
      </c>
      <c r="U460" s="54" t="n">
        <f aca="true">RAND()</f>
        <v>0.667503210943843</v>
      </c>
    </row>
    <row r="461" customFormat="false" ht="15" hidden="false" customHeight="false" outlineLevel="0" collapsed="false">
      <c r="A461" s="50" t="n">
        <v>381</v>
      </c>
      <c r="B461" s="51" t="n">
        <f aca="false">1+IF($G$6=$E$6,$F$6,IF(P461&lt;($F$6-$E$6)/($G$6-$E$6),$E$6+SQRT(P461*($G$6-$E$6)*($F$6-$E$6)),$G$6-SQRT((1-P461)*($G$6-$E$6)*($G$6-$F$6))))</f>
        <v>0.985119500866126</v>
      </c>
      <c r="C461" s="51" t="n">
        <f aca="false">1+IF($G$7=$E$7,$F$7,IF(Q461&lt;($F$7-$E$7)/($G$7-$E$7),$E$7+SQRT(Q461*($G$7-$E$7)*($F$7-$E$7)),$G$7-SQRT((1-Q461)*($G$7-$E$7)*($G$7-$F$7))))</f>
        <v>0.950812523904021</v>
      </c>
      <c r="D461" s="51" t="n">
        <f aca="false">1+IF($G$8=$E$8,$F$8,IF(R461&lt;($F$8-$E$8)/($G$8-$E$8),$E$8+SQRT(R461*($G$8-$E$8)*($F$8-$E$8)),$G$8-SQRT((1-R461)*($G$8-$E$8)*($G$8-$F$8))))</f>
        <v>1.05665016021234</v>
      </c>
      <c r="E461" s="51" t="n">
        <f aca="false">1+IF($G$9=$E$9,$F$9,IF(S461&lt;($F$9-$E$9)/($G$9-$E$9),$E$9+SQRT(S461*($G$9-$E$9)*($F$9-$E$9)),$G$9-SQRT((1-S461)*($G$9-$E$9)*($G$9-$F$9))))</f>
        <v>1.02796787002802</v>
      </c>
      <c r="F461" s="51" t="n">
        <f aca="false">1+IF($G$10=$E$10,$F$10,IF(T461&lt;($F$10-$E$10)/($G$10-$E$10),$E$10+SQRT(T461*($G$10-$E$10)*($F$10-$E$10)),$G$10-SQRT((1-T461)*($G$10-$E$10)*($G$10-$F$10))))</f>
        <v>1.0184495091792</v>
      </c>
      <c r="G461" s="52" t="n">
        <f aca="false">IF($G$11=$E$11,$F$11,IF(U461&lt;($F$11-$E$11)/($G$11-$E$11),$E$11+SQRT(U461*($G$11-$E$11)*($F$11-$E$11)),$G$11-SQRT((1-U461)*($G$11-$E$11)*($G$11-$F$11))))</f>
        <v>0.108802135761665</v>
      </c>
      <c r="H461" s="53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-2036899018.3584</v>
      </c>
      <c r="I461" s="53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-43697262.700483</v>
      </c>
      <c r="J461" s="53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209184116.267715</v>
      </c>
      <c r="K461" s="53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512987970.694873</v>
      </c>
      <c r="L461" s="53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629652870.106123</v>
      </c>
      <c r="M461" s="53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807693955.426303</v>
      </c>
      <c r="N461" s="53" t="n">
        <f aca="false">IF(COUNT('Business Case'!B11:G11)=0,"",H461+NPV(G461,I461:M461))</f>
        <v>-631364645.091562</v>
      </c>
      <c r="P461" s="54" t="n">
        <f aca="true">RAND()</f>
        <v>0.441723895109732</v>
      </c>
      <c r="Q461" s="54" t="n">
        <f aca="true">RAND()</f>
        <v>0.324920248090015</v>
      </c>
      <c r="R461" s="54" t="n">
        <f aca="true">RAND()</f>
        <v>0.947575479027955</v>
      </c>
      <c r="S461" s="54" t="n">
        <f aca="true">RAND()</f>
        <v>0.654091483446673</v>
      </c>
      <c r="T461" s="54" t="n">
        <f aca="true">RAND()</f>
        <v>0.340788385654528</v>
      </c>
      <c r="U461" s="54" t="n">
        <f aca="true">RAND()</f>
        <v>0.791013060833019</v>
      </c>
    </row>
    <row r="462" customFormat="false" ht="15" hidden="false" customHeight="false" outlineLevel="0" collapsed="false">
      <c r="A462" s="50" t="n">
        <v>382</v>
      </c>
      <c r="B462" s="51" t="n">
        <f aca="false">1+IF($G$6=$E$6,$F$6,IF(P462&lt;($F$6-$E$6)/($G$6-$E$6),$E$6+SQRT(P462*($G$6-$E$6)*($F$6-$E$6)),$G$6-SQRT((1-P462)*($G$6-$E$6)*($G$6-$F$6))))</f>
        <v>0.94325687733082</v>
      </c>
      <c r="C462" s="51" t="n">
        <f aca="false">1+IF($G$7=$E$7,$F$7,IF(Q462&lt;($F$7-$E$7)/($G$7-$E$7),$E$7+SQRT(Q462*($G$7-$E$7)*($F$7-$E$7)),$G$7-SQRT((1-Q462)*($G$7-$E$7)*($G$7-$F$7))))</f>
        <v>1.02854764407364</v>
      </c>
      <c r="D462" s="51" t="n">
        <f aca="false">1+IF($G$8=$E$8,$F$8,IF(R462&lt;($F$8-$E$8)/($G$8-$E$8),$E$8+SQRT(R462*($G$8-$E$8)*($F$8-$E$8)),$G$8-SQRT((1-R462)*($G$8-$E$8)*($G$8-$F$8))))</f>
        <v>0.996273220094584</v>
      </c>
      <c r="E462" s="51" t="n">
        <f aca="false">1+IF($G$9=$E$9,$F$9,IF(S462&lt;($F$9-$E$9)/($G$9-$E$9),$E$9+SQRT(S462*($G$9-$E$9)*($F$9-$E$9)),$G$9-SQRT((1-S462)*($G$9-$E$9)*($G$9-$F$9))))</f>
        <v>0.99916489651647</v>
      </c>
      <c r="F462" s="51" t="n">
        <f aca="false">1+IF($G$10=$E$10,$F$10,IF(T462&lt;($F$10-$E$10)/($G$10-$E$10),$E$10+SQRT(T462*($G$10-$E$10)*($F$10-$E$10)),$G$10-SQRT((1-T462)*($G$10-$E$10)*($G$10-$F$10))))</f>
        <v>1.02697140843459</v>
      </c>
      <c r="G462" s="52" t="n">
        <f aca="false">IF($G$11=$E$11,$F$11,IF(U462&lt;($F$11-$E$11)/($G$11-$E$11),$E$11+SQRT(U462*($G$11-$E$11)*($F$11-$E$11)),$G$11-SQRT((1-U462)*($G$11-$E$11)*($G$11-$F$11))))</f>
        <v>0.107075162096015</v>
      </c>
      <c r="H462" s="53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-2053942816.86918</v>
      </c>
      <c r="I462" s="53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-24993521.4425041</v>
      </c>
      <c r="J462" s="53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245085717.925476</v>
      </c>
      <c r="K462" s="53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566513527.715187</v>
      </c>
      <c r="L462" s="53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690069521.959436</v>
      </c>
      <c r="M462" s="53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874482218.128177</v>
      </c>
      <c r="N462" s="53" t="n">
        <f aca="false">IF(COUNT('Business Case'!B11:G11)=0,"",H462+NPV(G462,I462:M462))</f>
        <v>-473780495.369144</v>
      </c>
      <c r="P462" s="54" t="n">
        <f aca="true">RAND()</f>
        <v>0.0563419107480025</v>
      </c>
      <c r="Q462" s="54" t="n">
        <f aca="true">RAND()</f>
        <v>0.719034766474985</v>
      </c>
      <c r="R462" s="54" t="n">
        <f aca="true">RAND()</f>
        <v>0.329417061218734</v>
      </c>
      <c r="S462" s="54" t="n">
        <f aca="true">RAND()</f>
        <v>0.322291606596693</v>
      </c>
      <c r="T462" s="54" t="n">
        <f aca="true">RAND()</f>
        <v>0.401222130017796</v>
      </c>
      <c r="U462" s="54" t="n">
        <f aca="true">RAND()</f>
        <v>0.721580941926197</v>
      </c>
    </row>
    <row r="463" customFormat="false" ht="15" hidden="false" customHeight="false" outlineLevel="0" collapsed="false">
      <c r="A463" s="50" t="n">
        <v>383</v>
      </c>
      <c r="B463" s="51" t="n">
        <f aca="false">1+IF($G$6=$E$6,$F$6,IF(P463&lt;($F$6-$E$6)/($G$6-$E$6),$E$6+SQRT(P463*($G$6-$E$6)*($F$6-$E$6)),$G$6-SQRT((1-P463)*($G$6-$E$6)*($G$6-$F$6))))</f>
        <v>1.02428270581756</v>
      </c>
      <c r="C463" s="51" t="n">
        <f aca="false">1+IF($G$7=$E$7,$F$7,IF(Q463&lt;($F$7-$E$7)/($G$7-$E$7),$E$7+SQRT(Q463*($G$7-$E$7)*($F$7-$E$7)),$G$7-SQRT((1-Q463)*($G$7-$E$7)*($G$7-$F$7))))</f>
        <v>1.03451256031592</v>
      </c>
      <c r="D463" s="51" t="n">
        <f aca="false">1+IF($G$8=$E$8,$F$8,IF(R463&lt;($F$8-$E$8)/($G$8-$E$8),$E$8+SQRT(R463*($G$8-$E$8)*($F$8-$E$8)),$G$8-SQRT((1-R463)*($G$8-$E$8)*($G$8-$F$8))))</f>
        <v>1.00264745587038</v>
      </c>
      <c r="E463" s="51" t="n">
        <f aca="false">1+IF($G$9=$E$9,$F$9,IF(S463&lt;($F$9-$E$9)/($G$9-$E$9),$E$9+SQRT(S463*($G$9-$E$9)*($F$9-$E$9)),$G$9-SQRT((1-S463)*($G$9-$E$9)*($G$9-$F$9))))</f>
        <v>0.9921223388499</v>
      </c>
      <c r="F463" s="51" t="n">
        <f aca="false">1+IF($G$10=$E$10,$F$10,IF(T463&lt;($F$10-$E$10)/($G$10-$E$10),$E$10+SQRT(T463*($G$10-$E$10)*($F$10-$E$10)),$G$10-SQRT((1-T463)*($G$10-$E$10)*($G$10-$F$10))))</f>
        <v>1.1169769432343</v>
      </c>
      <c r="G463" s="52" t="n">
        <f aca="false">IF($G$11=$E$11,$F$11,IF(U463&lt;($F$11-$E$11)/($G$11-$E$11),$E$11+SQRT(U463*($G$11-$E$11)*($F$11-$E$11)),$G$11-SQRT((1-U463)*($G$11-$E$11)*($G$11-$F$11))))</f>
        <v>0.100245852986332</v>
      </c>
      <c r="H463" s="53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-2233953886.4686</v>
      </c>
      <c r="I463" s="53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29217374.039156</v>
      </c>
      <c r="J463" s="53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366143630.527378</v>
      </c>
      <c r="K463" s="53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758918734.177315</v>
      </c>
      <c r="L463" s="53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907848414.034176</v>
      </c>
      <c r="M463" s="53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1109263516.35184</v>
      </c>
      <c r="N463" s="53" t="n">
        <f aca="false">IF(COUNT('Business Case'!B11:G11)=0,"",H463+NPV(G463,I463:M463))</f>
        <v>-27616193.3626575</v>
      </c>
      <c r="P463" s="54" t="n">
        <f aca="true">RAND()</f>
        <v>0.948534721579702</v>
      </c>
      <c r="Q463" s="54" t="n">
        <f aca="true">RAND()</f>
        <v>0.74595526238507</v>
      </c>
      <c r="R463" s="54" t="n">
        <f aca="true">RAND()</f>
        <v>0.424671530449564</v>
      </c>
      <c r="S463" s="54" t="n">
        <f aca="true">RAND()</f>
        <v>0.236572190691439</v>
      </c>
      <c r="T463" s="54" t="n">
        <f aca="true">RAND()</f>
        <v>0.862143440905594</v>
      </c>
      <c r="U463" s="54" t="n">
        <f aca="true">RAND()</f>
        <v>0.34962279293735</v>
      </c>
    </row>
    <row r="464" customFormat="false" ht="15" hidden="false" customHeight="false" outlineLevel="0" collapsed="false">
      <c r="A464" s="50" t="n">
        <v>384</v>
      </c>
      <c r="B464" s="51" t="n">
        <f aca="false">1+IF($G$6=$E$6,$F$6,IF(P464&lt;($F$6-$E$6)/($G$6-$E$6),$E$6+SQRT(P464*($G$6-$E$6)*($F$6-$E$6)),$G$6-SQRT((1-P464)*($G$6-$E$6)*($G$6-$F$6))))</f>
        <v>1.01613266604023</v>
      </c>
      <c r="C464" s="51" t="n">
        <f aca="false">1+IF($G$7=$E$7,$F$7,IF(Q464&lt;($F$7-$E$7)/($G$7-$E$7),$E$7+SQRT(Q464*($G$7-$E$7)*($F$7-$E$7)),$G$7-SQRT((1-Q464)*($G$7-$E$7)*($G$7-$F$7))))</f>
        <v>1.02328270657263</v>
      </c>
      <c r="D464" s="51" t="n">
        <f aca="false">1+IF($G$8=$E$8,$F$8,IF(R464&lt;($F$8-$E$8)/($G$8-$E$8),$E$8+SQRT(R464*($G$8-$E$8)*($F$8-$E$8)),$G$8-SQRT((1-R464)*($G$8-$E$8)*($G$8-$F$8))))</f>
        <v>0.991808279787331</v>
      </c>
      <c r="E464" s="51" t="n">
        <f aca="false">1+IF($G$9=$E$9,$F$9,IF(S464&lt;($F$9-$E$9)/($G$9-$E$9),$E$9+SQRT(S464*($G$9-$E$9)*($F$9-$E$9)),$G$9-SQRT((1-S464)*($G$9-$E$9)*($G$9-$F$9))))</f>
        <v>1.067121605079</v>
      </c>
      <c r="F464" s="51" t="n">
        <f aca="false">1+IF($G$10=$E$10,$F$10,IF(T464&lt;($F$10-$E$10)/($G$10-$E$10),$E$10+SQRT(T464*($G$10-$E$10)*($F$10-$E$10)),$G$10-SQRT((1-T464)*($G$10-$E$10)*($G$10-$F$10))))</f>
        <v>1.03518925076409</v>
      </c>
      <c r="G464" s="52" t="n">
        <f aca="false">IF($G$11=$E$11,$F$11,IF(U464&lt;($F$11-$E$11)/($G$11-$E$11),$E$11+SQRT(U464*($G$11-$E$11)*($F$11-$E$11)),$G$11-SQRT((1-U464)*($G$11-$E$11)*($G$11-$F$11))))</f>
        <v>0.0974542221909688</v>
      </c>
      <c r="H464" s="53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-2070378501.52818</v>
      </c>
      <c r="I464" s="53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22949557.9059294</v>
      </c>
      <c r="J464" s="53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355065497.779554</v>
      </c>
      <c r="K464" s="53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738940900.191382</v>
      </c>
      <c r="L464" s="53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885581389.915291</v>
      </c>
      <c r="M464" s="53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1083224860.29515</v>
      </c>
      <c r="N464" s="53" t="n">
        <f aca="false">IF(COUNT('Business Case'!B11:G11)=0,"",H464+NPV(G464,I464:M464))</f>
        <v>95319289.5282474</v>
      </c>
      <c r="P464" s="54" t="n">
        <f aca="true">RAND()</f>
        <v>0.88132299367764</v>
      </c>
      <c r="Q464" s="54" t="n">
        <f aca="true">RAND()</f>
        <v>0.694147191360798</v>
      </c>
      <c r="R464" s="54" t="n">
        <f aca="true">RAND()</f>
        <v>0.268912655196265</v>
      </c>
      <c r="S464" s="54" t="n">
        <f aca="true">RAND()</f>
        <v>0.927934076494605</v>
      </c>
      <c r="T464" s="54" t="n">
        <f aca="true">RAND()</f>
        <v>0.456748338725944</v>
      </c>
      <c r="U464" s="54" t="n">
        <f aca="true">RAND()</f>
        <v>0.185218094907773</v>
      </c>
    </row>
    <row r="465" customFormat="false" ht="15" hidden="false" customHeight="false" outlineLevel="0" collapsed="false">
      <c r="A465" s="50" t="n">
        <v>385</v>
      </c>
      <c r="B465" s="51" t="n">
        <f aca="false">1+IF($G$6=$E$6,$F$6,IF(P465&lt;($F$6-$E$6)/($G$6-$E$6),$E$6+SQRT(P465*($G$6-$E$6)*($F$6-$E$6)),$G$6-SQRT((1-P465)*($G$6-$E$6)*($G$6-$F$6))))</f>
        <v>1.00686015751698</v>
      </c>
      <c r="C465" s="51" t="n">
        <f aca="false">1+IF($G$7=$E$7,$F$7,IF(Q465&lt;($F$7-$E$7)/($G$7-$E$7),$E$7+SQRT(Q465*($G$7-$E$7)*($F$7-$E$7)),$G$7-SQRT((1-Q465)*($G$7-$E$7)*($G$7-$F$7))))</f>
        <v>1.1249513369084</v>
      </c>
      <c r="D465" s="51" t="n">
        <f aca="false">1+IF($G$8=$E$8,$F$8,IF(R465&lt;($F$8-$E$8)/($G$8-$E$8),$E$8+SQRT(R465*($G$8-$E$8)*($F$8-$E$8)),$G$8-SQRT((1-R465)*($G$8-$E$8)*($G$8-$F$8))))</f>
        <v>0.980605531435021</v>
      </c>
      <c r="E465" s="51" t="n">
        <f aca="false">1+IF($G$9=$E$9,$F$9,IF(S465&lt;($F$9-$E$9)/($G$9-$E$9),$E$9+SQRT(S465*($G$9-$E$9)*($F$9-$E$9)),$G$9-SQRT((1-S465)*($G$9-$E$9)*($G$9-$F$9))))</f>
        <v>1.00593809267626</v>
      </c>
      <c r="F465" s="51" t="n">
        <f aca="false">1+IF($G$10=$E$10,$F$10,IF(T465&lt;($F$10-$E$10)/($G$10-$E$10),$E$10+SQRT(T465*($G$10-$E$10)*($F$10-$E$10)),$G$10-SQRT((1-T465)*($G$10-$E$10)*($G$10-$F$10))))</f>
        <v>0.98132864026178</v>
      </c>
      <c r="G465" s="52" t="n">
        <f aca="false">IF($G$11=$E$11,$F$11,IF(U465&lt;($F$11-$E$11)/($G$11-$E$11),$E$11+SQRT(U465*($G$11-$E$11)*($F$11-$E$11)),$G$11-SQRT((1-U465)*($G$11-$E$11)*($G$11-$F$11))))</f>
        <v>0.106374632063549</v>
      </c>
      <c r="H465" s="53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-1962657280.52356</v>
      </c>
      <c r="I465" s="53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63126292.9563908</v>
      </c>
      <c r="J465" s="53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426147391.103163</v>
      </c>
      <c r="K465" s="53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838234921.263024</v>
      </c>
      <c r="L465" s="53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998386983.569041</v>
      </c>
      <c r="M465" s="53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1213684646.31638</v>
      </c>
      <c r="N465" s="53" t="n">
        <f aca="false">IF(COUNT('Business Case'!B11:G11)=0,"",H465+NPV(G465,I465:M465))</f>
        <v>459968091.328598</v>
      </c>
      <c r="P465" s="54" t="n">
        <f aca="true">RAND()</f>
        <v>0.771198091708508</v>
      </c>
      <c r="Q465" s="54" t="n">
        <f aca="true">RAND()</f>
        <v>0.988048847187112</v>
      </c>
      <c r="R465" s="54" t="n">
        <f aca="true">RAND()</f>
        <v>0.144107469910777</v>
      </c>
      <c r="S465" s="54" t="n">
        <f aca="true">RAND()</f>
        <v>0.410157172708026</v>
      </c>
      <c r="T465" s="54" t="n">
        <f aca="true">RAND()</f>
        <v>0.0785186960521631</v>
      </c>
      <c r="U465" s="54" t="n">
        <f aca="true">RAND()</f>
        <v>0.690582247660574</v>
      </c>
    </row>
    <row r="466" customFormat="false" ht="15" hidden="false" customHeight="false" outlineLevel="0" collapsed="false">
      <c r="A466" s="50" t="n">
        <v>386</v>
      </c>
      <c r="B466" s="51" t="n">
        <f aca="false">1+IF($G$6=$E$6,$F$6,IF(P466&lt;($F$6-$E$6)/($G$6-$E$6),$E$6+SQRT(P466*($G$6-$E$6)*($F$6-$E$6)),$G$6-SQRT((1-P466)*($G$6-$E$6)*($G$6-$F$6))))</f>
        <v>1.00164357329373</v>
      </c>
      <c r="C466" s="51" t="n">
        <f aca="false">1+IF($G$7=$E$7,$F$7,IF(Q466&lt;($F$7-$E$7)/($G$7-$E$7),$E$7+SQRT(Q466*($G$7-$E$7)*($F$7-$E$7)),$G$7-SQRT((1-Q466)*($G$7-$E$7)*($G$7-$F$7))))</f>
        <v>1.10182398905981</v>
      </c>
      <c r="D466" s="51" t="n">
        <f aca="false">1+IF($G$8=$E$8,$F$8,IF(R466&lt;($F$8-$E$8)/($G$8-$E$8),$E$8+SQRT(R466*($G$8-$E$8)*($F$8-$E$8)),$G$8-SQRT((1-R466)*($G$8-$E$8)*($G$8-$F$8))))</f>
        <v>1.00401978651366</v>
      </c>
      <c r="E466" s="51" t="n">
        <f aca="false">1+IF($G$9=$E$9,$F$9,IF(S466&lt;($F$9-$E$9)/($G$9-$E$9),$E$9+SQRT(S466*($G$9-$E$9)*($F$9-$E$9)),$G$9-SQRT((1-S466)*($G$9-$E$9)*($G$9-$F$9))))</f>
        <v>0.998244664692908</v>
      </c>
      <c r="F466" s="51" t="n">
        <f aca="false">1+IF($G$10=$E$10,$F$10,IF(T466&lt;($F$10-$E$10)/($G$10-$E$10),$E$10+SQRT(T466*($G$10-$E$10)*($F$10-$E$10)),$G$10-SQRT((1-T466)*($G$10-$E$10)*($G$10-$F$10))))</f>
        <v>0.97724053584462</v>
      </c>
      <c r="G466" s="52" t="n">
        <f aca="false">IF($G$11=$E$11,$F$11,IF(U466&lt;($F$11-$E$11)/($G$11-$E$11),$E$11+SQRT(U466*($G$11-$E$11)*($F$11-$E$11)),$G$11-SQRT((1-U466)*($G$11-$E$11)*($G$11-$F$11))))</f>
        <v>0.100220472458612</v>
      </c>
      <c r="H466" s="53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-1954481071.68924</v>
      </c>
      <c r="I466" s="53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40756500.2281794</v>
      </c>
      <c r="J466" s="53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378399879.485562</v>
      </c>
      <c r="K466" s="53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764905285.535176</v>
      </c>
      <c r="L466" s="53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915594701.371243</v>
      </c>
      <c r="M466" s="53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1125373626.49774</v>
      </c>
      <c r="N466" s="53" t="n">
        <f aca="false">IF(COUNT('Business Case'!B11:G11)=0,"",H466+NPV(G466,I466:M466))</f>
        <v>292434987.723037</v>
      </c>
      <c r="P466" s="54" t="n">
        <f aca="true">RAND()</f>
        <v>0.693496777151358</v>
      </c>
      <c r="Q466" s="54" t="n">
        <f aca="true">RAND()</f>
        <v>0.95579184704554</v>
      </c>
      <c r="R466" s="54" t="n">
        <f aca="true">RAND()</f>
        <v>0.444904534477917</v>
      </c>
      <c r="S466" s="54" t="n">
        <f aca="true">RAND()</f>
        <v>0.310339689510822</v>
      </c>
      <c r="T466" s="54" t="n">
        <f aca="true">RAND()</f>
        <v>0.0593637434481624</v>
      </c>
      <c r="U466" s="54" t="n">
        <f aca="true">RAND()</f>
        <v>0.347950483732441</v>
      </c>
    </row>
    <row r="467" customFormat="false" ht="15" hidden="false" customHeight="false" outlineLevel="0" collapsed="false">
      <c r="A467" s="50" t="n">
        <v>387</v>
      </c>
      <c r="B467" s="51" t="n">
        <f aca="false">1+IF($G$6=$E$6,$F$6,IF(P467&lt;($F$6-$E$6)/($G$6-$E$6),$E$6+SQRT(P467*($G$6-$E$6)*($F$6-$E$6)),$G$6-SQRT((1-P467)*($G$6-$E$6)*($G$6-$F$6))))</f>
        <v>0.978845171484173</v>
      </c>
      <c r="C467" s="51" t="n">
        <f aca="false">1+IF($G$7=$E$7,$F$7,IF(Q467&lt;($F$7-$E$7)/($G$7-$E$7),$E$7+SQRT(Q467*($G$7-$E$7)*($F$7-$E$7)),$G$7-SQRT((1-Q467)*($G$7-$E$7)*($G$7-$F$7))))</f>
        <v>0.941303964977206</v>
      </c>
      <c r="D467" s="51" t="n">
        <f aca="false">1+IF($G$8=$E$8,$F$8,IF(R467&lt;($F$8-$E$8)/($G$8-$E$8),$E$8+SQRT(R467*($G$8-$E$8)*($F$8-$E$8)),$G$8-SQRT((1-R467)*($G$8-$E$8)*($G$8-$F$8))))</f>
        <v>1.0228275157469</v>
      </c>
      <c r="E467" s="51" t="n">
        <f aca="false">1+IF($G$9=$E$9,$F$9,IF(S467&lt;($F$9-$E$9)/($G$9-$E$9),$E$9+SQRT(S467*($G$9-$E$9)*($F$9-$E$9)),$G$9-SQRT((1-S467)*($G$9-$E$9)*($G$9-$F$9))))</f>
        <v>0.994090049801801</v>
      </c>
      <c r="F467" s="51" t="n">
        <f aca="false">1+IF($G$10=$E$10,$F$10,IF(T467&lt;($F$10-$E$10)/($G$10-$E$10),$E$10+SQRT(T467*($G$10-$E$10)*($F$10-$E$10)),$G$10-SQRT((1-T467)*($G$10-$E$10)*($G$10-$F$10))))</f>
        <v>1.15142124837889</v>
      </c>
      <c r="G467" s="52" t="n">
        <f aca="false">IF($G$11=$E$11,$F$11,IF(U467&lt;($F$11-$E$11)/($G$11-$E$11),$E$11+SQRT(U467*($G$11-$E$11)*($F$11-$E$11)),$G$11-SQRT((1-U467)*($G$11-$E$11)*($G$11-$F$11))))</f>
        <v>0.0986257184370015</v>
      </c>
      <c r="H467" s="53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-2302842496.75778</v>
      </c>
      <c r="I467" s="53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-42453466.0398789</v>
      </c>
      <c r="J467" s="53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219359699.03826</v>
      </c>
      <c r="K467" s="53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538743926.535344</v>
      </c>
      <c r="L467" s="53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657858249.026933</v>
      </c>
      <c r="M467" s="53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832996220.087414</v>
      </c>
      <c r="N467" s="53" t="n">
        <f aca="false">IF(COUNT('Business Case'!B11:G11)=0,"",H467+NPV(G467,I467:M467))</f>
        <v>-781408074.716911</v>
      </c>
      <c r="P467" s="54" t="n">
        <f aca="true">RAND()</f>
        <v>0.360703563229342</v>
      </c>
      <c r="Q467" s="54" t="n">
        <f aca="true">RAND()</f>
        <v>0.285240150261135</v>
      </c>
      <c r="R467" s="54" t="n">
        <f aca="true">RAND()</f>
        <v>0.685702600416237</v>
      </c>
      <c r="S467" s="54" t="n">
        <f aca="true">RAND()</f>
        <v>0.25919099887004</v>
      </c>
      <c r="T467" s="54" t="n">
        <f aca="true">RAND()</f>
        <v>0.952802097818689</v>
      </c>
      <c r="U467" s="54" t="n">
        <f aca="true">RAND()</f>
        <v>0.248010061848093</v>
      </c>
    </row>
    <row r="468" customFormat="false" ht="15" hidden="false" customHeight="false" outlineLevel="0" collapsed="false">
      <c r="A468" s="50" t="n">
        <v>388</v>
      </c>
      <c r="B468" s="51" t="n">
        <f aca="false">1+IF($G$6=$E$6,$F$6,IF(P468&lt;($F$6-$E$6)/($G$6-$E$6),$E$6+SQRT(P468*($G$6-$E$6)*($F$6-$E$6)),$G$6-SQRT((1-P468)*($G$6-$E$6)*($G$6-$F$6))))</f>
        <v>0.996992252711888</v>
      </c>
      <c r="C468" s="51" t="n">
        <f aca="false">1+IF($G$7=$E$7,$F$7,IF(Q468&lt;($F$7-$E$7)/($G$7-$E$7),$E$7+SQRT(Q468*($G$7-$E$7)*($F$7-$E$7)),$G$7-SQRT((1-Q468)*($G$7-$E$7)*($G$7-$F$7))))</f>
        <v>1.00303730664448</v>
      </c>
      <c r="D468" s="51" t="n">
        <f aca="false">1+IF($G$8=$E$8,$F$8,IF(R468&lt;($F$8-$E$8)/($G$8-$E$8),$E$8+SQRT(R468*($G$8-$E$8)*($F$8-$E$8)),$G$8-SQRT((1-R468)*($G$8-$E$8)*($G$8-$F$8))))</f>
        <v>1.02243492014494</v>
      </c>
      <c r="E468" s="51" t="n">
        <f aca="false">1+IF($G$9=$E$9,$F$9,IF(S468&lt;($F$9-$E$9)/($G$9-$E$9),$E$9+SQRT(S468*($G$9-$E$9)*($F$9-$E$9)),$G$9-SQRT((1-S468)*($G$9-$E$9)*($G$9-$F$9))))</f>
        <v>1.03512824622023</v>
      </c>
      <c r="F468" s="51" t="n">
        <f aca="false">1+IF($G$10=$E$10,$F$10,IF(T468&lt;($F$10-$E$10)/($G$10-$E$10),$E$10+SQRT(T468*($G$10-$E$10)*($F$10-$E$10)),$G$10-SQRT((1-T468)*($G$10-$E$10)*($G$10-$F$10))))</f>
        <v>1.06944138476074</v>
      </c>
      <c r="G468" s="52" t="n">
        <f aca="false">IF($G$11=$E$11,$F$11,IF(U468&lt;($F$11-$E$11)/($G$11-$E$11),$E$11+SQRT(U468*($G$11-$E$11)*($F$11-$E$11)),$G$11-SQRT((1-U468)*($G$11-$E$11)*($G$11-$F$11))))</f>
        <v>0.0998892032879224</v>
      </c>
      <c r="H468" s="53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-2138882769.52148</v>
      </c>
      <c r="I468" s="53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-11886330.668189</v>
      </c>
      <c r="J468" s="53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282207772.527476</v>
      </c>
      <c r="K468" s="53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629773944.961178</v>
      </c>
      <c r="L468" s="53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762366018.543242</v>
      </c>
      <c r="M468" s="53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952449900.719208</v>
      </c>
      <c r="N468" s="53" t="n">
        <f aca="false">IF(COUNT('Business Case'!B11:G11)=0,"",H468+NPV(G468,I468:M468))</f>
        <v>-330501092.8104</v>
      </c>
      <c r="P468" s="54" t="n">
        <f aca="true">RAND()</f>
        <v>0.61747989350533</v>
      </c>
      <c r="Q468" s="54" t="n">
        <f aca="true">RAND()</f>
        <v>0.588608890698888</v>
      </c>
      <c r="R468" s="54" t="n">
        <f aca="true">RAND()</f>
        <v>0.681371305892353</v>
      </c>
      <c r="S468" s="54" t="n">
        <f aca="true">RAND()</f>
        <v>0.719443704102435</v>
      </c>
      <c r="T468" s="54" t="n">
        <f aca="true">RAND()</f>
        <v>0.659088959736145</v>
      </c>
      <c r="U468" s="54" t="n">
        <f aca="true">RAND()</f>
        <v>0.325987805566183</v>
      </c>
    </row>
    <row r="469" customFormat="false" ht="15" hidden="false" customHeight="false" outlineLevel="0" collapsed="false">
      <c r="A469" s="50" t="n">
        <v>389</v>
      </c>
      <c r="B469" s="51" t="n">
        <f aca="false">1+IF($G$6=$E$6,$F$6,IF(P469&lt;($F$6-$E$6)/($G$6-$E$6),$E$6+SQRT(P469*($G$6-$E$6)*($F$6-$E$6)),$G$6-SQRT((1-P469)*($G$6-$E$6)*($G$6-$F$6))))</f>
        <v>0.989215373322721</v>
      </c>
      <c r="C469" s="51" t="n">
        <f aca="false">1+IF($G$7=$E$7,$F$7,IF(Q469&lt;($F$7-$E$7)/($G$7-$E$7),$E$7+SQRT(Q469*($G$7-$E$7)*($F$7-$E$7)),$G$7-SQRT((1-Q469)*($G$7-$E$7)*($G$7-$F$7))))</f>
        <v>1.00183411714069</v>
      </c>
      <c r="D469" s="51" t="n">
        <f aca="false">1+IF($G$8=$E$8,$F$8,IF(R469&lt;($F$8-$E$8)/($G$8-$E$8),$E$8+SQRT(R469*($G$8-$E$8)*($F$8-$E$8)),$G$8-SQRT((1-R469)*($G$8-$E$8)*($G$8-$F$8))))</f>
        <v>0.997466635719604</v>
      </c>
      <c r="E469" s="51" t="n">
        <f aca="false">1+IF($G$9=$E$9,$F$9,IF(S469&lt;($F$9-$E$9)/($G$9-$E$9),$E$9+SQRT(S469*($G$9-$E$9)*($F$9-$E$9)),$G$9-SQRT((1-S469)*($G$9-$E$9)*($G$9-$F$9))))</f>
        <v>1.04229747767729</v>
      </c>
      <c r="F469" s="51" t="n">
        <f aca="false">1+IF($G$10=$E$10,$F$10,IF(T469&lt;($F$10-$E$10)/($G$10-$E$10),$E$10+SQRT(T469*($G$10-$E$10)*($F$10-$E$10)),$G$10-SQRT((1-T469)*($G$10-$E$10)*($G$10-$F$10))))</f>
        <v>1.05550160820633</v>
      </c>
      <c r="G469" s="52" t="n">
        <f aca="false">IF($G$11=$E$11,$F$11,IF(U469&lt;($F$11-$E$11)/($G$11-$E$11),$E$11+SQRT(U469*($G$11-$E$11)*($F$11-$E$11)),$G$11-SQRT((1-U469)*($G$11-$E$11)*($G$11-$F$11))))</f>
        <v>0.110761114492651</v>
      </c>
      <c r="H469" s="53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-2111003216.41265</v>
      </c>
      <c r="I469" s="53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-4974818.30888553</v>
      </c>
      <c r="J469" s="53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295190205.705069</v>
      </c>
      <c r="K469" s="53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648130310.12934</v>
      </c>
      <c r="L469" s="53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782435304.918322</v>
      </c>
      <c r="M469" s="53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970810232.232144</v>
      </c>
      <c r="N469" s="53" t="n">
        <f aca="false">IF(COUNT('Business Case'!B11:G11)=0,"",H469+NPV(G469,I469:M469))</f>
        <v>-315132829.256931</v>
      </c>
      <c r="P469" s="54" t="n">
        <f aca="true">RAND()</f>
        <v>0.499038323354544</v>
      </c>
      <c r="Q469" s="54" t="n">
        <f aca="true">RAND()</f>
        <v>0.581845164886125</v>
      </c>
      <c r="R469" s="54" t="n">
        <f aca="true">RAND()</f>
        <v>0.34662792408271</v>
      </c>
      <c r="S469" s="54" t="n">
        <f aca="true">RAND()</f>
        <v>0.778027927839805</v>
      </c>
      <c r="T469" s="54" t="n">
        <f aca="true">RAND()</f>
        <v>0.582404295380842</v>
      </c>
      <c r="U469" s="54" t="n">
        <f aca="true">RAND()</f>
        <v>0.85773832430348</v>
      </c>
    </row>
    <row r="470" customFormat="false" ht="15" hidden="false" customHeight="false" outlineLevel="0" collapsed="false">
      <c r="A470" s="50" t="n">
        <v>390</v>
      </c>
      <c r="B470" s="51" t="n">
        <f aca="false">1+IF($G$6=$E$6,$F$6,IF(P470&lt;($F$6-$E$6)/($G$6-$E$6),$E$6+SQRT(P470*($G$6-$E$6)*($F$6-$E$6)),$G$6-SQRT((1-P470)*($G$6-$E$6)*($G$6-$F$6))))</f>
        <v>0.991207386348097</v>
      </c>
      <c r="C470" s="51" t="n">
        <f aca="false">1+IF($G$7=$E$7,$F$7,IF(Q470&lt;($F$7-$E$7)/($G$7-$E$7),$E$7+SQRT(Q470*($G$7-$E$7)*($F$7-$E$7)),$G$7-SQRT((1-Q470)*($G$7-$E$7)*($G$7-$F$7))))</f>
        <v>0.942106266694072</v>
      </c>
      <c r="D470" s="51" t="n">
        <f aca="false">1+IF($G$8=$E$8,$F$8,IF(R470&lt;($F$8-$E$8)/($G$8-$E$8),$E$8+SQRT(R470*($G$8-$E$8)*($F$8-$E$8)),$G$8-SQRT((1-R470)*($G$8-$E$8)*($G$8-$F$8))))</f>
        <v>1.03200124324964</v>
      </c>
      <c r="E470" s="51" t="n">
        <f aca="false">1+IF($G$9=$E$9,$F$9,IF(S470&lt;($F$9-$E$9)/($G$9-$E$9),$E$9+SQRT(S470*($G$9-$E$9)*($F$9-$E$9)),$G$9-SQRT((1-S470)*($G$9-$E$9)*($G$9-$F$9))))</f>
        <v>1.01353530792203</v>
      </c>
      <c r="F470" s="51" t="n">
        <f aca="false">1+IF($G$10=$E$10,$F$10,IF(T470&lt;($F$10-$E$10)/($G$10-$E$10),$E$10+SQRT(T470*($G$10-$E$10)*($F$10-$E$10)),$G$10-SQRT((1-T470)*($G$10-$E$10)*($G$10-$F$10))))</f>
        <v>1.09344339548609</v>
      </c>
      <c r="G470" s="52" t="n">
        <f aca="false">IF($G$11=$E$11,$F$11,IF(U470&lt;($F$11-$E$11)/($G$11-$E$11),$E$11+SQRT(U470*($G$11-$E$11)*($F$11-$E$11)),$G$11-SQRT((1-U470)*($G$11-$E$11)*($G$11-$F$11))))</f>
        <v>0.111454083079421</v>
      </c>
      <c r="H470" s="53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-2186886790.97217</v>
      </c>
      <c r="I470" s="53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-34727106.9580775</v>
      </c>
      <c r="J470" s="53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232424214.682666</v>
      </c>
      <c r="K470" s="53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554247706.097714</v>
      </c>
      <c r="L470" s="53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675571058.820428</v>
      </c>
      <c r="M470" s="53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853072075.787329</v>
      </c>
      <c r="N470" s="53" t="n">
        <f aca="false">IF(COUNT('Business Case'!B11:G11)=0,"",H470+NPV(G470,I470:M470))</f>
        <v>-680662319.919035</v>
      </c>
      <c r="P470" s="54" t="n">
        <f aca="true">RAND()</f>
        <v>0.528176236513242</v>
      </c>
      <c r="Q470" s="54" t="n">
        <f aca="true">RAND()</f>
        <v>0.288488443338952</v>
      </c>
      <c r="R470" s="54" t="n">
        <f aca="true">RAND()</f>
        <v>0.778473014463459</v>
      </c>
      <c r="S470" s="54" t="n">
        <f aca="true">RAND()</f>
        <v>0.501590468257414</v>
      </c>
      <c r="T470" s="54" t="n">
        <f aca="true">RAND()</f>
        <v>0.772913800689308</v>
      </c>
      <c r="U470" s="54" t="n">
        <f aca="true">RAND()</f>
        <v>0.878278839977589</v>
      </c>
    </row>
    <row r="471" customFormat="false" ht="15" hidden="false" customHeight="false" outlineLevel="0" collapsed="false">
      <c r="A471" s="50" t="n">
        <v>391</v>
      </c>
      <c r="B471" s="51" t="n">
        <f aca="false">1+IF($G$6=$E$6,$F$6,IF(P471&lt;($F$6-$E$6)/($G$6-$E$6),$E$6+SQRT(P471*($G$6-$E$6)*($F$6-$E$6)),$G$6-SQRT((1-P471)*($G$6-$E$6)*($G$6-$F$6))))</f>
        <v>0.986938970549698</v>
      </c>
      <c r="C471" s="51" t="n">
        <f aca="false">1+IF($G$7=$E$7,$F$7,IF(Q471&lt;($F$7-$E$7)/($G$7-$E$7),$E$7+SQRT(Q471*($G$7-$E$7)*($F$7-$E$7)),$G$7-SQRT((1-Q471)*($G$7-$E$7)*($G$7-$F$7))))</f>
        <v>0.877513561356308</v>
      </c>
      <c r="D471" s="51" t="n">
        <f aca="false">1+IF($G$8=$E$8,$F$8,IF(R471&lt;($F$8-$E$8)/($G$8-$E$8),$E$8+SQRT(R471*($G$8-$E$8)*($F$8-$E$8)),$G$8-SQRT((1-R471)*($G$8-$E$8)*($G$8-$F$8))))</f>
        <v>0.983589096122636</v>
      </c>
      <c r="E471" s="51" t="n">
        <f aca="false">1+IF($G$9=$E$9,$F$9,IF(S471&lt;($F$9-$E$9)/($G$9-$E$9),$E$9+SQRT(S471*($G$9-$E$9)*($F$9-$E$9)),$G$9-SQRT((1-S471)*($G$9-$E$9)*($G$9-$F$9))))</f>
        <v>1.03928070518037</v>
      </c>
      <c r="F471" s="51" t="n">
        <f aca="false">1+IF($G$10=$E$10,$F$10,IF(T471&lt;($F$10-$E$10)/($G$10-$E$10),$E$10+SQRT(T471*($G$10-$E$10)*($F$10-$E$10)),$G$10-SQRT((1-T471)*($G$10-$E$10)*($G$10-$F$10))))</f>
        <v>1.06764917703243</v>
      </c>
      <c r="G471" s="52" t="n">
        <f aca="false">IF($G$11=$E$11,$F$11,IF(U471&lt;($F$11-$E$11)/($G$11-$E$11),$E$11+SQRT(U471*($G$11-$E$11)*($F$11-$E$11)),$G$11-SQRT((1-U471)*($G$11-$E$11)*($G$11-$F$11))))</f>
        <v>0.109005363218062</v>
      </c>
      <c r="H471" s="53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-2135298354.06485</v>
      </c>
      <c r="I471" s="53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-31932261.5987757</v>
      </c>
      <c r="J471" s="53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235582263.615594</v>
      </c>
      <c r="K471" s="53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556479247.681586</v>
      </c>
      <c r="L471" s="53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675581524.641879</v>
      </c>
      <c r="M471" s="53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840200751.697145</v>
      </c>
      <c r="N471" s="53" t="n">
        <f aca="false">IF(COUNT('Business Case'!B11:G11)=0,"",H471+NPV(G471,I471:M471))</f>
        <v>-617072972.41311</v>
      </c>
      <c r="P471" s="54" t="n">
        <f aca="true">RAND()</f>
        <v>0.466752685234726</v>
      </c>
      <c r="Q471" s="54" t="n">
        <f aca="true">RAND()</f>
        <v>0.0858336027734023</v>
      </c>
      <c r="R471" s="54" t="n">
        <f aca="true">RAND()</f>
        <v>0.173573442820869</v>
      </c>
      <c r="S471" s="54" t="n">
        <f aca="true">RAND()</f>
        <v>0.754211149107137</v>
      </c>
      <c r="T471" s="54" t="n">
        <f aca="true">RAND()</f>
        <v>0.649665193196125</v>
      </c>
      <c r="U471" s="54" t="n">
        <f aca="true">RAND()</f>
        <v>0.798529936722099</v>
      </c>
    </row>
    <row r="472" customFormat="false" ht="15" hidden="false" customHeight="false" outlineLevel="0" collapsed="false">
      <c r="A472" s="50" t="n">
        <v>392</v>
      </c>
      <c r="B472" s="51" t="n">
        <f aca="false">1+IF($G$6=$E$6,$F$6,IF(P472&lt;($F$6-$E$6)/($G$6-$E$6),$E$6+SQRT(P472*($G$6-$E$6)*($F$6-$E$6)),$G$6-SQRT((1-P472)*($G$6-$E$6)*($G$6-$F$6))))</f>
        <v>0.98747186900789</v>
      </c>
      <c r="C472" s="51" t="n">
        <f aca="false">1+IF($G$7=$E$7,$F$7,IF(Q472&lt;($F$7-$E$7)/($G$7-$E$7),$E$7+SQRT(Q472*($G$7-$E$7)*($F$7-$E$7)),$G$7-SQRT((1-Q472)*($G$7-$E$7)*($G$7-$F$7))))</f>
        <v>1.05996178071458</v>
      </c>
      <c r="D472" s="51" t="n">
        <f aca="false">1+IF($G$8=$E$8,$F$8,IF(R472&lt;($F$8-$E$8)/($G$8-$E$8),$E$8+SQRT(R472*($G$8-$E$8)*($F$8-$E$8)),$G$8-SQRT((1-R472)*($G$8-$E$8)*($G$8-$F$8))))</f>
        <v>1.03787037155646</v>
      </c>
      <c r="E472" s="51" t="n">
        <f aca="false">1+IF($G$9=$E$9,$F$9,IF(S472&lt;($F$9-$E$9)/($G$9-$E$9),$E$9+SQRT(S472*($G$9-$E$9)*($F$9-$E$9)),$G$9-SQRT((1-S472)*($G$9-$E$9)*($G$9-$F$9))))</f>
        <v>1.01112154334334</v>
      </c>
      <c r="F472" s="51" t="n">
        <f aca="false">1+IF($G$10=$E$10,$F$10,IF(T472&lt;($F$10-$E$10)/($G$10-$E$10),$E$10+SQRT(T472*($G$10-$E$10)*($F$10-$E$10)),$G$10-SQRT((1-T472)*($G$10-$E$10)*($G$10-$F$10))))</f>
        <v>1.0140781444543</v>
      </c>
      <c r="G472" s="52" t="n">
        <f aca="false">IF($G$11=$E$11,$F$11,IF(U472&lt;($F$11-$E$11)/($G$11-$E$11),$E$11+SQRT(U472*($G$11-$E$11)*($F$11-$E$11)),$G$11-SQRT((1-U472)*($G$11-$E$11)*($G$11-$F$11))))</f>
        <v>0.0984346040218131</v>
      </c>
      <c r="H472" s="53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-2028156288.9086</v>
      </c>
      <c r="I472" s="53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-5305726.06670338</v>
      </c>
      <c r="J472" s="53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288837863.500253</v>
      </c>
      <c r="K472" s="53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633685360.289925</v>
      </c>
      <c r="L472" s="53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767906568.628782</v>
      </c>
      <c r="M472" s="53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966859966.953076</v>
      </c>
      <c r="N472" s="53" t="n">
        <f aca="false">IF(COUNT('Business Case'!B11:G11)=0,"",H472+NPV(G472,I472:M472))</f>
        <v>-183340407.894946</v>
      </c>
      <c r="P472" s="54" t="n">
        <f aca="true">RAND()</f>
        <v>0.474213865356029</v>
      </c>
      <c r="Q472" s="54" t="n">
        <f aca="true">RAND()</f>
        <v>0.845583220341146</v>
      </c>
      <c r="R472" s="54" t="n">
        <f aca="true">RAND()</f>
        <v>0.829336000693224</v>
      </c>
      <c r="S472" s="54" t="n">
        <f aca="true">RAND()</f>
        <v>0.473374662821986</v>
      </c>
      <c r="T472" s="54" t="n">
        <f aca="true">RAND()</f>
        <v>0.308661272608876</v>
      </c>
      <c r="U472" s="54" t="n">
        <f aca="true">RAND()</f>
        <v>0.23714181668262</v>
      </c>
    </row>
    <row r="473" customFormat="false" ht="15" hidden="false" customHeight="false" outlineLevel="0" collapsed="false">
      <c r="A473" s="50" t="n">
        <v>393</v>
      </c>
      <c r="B473" s="51" t="n">
        <f aca="false">1+IF($G$6=$E$6,$F$6,IF(P473&lt;($F$6-$E$6)/($G$6-$E$6),$E$6+SQRT(P473*($G$6-$E$6)*($F$6-$E$6)),$G$6-SQRT((1-P473)*($G$6-$E$6)*($G$6-$F$6))))</f>
        <v>1.01249257015832</v>
      </c>
      <c r="C473" s="51" t="n">
        <f aca="false">1+IF($G$7=$E$7,$F$7,IF(Q473&lt;($F$7-$E$7)/($G$7-$E$7),$E$7+SQRT(Q473*($G$7-$E$7)*($F$7-$E$7)),$G$7-SQRT((1-Q473)*($G$7-$E$7)*($G$7-$F$7))))</f>
        <v>0.983857987459145</v>
      </c>
      <c r="D473" s="51" t="n">
        <f aca="false">1+IF($G$8=$E$8,$F$8,IF(R473&lt;($F$8-$E$8)/($G$8-$E$8),$E$8+SQRT(R473*($G$8-$E$8)*($F$8-$E$8)),$G$8-SQRT((1-R473)*($G$8-$E$8)*($G$8-$F$8))))</f>
        <v>1.02421935935294</v>
      </c>
      <c r="E473" s="51" t="n">
        <f aca="false">1+IF($G$9=$E$9,$F$9,IF(S473&lt;($F$9-$E$9)/($G$9-$E$9),$E$9+SQRT(S473*($G$9-$E$9)*($F$9-$E$9)),$G$9-SQRT((1-S473)*($G$9-$E$9)*($G$9-$F$9))))</f>
        <v>1.00628665332567</v>
      </c>
      <c r="F473" s="51" t="n">
        <f aca="false">1+IF($G$10=$E$10,$F$10,IF(T473&lt;($F$10-$E$10)/($G$10-$E$10),$E$10+SQRT(T473*($G$10-$E$10)*($F$10-$E$10)),$G$10-SQRT((1-T473)*($G$10-$E$10)*($G$10-$F$10))))</f>
        <v>0.996341468419522</v>
      </c>
      <c r="G473" s="52" t="n">
        <f aca="false">IF($G$11=$E$11,$F$11,IF(U473&lt;($F$11-$E$11)/($G$11-$E$11),$E$11+SQRT(U473*($G$11-$E$11)*($F$11-$E$11)),$G$11-SQRT((1-U473)*($G$11-$E$11)*($G$11-$F$11))))</f>
        <v>0.097502318047475</v>
      </c>
      <c r="H473" s="53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-1992682936.83904</v>
      </c>
      <c r="I473" s="53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5694385.07180508</v>
      </c>
      <c r="J473" s="53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305757238.188541</v>
      </c>
      <c r="K473" s="53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655637164.726253</v>
      </c>
      <c r="L473" s="53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790085021.831878</v>
      </c>
      <c r="M473" s="53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979433005.198796</v>
      </c>
      <c r="N473" s="53" t="n">
        <f aca="false">IF(COUNT('Business Case'!B11:G11)=0,"",H473+NPV(G473,I473:M473))</f>
        <v>-78019975.4264607</v>
      </c>
      <c r="P473" s="54" t="n">
        <f aca="true">RAND()</f>
        <v>0.842362771563508</v>
      </c>
      <c r="Q473" s="54" t="n">
        <f aca="true">RAND()</f>
        <v>0.482910850750387</v>
      </c>
      <c r="R473" s="54" t="n">
        <f aca="true">RAND()</f>
        <v>0.700819243173436</v>
      </c>
      <c r="S473" s="54" t="n">
        <f aca="true">RAND()</f>
        <v>0.414520577006443</v>
      </c>
      <c r="T473" s="54" t="n">
        <f aca="true">RAND()</f>
        <v>0.171802535622207</v>
      </c>
      <c r="U473" s="54" t="n">
        <f aca="true">RAND()</f>
        <v>0.187615920284898</v>
      </c>
    </row>
    <row r="474" customFormat="false" ht="15" hidden="false" customHeight="false" outlineLevel="0" collapsed="false">
      <c r="A474" s="50" t="n">
        <v>394</v>
      </c>
      <c r="B474" s="51" t="n">
        <f aca="false">1+IF($G$6=$E$6,$F$6,IF(P474&lt;($F$6-$E$6)/($G$6-$E$6),$E$6+SQRT(P474*($G$6-$E$6)*($F$6-$E$6)),$G$6-SQRT((1-P474)*($G$6-$E$6)*($G$6-$F$6))))</f>
        <v>1.01850868850363</v>
      </c>
      <c r="C474" s="51" t="n">
        <f aca="false">1+IF($G$7=$E$7,$F$7,IF(Q474&lt;($F$7-$E$7)/($G$7-$E$7),$E$7+SQRT(Q474*($G$7-$E$7)*($F$7-$E$7)),$G$7-SQRT((1-Q474)*($G$7-$E$7)*($G$7-$F$7))))</f>
        <v>0.843819532172651</v>
      </c>
      <c r="D474" s="51" t="n">
        <f aca="false">1+IF($G$8=$E$8,$F$8,IF(R474&lt;($F$8-$E$8)/($G$8-$E$8),$E$8+SQRT(R474*($G$8-$E$8)*($F$8-$E$8)),$G$8-SQRT((1-R474)*($G$8-$E$8)*($G$8-$F$8))))</f>
        <v>1.01742427513331</v>
      </c>
      <c r="E474" s="51" t="n">
        <f aca="false">1+IF($G$9=$E$9,$F$9,IF(S474&lt;($F$9-$E$9)/($G$9-$E$9),$E$9+SQRT(S474*($G$9-$E$9)*($F$9-$E$9)),$G$9-SQRT((1-S474)*($G$9-$E$9)*($G$9-$F$9))))</f>
        <v>1.04103972200479</v>
      </c>
      <c r="F474" s="51" t="n">
        <f aca="false">1+IF($G$10=$E$10,$F$10,IF(T474&lt;($F$10-$E$10)/($G$10-$E$10),$E$10+SQRT(T474*($G$10-$E$10)*($F$10-$E$10)),$G$10-SQRT((1-T474)*($G$10-$E$10)*($G$10-$F$10))))</f>
        <v>1.06287677734476</v>
      </c>
      <c r="G474" s="52" t="n">
        <f aca="false">IF($G$11=$E$11,$F$11,IF(U474&lt;($F$11-$E$11)/($G$11-$E$11),$E$11+SQRT(U474*($G$11-$E$11)*($F$11-$E$11)),$G$11-SQRT((1-U474)*($G$11-$E$11)*($G$11-$F$11))))</f>
        <v>0.113967527720142</v>
      </c>
      <c r="H474" s="53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-2125753554.68952</v>
      </c>
      <c r="I474" s="53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-34430380.8311049</v>
      </c>
      <c r="J474" s="53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230016005.839779</v>
      </c>
      <c r="K474" s="53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547606231.377902</v>
      </c>
      <c r="L474" s="53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665457187.800484</v>
      </c>
      <c r="M474" s="53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828819072.561401</v>
      </c>
      <c r="N474" s="53" t="n">
        <f aca="false">IF(COUNT('Business Case'!B11:G11)=0,"",H474+NPV(G474,I474:M474))</f>
        <v>-659848530.044188</v>
      </c>
      <c r="P474" s="54" t="n">
        <f aca="true">RAND()</f>
        <v>0.903775735451259</v>
      </c>
      <c r="Q474" s="54" t="n">
        <f aca="true">RAND()</f>
        <v>0.0274307342832852</v>
      </c>
      <c r="R474" s="54" t="n">
        <f aca="true">RAND()</f>
        <v>0.623488332443048</v>
      </c>
      <c r="S474" s="54" t="n">
        <f aca="true">RAND()</f>
        <v>0.76824570791518</v>
      </c>
      <c r="T474" s="54" t="n">
        <f aca="true">RAND()</f>
        <v>0.623944436172821</v>
      </c>
      <c r="U474" s="54" t="n">
        <f aca="true">RAND()</f>
        <v>0.939348796987914</v>
      </c>
    </row>
    <row r="475" customFormat="false" ht="15" hidden="false" customHeight="false" outlineLevel="0" collapsed="false">
      <c r="A475" s="50" t="n">
        <v>395</v>
      </c>
      <c r="B475" s="51" t="n">
        <f aca="false">1+IF($G$6=$E$6,$F$6,IF(P475&lt;($F$6-$E$6)/($G$6-$E$6),$E$6+SQRT(P475*($G$6-$E$6)*($F$6-$E$6)),$G$6-SQRT((1-P475)*($G$6-$E$6)*($G$6-$F$6))))</f>
        <v>0.999504589629048</v>
      </c>
      <c r="C475" s="51" t="n">
        <f aca="false">1+IF($G$7=$E$7,$F$7,IF(Q475&lt;($F$7-$E$7)/($G$7-$E$7),$E$7+SQRT(Q475*($G$7-$E$7)*($F$7-$E$7)),$G$7-SQRT((1-Q475)*($G$7-$E$7)*($G$7-$F$7))))</f>
        <v>1.01530464098265</v>
      </c>
      <c r="D475" s="51" t="n">
        <f aca="false">1+IF($G$8=$E$8,$F$8,IF(R475&lt;($F$8-$E$8)/($G$8-$E$8),$E$8+SQRT(R475*($G$8-$E$8)*($F$8-$E$8)),$G$8-SQRT((1-R475)*($G$8-$E$8)*($G$8-$F$8))))</f>
        <v>1.0248783135449</v>
      </c>
      <c r="E475" s="51" t="n">
        <f aca="false">1+IF($G$9=$E$9,$F$9,IF(S475&lt;($F$9-$E$9)/($G$9-$E$9),$E$9+SQRT(S475*($G$9-$E$9)*($F$9-$E$9)),$G$9-SQRT((1-S475)*($G$9-$E$9)*($G$9-$F$9))))</f>
        <v>1.01309875221222</v>
      </c>
      <c r="F475" s="51" t="n">
        <f aca="false">1+IF($G$10=$E$10,$F$10,IF(T475&lt;($F$10-$E$10)/($G$10-$E$10),$E$10+SQRT(T475*($G$10-$E$10)*($F$10-$E$10)),$G$10-SQRT((1-T475)*($G$10-$E$10)*($G$10-$F$10))))</f>
        <v>1.12556368005546</v>
      </c>
      <c r="G475" s="52" t="n">
        <f aca="false">IF($G$11=$E$11,$F$11,IF(U475&lt;($F$11-$E$11)/($G$11-$E$11),$E$11+SQRT(U475*($G$11-$E$11)*($F$11-$E$11)),$G$11-SQRT((1-U475)*($G$11-$E$11)*($G$11-$F$11))))</f>
        <v>0.114872688691951</v>
      </c>
      <c r="H475" s="53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-2251127360.11092</v>
      </c>
      <c r="I475" s="53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-10716085.6560763</v>
      </c>
      <c r="J475" s="53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287794156.717965</v>
      </c>
      <c r="K475" s="53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642582583.094779</v>
      </c>
      <c r="L475" s="53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777157542.192788</v>
      </c>
      <c r="M475" s="53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970051039.546099</v>
      </c>
      <c r="N475" s="53" t="n">
        <f aca="false">IF(COUNT('Business Case'!B11:G11)=0,"",H475+NPV(G475,I475:M475))</f>
        <v>-499225806.870845</v>
      </c>
      <c r="P475" s="54" t="n">
        <f aca="true">RAND()</f>
        <v>0.658435392925345</v>
      </c>
      <c r="Q475" s="54" t="n">
        <f aca="true">RAND()</f>
        <v>0.654422100175012</v>
      </c>
      <c r="R475" s="54" t="n">
        <f aca="true">RAND()</f>
        <v>0.707846123302415</v>
      </c>
      <c r="S475" s="54" t="n">
        <f aca="true">RAND()</f>
        <v>0.496544875528411</v>
      </c>
      <c r="T475" s="54" t="n">
        <f aca="true">RAND()</f>
        <v>0.889184685462288</v>
      </c>
      <c r="U475" s="54" t="n">
        <f aca="true">RAND()</f>
        <v>0.956184464583919</v>
      </c>
    </row>
    <row r="476" customFormat="false" ht="15" hidden="false" customHeight="false" outlineLevel="0" collapsed="false">
      <c r="A476" s="50" t="n">
        <v>396</v>
      </c>
      <c r="B476" s="51" t="n">
        <f aca="false">1+IF($G$6=$E$6,$F$6,IF(P476&lt;($F$6-$E$6)/($G$6-$E$6),$E$6+SQRT(P476*($G$6-$E$6)*($F$6-$E$6)),$G$6-SQRT((1-P476)*($G$6-$E$6)*($G$6-$F$6))))</f>
        <v>0.969598804409913</v>
      </c>
      <c r="C476" s="51" t="n">
        <f aca="false">1+IF($G$7=$E$7,$F$7,IF(Q476&lt;($F$7-$E$7)/($G$7-$E$7),$E$7+SQRT(Q476*($G$7-$E$7)*($F$7-$E$7)),$G$7-SQRT((1-Q476)*($G$7-$E$7)*($G$7-$F$7))))</f>
        <v>0.879807163009342</v>
      </c>
      <c r="D476" s="51" t="n">
        <f aca="false">1+IF($G$8=$E$8,$F$8,IF(R476&lt;($F$8-$E$8)/($G$8-$E$8),$E$8+SQRT(R476*($G$8-$E$8)*($F$8-$E$8)),$G$8-SQRT((1-R476)*($G$8-$E$8)*($G$8-$F$8))))</f>
        <v>1.04258249161946</v>
      </c>
      <c r="E476" s="51" t="n">
        <f aca="false">1+IF($G$9=$E$9,$F$9,IF(S476&lt;($F$9-$E$9)/($G$9-$E$9),$E$9+SQRT(S476*($G$9-$E$9)*($F$9-$E$9)),$G$9-SQRT((1-S476)*($G$9-$E$9)*($G$9-$F$9))))</f>
        <v>0.999064560933994</v>
      </c>
      <c r="F476" s="51" t="n">
        <f aca="false">1+IF($G$10=$E$10,$F$10,IF(T476&lt;($F$10-$E$10)/($G$10-$E$10),$E$10+SQRT(T476*($G$10-$E$10)*($F$10-$E$10)),$G$10-SQRT((1-T476)*($G$10-$E$10)*($G$10-$F$10))))</f>
        <v>0.999199283835464</v>
      </c>
      <c r="G476" s="52" t="n">
        <f aca="false">IF($G$11=$E$11,$F$11,IF(U476&lt;($F$11-$E$11)/($G$11-$E$11),$E$11+SQRT(U476*($G$11-$E$11)*($F$11-$E$11)),$G$11-SQRT((1-U476)*($G$11-$E$11)*($G$11-$F$11))))</f>
        <v>0.1022249443994</v>
      </c>
      <c r="H476" s="53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-1998398567.67093</v>
      </c>
      <c r="I476" s="53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-57061648.3472719</v>
      </c>
      <c r="J476" s="53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172086241.273065</v>
      </c>
      <c r="K476" s="53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451194095.085175</v>
      </c>
      <c r="L476" s="53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557058477.63812</v>
      </c>
      <c r="M476" s="53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719208117.375365</v>
      </c>
      <c r="N476" s="53" t="n">
        <f aca="false">IF(COUNT('Business Case'!B11:G11)=0,"",H476+NPV(G476,I476:M476))</f>
        <v>-752083353.583021</v>
      </c>
      <c r="P476" s="54" t="n">
        <f aca="true">RAND()</f>
        <v>0.256254312384664</v>
      </c>
      <c r="Q476" s="54" t="n">
        <f aca="true">RAND()</f>
        <v>0.0909883323942802</v>
      </c>
      <c r="R476" s="54" t="n">
        <f aca="true">RAND()</f>
        <v>0.865377891018483</v>
      </c>
      <c r="S476" s="54" t="n">
        <f aca="true">RAND()</f>
        <v>0.320977485286077</v>
      </c>
      <c r="T476" s="54" t="n">
        <f aca="true">RAND()</f>
        <v>0.193645562393806</v>
      </c>
      <c r="U476" s="54" t="n">
        <f aca="true">RAND()</f>
        <v>0.473412330659306</v>
      </c>
    </row>
    <row r="477" customFormat="false" ht="15" hidden="false" customHeight="false" outlineLevel="0" collapsed="false">
      <c r="A477" s="50" t="n">
        <v>397</v>
      </c>
      <c r="B477" s="51" t="n">
        <f aca="false">1+IF($G$6=$E$6,$F$6,IF(P477&lt;($F$6-$E$6)/($G$6-$E$6),$E$6+SQRT(P477*($G$6-$E$6)*($F$6-$E$6)),$G$6-SQRT((1-P477)*($G$6-$E$6)*($G$6-$F$6))))</f>
        <v>0.982165120560424</v>
      </c>
      <c r="C477" s="51" t="n">
        <f aca="false">1+IF($G$7=$E$7,$F$7,IF(Q477&lt;($F$7-$E$7)/($G$7-$E$7),$E$7+SQRT(Q477*($G$7-$E$7)*($F$7-$E$7)),$G$7-SQRT((1-Q477)*($G$7-$E$7)*($G$7-$F$7))))</f>
        <v>1.06322167737104</v>
      </c>
      <c r="D477" s="51" t="n">
        <f aca="false">1+IF($G$8=$E$8,$F$8,IF(R477&lt;($F$8-$E$8)/($G$8-$E$8),$E$8+SQRT(R477*($G$8-$E$8)*($F$8-$E$8)),$G$8-SQRT((1-R477)*($G$8-$E$8)*($G$8-$F$8))))</f>
        <v>0.995028817750624</v>
      </c>
      <c r="E477" s="51" t="n">
        <f aca="false">1+IF($G$9=$E$9,$F$9,IF(S477&lt;($F$9-$E$9)/($G$9-$E$9),$E$9+SQRT(S477*($G$9-$E$9)*($F$9-$E$9)),$G$9-SQRT((1-S477)*($G$9-$E$9)*($G$9-$F$9))))</f>
        <v>0.997831964234267</v>
      </c>
      <c r="F477" s="51" t="n">
        <f aca="false">1+IF($G$10=$E$10,$F$10,IF(T477&lt;($F$10-$E$10)/($G$10-$E$10),$E$10+SQRT(T477*($G$10-$E$10)*($F$10-$E$10)),$G$10-SQRT((1-T477)*($G$10-$E$10)*($G$10-$F$10))))</f>
        <v>1.13679223022656</v>
      </c>
      <c r="G477" s="52" t="n">
        <f aca="false">IF($G$11=$E$11,$F$11,IF(U477&lt;($F$11-$E$11)/($G$11-$E$11),$E$11+SQRT(U477*($G$11-$E$11)*($F$11-$E$11)),$G$11-SQRT((1-U477)*($G$11-$E$11)*($G$11-$F$11))))</f>
        <v>0.102341434924488</v>
      </c>
      <c r="H477" s="53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-2273584460.45311</v>
      </c>
      <c r="I477" s="53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4039478.28197214</v>
      </c>
      <c r="J477" s="53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317784284.261957</v>
      </c>
      <c r="K477" s="53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688368701.75327</v>
      </c>
      <c r="L477" s="53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829039903.320761</v>
      </c>
      <c r="M477" s="53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1027532700.97866</v>
      </c>
      <c r="N477" s="53" t="n">
        <f aca="false">IF(COUNT('Business Case'!B11:G11)=0,"",H477+NPV(G477,I477:M477))</f>
        <v>-301790313.450534</v>
      </c>
      <c r="P477" s="54" t="n">
        <f aca="true">RAND()</f>
        <v>0.40255231398876</v>
      </c>
      <c r="Q477" s="54" t="n">
        <f aca="true">RAND()</f>
        <v>0.856562337556264</v>
      </c>
      <c r="R477" s="54" t="n">
        <f aca="true">RAND()</f>
        <v>0.311937604310605</v>
      </c>
      <c r="S477" s="54" t="n">
        <f aca="true">RAND()</f>
        <v>0.30505290700109</v>
      </c>
      <c r="T477" s="54" t="n">
        <f aca="true">RAND()</f>
        <v>0.920095556805348</v>
      </c>
      <c r="U477" s="54" t="n">
        <f aca="true">RAND()</f>
        <v>0.480291799123166</v>
      </c>
    </row>
    <row r="478" customFormat="false" ht="15" hidden="false" customHeight="false" outlineLevel="0" collapsed="false">
      <c r="A478" s="50" t="n">
        <v>398</v>
      </c>
      <c r="B478" s="51" t="n">
        <f aca="false">1+IF($G$6=$E$6,$F$6,IF(P478&lt;($F$6-$E$6)/($G$6-$E$6),$E$6+SQRT(P478*($G$6-$E$6)*($F$6-$E$6)),$G$6-SQRT((1-P478)*($G$6-$E$6)*($G$6-$F$6))))</f>
        <v>0.966474493776314</v>
      </c>
      <c r="C478" s="51" t="n">
        <f aca="false">1+IF($G$7=$E$7,$F$7,IF(Q478&lt;($F$7-$E$7)/($G$7-$E$7),$E$7+SQRT(Q478*($G$7-$E$7)*($F$7-$E$7)),$G$7-SQRT((1-Q478)*($G$7-$E$7)*($G$7-$F$7))))</f>
        <v>0.827595865354942</v>
      </c>
      <c r="D478" s="51" t="n">
        <f aca="false">1+IF($G$8=$E$8,$F$8,IF(R478&lt;($F$8-$E$8)/($G$8-$E$8),$E$8+SQRT(R478*($G$8-$E$8)*($F$8-$E$8)),$G$8-SQRT((1-R478)*($G$8-$E$8)*($G$8-$F$8))))</f>
        <v>1.01279383766714</v>
      </c>
      <c r="E478" s="51" t="n">
        <f aca="false">1+IF($G$9=$E$9,$F$9,IF(S478&lt;($F$9-$E$9)/($G$9-$E$9),$E$9+SQRT(S478*($G$9-$E$9)*($F$9-$E$9)),$G$9-SQRT((1-S478)*($G$9-$E$9)*($G$9-$F$9))))</f>
        <v>1.00441277316218</v>
      </c>
      <c r="F478" s="51" t="n">
        <f aca="false">1+IF($G$10=$E$10,$F$10,IF(T478&lt;($F$10-$E$10)/($G$10-$E$10),$E$10+SQRT(T478*($G$10-$E$10)*($F$10-$E$10)),$G$10-SQRT((1-T478)*($G$10-$E$10)*($G$10-$F$10))))</f>
        <v>1.00869871757359</v>
      </c>
      <c r="G478" s="52" t="n">
        <f aca="false">IF($G$11=$E$11,$F$11,IF(U478&lt;($F$11-$E$11)/($G$11-$E$11),$E$11+SQRT(U478*($G$11-$E$11)*($F$11-$E$11)),$G$11-SQRT((1-U478)*($G$11-$E$11)*($G$11-$F$11))))</f>
        <v>0.1009602125197</v>
      </c>
      <c r="H478" s="53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-2017397435.14717</v>
      </c>
      <c r="I478" s="53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-59109775.9978822</v>
      </c>
      <c r="J478" s="53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166942055.399108</v>
      </c>
      <c r="K478" s="53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443428822.674778</v>
      </c>
      <c r="L478" s="53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546422259.336342</v>
      </c>
      <c r="M478" s="53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698457803.413799</v>
      </c>
      <c r="N478" s="53" t="n">
        <f aca="false">IF(COUNT('Business Case'!B11:G11)=0,"",H478+NPV(G478,I478:M478))</f>
        <v>-797362069.933521</v>
      </c>
      <c r="P478" s="54" t="n">
        <f aca="true">RAND()</f>
        <v>0.224987351225487</v>
      </c>
      <c r="Q478" s="54" t="n">
        <f aca="true">RAND()</f>
        <v>0.0108790254955441</v>
      </c>
      <c r="R478" s="54" t="n">
        <f aca="true">RAND()</f>
        <v>0.565704975431662</v>
      </c>
      <c r="S478" s="54" t="n">
        <f aca="true">RAND()</f>
        <v>0.390872137697018</v>
      </c>
      <c r="T478" s="54" t="n">
        <f aca="true">RAND()</f>
        <v>0.26807638684018</v>
      </c>
      <c r="U478" s="54" t="n">
        <f aca="true">RAND()</f>
        <v>0.395810821175021</v>
      </c>
    </row>
    <row r="479" customFormat="false" ht="15" hidden="false" customHeight="false" outlineLevel="0" collapsed="false">
      <c r="A479" s="50" t="n">
        <v>399</v>
      </c>
      <c r="B479" s="51" t="n">
        <f aca="false">1+IF($G$6=$E$6,$F$6,IF(P479&lt;($F$6-$E$6)/($G$6-$E$6),$E$6+SQRT(P479*($G$6-$E$6)*($F$6-$E$6)),$G$6-SQRT((1-P479)*($G$6-$E$6)*($G$6-$F$6))))</f>
        <v>0.959478912033859</v>
      </c>
      <c r="C479" s="51" t="n">
        <f aca="false">1+IF($G$7=$E$7,$F$7,IF(Q479&lt;($F$7-$E$7)/($G$7-$E$7),$E$7+SQRT(Q479*($G$7-$E$7)*($F$7-$E$7)),$G$7-SQRT((1-Q479)*($G$7-$E$7)*($G$7-$F$7))))</f>
        <v>0.992236193288581</v>
      </c>
      <c r="D479" s="51" t="n">
        <f aca="false">1+IF($G$8=$E$8,$F$8,IF(R479&lt;($F$8-$E$8)/($G$8-$E$8),$E$8+SQRT(R479*($G$8-$E$8)*($F$8-$E$8)),$G$8-SQRT((1-R479)*($G$8-$E$8)*($G$8-$F$8))))</f>
        <v>1.04865260411501</v>
      </c>
      <c r="E479" s="51" t="n">
        <f aca="false">1+IF($G$9=$E$9,$F$9,IF(S479&lt;($F$9-$E$9)/($G$9-$E$9),$E$9+SQRT(S479*($G$9-$E$9)*($F$9-$E$9)),$G$9-SQRT((1-S479)*($G$9-$E$9)*($G$9-$F$9))))</f>
        <v>0.961499846219569</v>
      </c>
      <c r="F479" s="51" t="n">
        <f aca="false">1+IF($G$10=$E$10,$F$10,IF(T479&lt;($F$10-$E$10)/($G$10-$E$10),$E$10+SQRT(T479*($G$10-$E$10)*($F$10-$E$10)),$G$10-SQRT((1-T479)*($G$10-$E$10)*($G$10-$F$10))))</f>
        <v>0.986827951581544</v>
      </c>
      <c r="G479" s="52" t="n">
        <f aca="false">IF($G$11=$E$11,$F$11,IF(U479&lt;($F$11-$E$11)/($G$11-$E$11),$E$11+SQRT(U479*($G$11-$E$11)*($F$11-$E$11)),$G$11-SQRT((1-U479)*($G$11-$E$11)*($G$11-$F$11))))</f>
        <v>0.0919470896826387</v>
      </c>
      <c r="H479" s="53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-1973655903.16309</v>
      </c>
      <c r="I479" s="53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-37638845.9569315</v>
      </c>
      <c r="J479" s="53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209483601.191491</v>
      </c>
      <c r="K479" s="53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505947445.918991</v>
      </c>
      <c r="L479" s="53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621223741.511649</v>
      </c>
      <c r="M479" s="53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802185547.499164</v>
      </c>
      <c r="N479" s="53" t="n">
        <f aca="false">IF(COUNT('Business Case'!B11:G11)=0,"",H479+NPV(G479,I479:M479))</f>
        <v>-490143640.953644</v>
      </c>
      <c r="P479" s="54" t="n">
        <f aca="true">RAND()</f>
        <v>0.162352551601791</v>
      </c>
      <c r="Q479" s="54" t="n">
        <f aca="true">RAND()</f>
        <v>0.527925057286922</v>
      </c>
      <c r="R479" s="54" t="n">
        <f aca="true">RAND()</f>
        <v>0.905513535695192</v>
      </c>
      <c r="S479" s="54" t="n">
        <f aca="true">RAND()</f>
        <v>0.0176328617431633</v>
      </c>
      <c r="T479" s="54" t="n">
        <f aca="true">RAND()</f>
        <v>0.108503841415403</v>
      </c>
      <c r="U479" s="54" t="n">
        <f aca="true">RAND()</f>
        <v>0.0126371941074605</v>
      </c>
    </row>
    <row r="480" customFormat="false" ht="15" hidden="false" customHeight="false" outlineLevel="0" collapsed="false">
      <c r="A480" s="50" t="n">
        <v>400</v>
      </c>
      <c r="B480" s="51" t="n">
        <f aca="false">1+IF($G$6=$E$6,$F$6,IF(P480&lt;($F$6-$E$6)/($G$6-$E$6),$E$6+SQRT(P480*($G$6-$E$6)*($F$6-$E$6)),$G$6-SQRT((1-P480)*($G$6-$E$6)*($G$6-$F$6))))</f>
        <v>0.991227089005593</v>
      </c>
      <c r="C480" s="51" t="n">
        <f aca="false">1+IF($G$7=$E$7,$F$7,IF(Q480&lt;($F$7-$E$7)/($G$7-$E$7),$E$7+SQRT(Q480*($G$7-$E$7)*($F$7-$E$7)),$G$7-SQRT((1-Q480)*($G$7-$E$7)*($G$7-$F$7))))</f>
        <v>0.982265942422041</v>
      </c>
      <c r="D480" s="51" t="n">
        <f aca="false">1+IF($G$8=$E$8,$F$8,IF(R480&lt;($F$8-$E$8)/($G$8-$E$8),$E$8+SQRT(R480*($G$8-$E$8)*($F$8-$E$8)),$G$8-SQRT((1-R480)*($G$8-$E$8)*($G$8-$F$8))))</f>
        <v>1.0386987851273</v>
      </c>
      <c r="E480" s="51" t="n">
        <f aca="false">1+IF($G$9=$E$9,$F$9,IF(S480&lt;($F$9-$E$9)/($G$9-$E$9),$E$9+SQRT(S480*($G$9-$E$9)*($F$9-$E$9)),$G$9-SQRT((1-S480)*($G$9-$E$9)*($G$9-$F$9))))</f>
        <v>0.98502370767677</v>
      </c>
      <c r="F480" s="51" t="n">
        <f aca="false">1+IF($G$10=$E$10,$F$10,IF(T480&lt;($F$10-$E$10)/($G$10-$E$10),$E$10+SQRT(T480*($G$10-$E$10)*($F$10-$E$10)),$G$10-SQRT((1-T480)*($G$10-$E$10)*($G$10-$F$10))))</f>
        <v>1.10883845012879</v>
      </c>
      <c r="G480" s="52" t="n">
        <f aca="false">IF($G$11=$E$11,$F$11,IF(U480&lt;($F$11-$E$11)/($G$11-$E$11),$E$11+SQRT(U480*($G$11-$E$11)*($F$11-$E$11)),$G$11-SQRT((1-U480)*($G$11-$E$11)*($G$11-$F$11))))</f>
        <v>0.0981985388974677</v>
      </c>
      <c r="H480" s="53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-2217676900.25757</v>
      </c>
      <c r="I480" s="53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-26240784.8824081</v>
      </c>
      <c r="J480" s="53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248946590.460271</v>
      </c>
      <c r="K480" s="53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579575888.309388</v>
      </c>
      <c r="L480" s="53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704954309.410663</v>
      </c>
      <c r="M480" s="53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890025437.339425</v>
      </c>
      <c r="N480" s="53" t="n">
        <f aca="false">IF(COUNT('Business Case'!B11:G11)=0,"",H480+NPV(G480,I480:M480))</f>
        <v>-555720717.268493</v>
      </c>
      <c r="P480" s="54" t="n">
        <f aca="true">RAND()</f>
        <v>0.528468563355282</v>
      </c>
      <c r="Q480" s="54" t="n">
        <f aca="true">RAND()</f>
        <v>0.474583910957069</v>
      </c>
      <c r="R480" s="54" t="n">
        <f aca="true">RAND()</f>
        <v>0.835981697119166</v>
      </c>
      <c r="S480" s="54" t="n">
        <f aca="true">RAND()</f>
        <v>0.163554679923713</v>
      </c>
      <c r="T480" s="54" t="n">
        <f aca="true">RAND()</f>
        <v>0.833791436501563</v>
      </c>
      <c r="U480" s="54" t="n">
        <f aca="true">RAND()</f>
        <v>0.224053466844301</v>
      </c>
    </row>
    <row r="481" customFormat="false" ht="15" hidden="false" customHeight="false" outlineLevel="0" collapsed="false">
      <c r="A481" s="50" t="n">
        <v>401</v>
      </c>
      <c r="B481" s="51" t="n">
        <f aca="false">1+IF($G$6=$E$6,$F$6,IF(P481&lt;($F$6-$E$6)/($G$6-$E$6),$E$6+SQRT(P481*($G$6-$E$6)*($F$6-$E$6)),$G$6-SQRT((1-P481)*($G$6-$E$6)*($G$6-$F$6))))</f>
        <v>1.00518118053081</v>
      </c>
      <c r="C481" s="51" t="n">
        <f aca="false">1+IF($G$7=$E$7,$F$7,IF(Q481&lt;($F$7-$E$7)/($G$7-$E$7),$E$7+SQRT(Q481*($G$7-$E$7)*($F$7-$E$7)),$G$7-SQRT((1-Q481)*($G$7-$E$7)*($G$7-$F$7))))</f>
        <v>1.03358685858946</v>
      </c>
      <c r="D481" s="51" t="n">
        <f aca="false">1+IF($G$8=$E$8,$F$8,IF(R481&lt;($F$8-$E$8)/($G$8-$E$8),$E$8+SQRT(R481*($G$8-$E$8)*($F$8-$E$8)),$G$8-SQRT((1-R481)*($G$8-$E$8)*($G$8-$F$8))))</f>
        <v>0.976981999260597</v>
      </c>
      <c r="E481" s="51" t="n">
        <f aca="false">1+IF($G$9=$E$9,$F$9,IF(S481&lt;($F$9-$E$9)/($G$9-$E$9),$E$9+SQRT(S481*($G$9-$E$9)*($F$9-$E$9)),$G$9-SQRT((1-S481)*($G$9-$E$9)*($G$9-$F$9))))</f>
        <v>1.03423630990504</v>
      </c>
      <c r="F481" s="51" t="n">
        <f aca="false">1+IF($G$10=$E$10,$F$10,IF(T481&lt;($F$10-$E$10)/($G$10-$E$10),$E$10+SQRT(T481*($G$10-$E$10)*($F$10-$E$10)),$G$10-SQRT((1-T481)*($G$10-$E$10)*($G$10-$F$10))))</f>
        <v>1.14052754472315</v>
      </c>
      <c r="G481" s="52" t="n">
        <f aca="false">IF($G$11=$E$11,$F$11,IF(U481&lt;($F$11-$E$11)/($G$11-$E$11),$E$11+SQRT(U481*($G$11-$E$11)*($F$11-$E$11)),$G$11-SQRT((1-U481)*($G$11-$E$11)*($G$11-$F$11))))</f>
        <v>0.0990008243815588</v>
      </c>
      <c r="H481" s="53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-2281055089.44631</v>
      </c>
      <c r="I481" s="53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19053792.6754037</v>
      </c>
      <c r="J481" s="53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353087499.414528</v>
      </c>
      <c r="K481" s="53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744147583.389809</v>
      </c>
      <c r="L481" s="53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891397989.851457</v>
      </c>
      <c r="M481" s="53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1088880096.36879</v>
      </c>
      <c r="N481" s="53" t="n">
        <f aca="false">IF(COUNT('Business Case'!B11:G11)=0,"",H481+NPV(G481,I481:M481))</f>
        <v>-120521693.518038</v>
      </c>
      <c r="P481" s="54" t="n">
        <f aca="true">RAND()</f>
        <v>0.747427043910854</v>
      </c>
      <c r="Q481" s="54" t="n">
        <f aca="true">RAND()</f>
        <v>0.741866295370079</v>
      </c>
      <c r="R481" s="54" t="n">
        <f aca="true">RAND()</f>
        <v>0.112004351399825</v>
      </c>
      <c r="S481" s="54" t="n">
        <f aca="true">RAND()</f>
        <v>0.711675804339561</v>
      </c>
      <c r="T481" s="54" t="n">
        <f aca="true">RAND()</f>
        <v>0.929260541266872</v>
      </c>
      <c r="U481" s="54" t="n">
        <f aca="true">RAND()</f>
        <v>0.270049465158879</v>
      </c>
    </row>
    <row r="482" customFormat="false" ht="15" hidden="false" customHeight="false" outlineLevel="0" collapsed="false">
      <c r="A482" s="50" t="n">
        <v>402</v>
      </c>
      <c r="B482" s="51" t="n">
        <f aca="false">1+IF($G$6=$E$6,$F$6,IF(P482&lt;($F$6-$E$6)/($G$6-$E$6),$E$6+SQRT(P482*($G$6-$E$6)*($F$6-$E$6)),$G$6-SQRT((1-P482)*($G$6-$E$6)*($G$6-$F$6))))</f>
        <v>1.03423507642037</v>
      </c>
      <c r="C482" s="51" t="n">
        <f aca="false">1+IF($G$7=$E$7,$F$7,IF(Q482&lt;($F$7-$E$7)/($G$7-$E$7),$E$7+SQRT(Q482*($G$7-$E$7)*($F$7-$E$7)),$G$7-SQRT((1-Q482)*($G$7-$E$7)*($G$7-$F$7))))</f>
        <v>1.07237239825092</v>
      </c>
      <c r="D482" s="51" t="n">
        <f aca="false">1+IF($G$8=$E$8,$F$8,IF(R482&lt;($F$8-$E$8)/($G$8-$E$8),$E$8+SQRT(R482*($G$8-$E$8)*($F$8-$E$8)),$G$8-SQRT((1-R482)*($G$8-$E$8)*($G$8-$F$8))))</f>
        <v>0.980751956731114</v>
      </c>
      <c r="E482" s="51" t="n">
        <f aca="false">1+IF($G$9=$E$9,$F$9,IF(S482&lt;($F$9-$E$9)/($G$9-$E$9),$E$9+SQRT(S482*($G$9-$E$9)*($F$9-$E$9)),$G$9-SQRT((1-S482)*($G$9-$E$9)*($G$9-$F$9))))</f>
        <v>0.965732848732936</v>
      </c>
      <c r="F482" s="51" t="n">
        <f aca="false">1+IF($G$10=$E$10,$F$10,IF(T482&lt;($F$10-$E$10)/($G$10-$E$10),$E$10+SQRT(T482*($G$10-$E$10)*($F$10-$E$10)),$G$10-SQRT((1-T482)*($G$10-$E$10)*($G$10-$F$10))))</f>
        <v>1.08435916303502</v>
      </c>
      <c r="G482" s="52" t="n">
        <f aca="false">IF($G$11=$E$11,$F$11,IF(U482&lt;($F$11-$E$11)/($G$11-$E$11),$E$11+SQRT(U482*($G$11-$E$11)*($F$11-$E$11)),$G$11-SQRT((1-U482)*($G$11-$E$11)*($G$11-$F$11))))</f>
        <v>0.112045563835923</v>
      </c>
      <c r="H482" s="53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-2168718326.07005</v>
      </c>
      <c r="I482" s="53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66760188.4473334</v>
      </c>
      <c r="J482" s="53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436778478.425431</v>
      </c>
      <c r="K482" s="53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861014726.55528</v>
      </c>
      <c r="L482" s="53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1022684139.30627</v>
      </c>
      <c r="M482" s="53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1233499044.47688</v>
      </c>
      <c r="N482" s="53" t="n">
        <f aca="false">IF(COUNT('Business Case'!B11:G11)=0,"",H482+NPV(G482,I482:M482))</f>
        <v>264654676.438641</v>
      </c>
      <c r="P482" s="54" t="n">
        <f aca="true">RAND()</f>
        <v>0.993076178358553</v>
      </c>
      <c r="Q482" s="54" t="n">
        <f aca="true">RAND()</f>
        <v>0.88521819898451</v>
      </c>
      <c r="R482" s="54" t="n">
        <f aca="true">RAND()</f>
        <v>0.145489668121889</v>
      </c>
      <c r="S482" s="54" t="n">
        <f aca="true">RAND()</f>
        <v>0.0330030039004585</v>
      </c>
      <c r="T482" s="54" t="n">
        <f aca="true">RAND()</f>
        <v>0.732543936520799</v>
      </c>
      <c r="U482" s="54" t="n">
        <f aca="true">RAND()</f>
        <v>0.894544908852705</v>
      </c>
    </row>
    <row r="483" customFormat="false" ht="15" hidden="false" customHeight="false" outlineLevel="0" collapsed="false">
      <c r="A483" s="50" t="n">
        <v>403</v>
      </c>
      <c r="B483" s="51" t="n">
        <f aca="false">1+IF($G$6=$E$6,$F$6,IF(P483&lt;($F$6-$E$6)/($G$6-$E$6),$E$6+SQRT(P483*($G$6-$E$6)*($F$6-$E$6)),$G$6-SQRT((1-P483)*($G$6-$E$6)*($G$6-$F$6))))</f>
        <v>0.975386830717892</v>
      </c>
      <c r="C483" s="51" t="n">
        <f aca="false">1+IF($G$7=$E$7,$F$7,IF(Q483&lt;($F$7-$E$7)/($G$7-$E$7),$E$7+SQRT(Q483*($G$7-$E$7)*($F$7-$E$7)),$G$7-SQRT((1-Q483)*($G$7-$E$7)*($G$7-$F$7))))</f>
        <v>1.12045184604885</v>
      </c>
      <c r="D483" s="51" t="n">
        <f aca="false">1+IF($G$8=$E$8,$F$8,IF(R483&lt;($F$8-$E$8)/($G$8-$E$8),$E$8+SQRT(R483*($G$8-$E$8)*($F$8-$E$8)),$G$8-SQRT((1-R483)*($G$8-$E$8)*($G$8-$F$8))))</f>
        <v>1.02341393720289</v>
      </c>
      <c r="E483" s="51" t="n">
        <f aca="false">1+IF($G$9=$E$9,$F$9,IF(S483&lt;($F$9-$E$9)/($G$9-$E$9),$E$9+SQRT(S483*($G$9-$E$9)*($F$9-$E$9)),$G$9-SQRT((1-S483)*($G$9-$E$9)*($G$9-$F$9))))</f>
        <v>1.04647666121658</v>
      </c>
      <c r="F483" s="51" t="n">
        <f aca="false">1+IF($G$10=$E$10,$F$10,IF(T483&lt;($F$10-$E$10)/($G$10-$E$10),$E$10+SQRT(T483*($G$10-$E$10)*($F$10-$E$10)),$G$10-SQRT((1-T483)*($G$10-$E$10)*($G$10-$F$10))))</f>
        <v>0.98125220822</v>
      </c>
      <c r="G483" s="52" t="n">
        <f aca="false">IF($G$11=$E$11,$F$11,IF(U483&lt;($F$11-$E$11)/($G$11-$E$11),$E$11+SQRT(U483*($G$11-$E$11)*($F$11-$E$11)),$G$11-SQRT((1-U483)*($G$11-$E$11)*($G$11-$F$11))))</f>
        <v>0.0995868432329387</v>
      </c>
      <c r="H483" s="53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-1962504416.44</v>
      </c>
      <c r="I483" s="53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4542168.46367699</v>
      </c>
      <c r="J483" s="53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312673125.842996</v>
      </c>
      <c r="K483" s="53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669866693.633315</v>
      </c>
      <c r="L483" s="53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810346737.338851</v>
      </c>
      <c r="M483" s="53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1018080222.52388</v>
      </c>
      <c r="N483" s="53" t="n">
        <f aca="false">IF(COUNT('Business Case'!B11:G11)=0,"",H483+NPV(G483,I483:M483))</f>
        <v>-8277308.38637495</v>
      </c>
      <c r="P483" s="54" t="n">
        <f aca="true">RAND()</f>
        <v>0.319552189267965</v>
      </c>
      <c r="Q483" s="54" t="n">
        <f aca="true">RAND()</f>
        <v>0.983369649487218</v>
      </c>
      <c r="R483" s="54" t="n">
        <f aca="true">RAND()</f>
        <v>0.692117067030964</v>
      </c>
      <c r="S483" s="54" t="n">
        <f aca="true">RAND()</f>
        <v>0.809016813698332</v>
      </c>
      <c r="T483" s="54" t="n">
        <f aca="true">RAND()</f>
        <v>0.0781360414900985</v>
      </c>
      <c r="U483" s="54" t="n">
        <f aca="true">RAND()</f>
        <v>0.306358543909805</v>
      </c>
    </row>
    <row r="484" customFormat="false" ht="15" hidden="false" customHeight="false" outlineLevel="0" collapsed="false">
      <c r="A484" s="50" t="n">
        <v>404</v>
      </c>
      <c r="B484" s="51" t="n">
        <f aca="false">1+IF($G$6=$E$6,$F$6,IF(P484&lt;($F$6-$E$6)/($G$6-$E$6),$E$6+SQRT(P484*($G$6-$E$6)*($F$6-$E$6)),$G$6-SQRT((1-P484)*($G$6-$E$6)*($G$6-$F$6))))</f>
        <v>0.989649653136255</v>
      </c>
      <c r="C484" s="51" t="n">
        <f aca="false">1+IF($G$7=$E$7,$F$7,IF(Q484&lt;($F$7-$E$7)/($G$7-$E$7),$E$7+SQRT(Q484*($G$7-$E$7)*($F$7-$E$7)),$G$7-SQRT((1-Q484)*($G$7-$E$7)*($G$7-$F$7))))</f>
        <v>1.04810701766503</v>
      </c>
      <c r="D484" s="51" t="n">
        <f aca="false">1+IF($G$8=$E$8,$F$8,IF(R484&lt;($F$8-$E$8)/($G$8-$E$8),$E$8+SQRT(R484*($G$8-$E$8)*($F$8-$E$8)),$G$8-SQRT((1-R484)*($G$8-$E$8)*($G$8-$F$8))))</f>
        <v>0.996071995864231</v>
      </c>
      <c r="E484" s="51" t="n">
        <f aca="false">1+IF($G$9=$E$9,$F$9,IF(S484&lt;($F$9-$E$9)/($G$9-$E$9),$E$9+SQRT(S484*($G$9-$E$9)*($F$9-$E$9)),$G$9-SQRT((1-S484)*($G$9-$E$9)*($G$9-$F$9))))</f>
        <v>1.05909153904563</v>
      </c>
      <c r="F484" s="51" t="n">
        <f aca="false">1+IF($G$10=$E$10,$F$10,IF(T484&lt;($F$10-$E$10)/($G$10-$E$10),$E$10+SQRT(T484*($G$10-$E$10)*($F$10-$E$10)),$G$10-SQRT((1-T484)*($G$10-$E$10)*($G$10-$F$10))))</f>
        <v>1.07183856094824</v>
      </c>
      <c r="G484" s="52" t="n">
        <f aca="false">IF($G$11=$E$11,$F$11,IF(U484&lt;($F$11-$E$11)/($G$11-$E$11),$E$11+SQRT(U484*($G$11-$E$11)*($F$11-$E$11)),$G$11-SQRT((1-U484)*($G$11-$E$11)*($G$11-$F$11))))</f>
        <v>0.09486080935811</v>
      </c>
      <c r="H484" s="53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-2143677121.89647</v>
      </c>
      <c r="I484" s="53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3592043.76754929</v>
      </c>
      <c r="J484" s="53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318742253.899831</v>
      </c>
      <c r="K484" s="53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687484392.079524</v>
      </c>
      <c r="L484" s="53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828382124.402031</v>
      </c>
      <c r="M484" s="53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1025544266.93331</v>
      </c>
      <c r="N484" s="53" t="n">
        <f aca="false">IF(COUNT('Business Case'!B11:G11)=0,"",H484+NPV(G484,I484:M484))</f>
        <v>-122306626.944834</v>
      </c>
      <c r="P484" s="54" t="n">
        <f aca="true">RAND()</f>
        <v>0.505320227291737</v>
      </c>
      <c r="Q484" s="54" t="n">
        <f aca="true">RAND()</f>
        <v>0.8022441933502</v>
      </c>
      <c r="R484" s="54" t="n">
        <f aca="true">RAND()</f>
        <v>0.326558277371344</v>
      </c>
      <c r="S484" s="54" t="n">
        <f aca="true">RAND()</f>
        <v>0.888433188156295</v>
      </c>
      <c r="T484" s="54" t="n">
        <f aca="true">RAND()</f>
        <v>0.671492910803626</v>
      </c>
      <c r="U484" s="54" t="n">
        <f aca="true">RAND()</f>
        <v>0.0787582253862978</v>
      </c>
    </row>
    <row r="485" customFormat="false" ht="15" hidden="false" customHeight="false" outlineLevel="0" collapsed="false">
      <c r="A485" s="50" t="n">
        <v>405</v>
      </c>
      <c r="B485" s="51" t="n">
        <f aca="false">1+IF($G$6=$E$6,$F$6,IF(P485&lt;($F$6-$E$6)/($G$6-$E$6),$E$6+SQRT(P485*($G$6-$E$6)*($F$6-$E$6)),$G$6-SQRT((1-P485)*($G$6-$E$6)*($G$6-$F$6))))</f>
        <v>1.01229824796681</v>
      </c>
      <c r="C485" s="51" t="n">
        <f aca="false">1+IF($G$7=$E$7,$F$7,IF(Q485&lt;($F$7-$E$7)/($G$7-$E$7),$E$7+SQRT(Q485*($G$7-$E$7)*($F$7-$E$7)),$G$7-SQRT((1-Q485)*($G$7-$E$7)*($G$7-$F$7))))</f>
        <v>0.97339485774732</v>
      </c>
      <c r="D485" s="51" t="n">
        <f aca="false">1+IF($G$8=$E$8,$F$8,IF(R485&lt;($F$8-$E$8)/($G$8-$E$8),$E$8+SQRT(R485*($G$8-$E$8)*($F$8-$E$8)),$G$8-SQRT((1-R485)*($G$8-$E$8)*($G$8-$F$8))))</f>
        <v>0.974461510207219</v>
      </c>
      <c r="E485" s="51" t="n">
        <f aca="false">1+IF($G$9=$E$9,$F$9,IF(S485&lt;($F$9-$E$9)/($G$9-$E$9),$E$9+SQRT(S485*($G$9-$E$9)*($F$9-$E$9)),$G$9-SQRT((1-S485)*($G$9-$E$9)*($G$9-$F$9))))</f>
        <v>0.973461705364725</v>
      </c>
      <c r="F485" s="51" t="n">
        <f aca="false">1+IF($G$10=$E$10,$F$10,IF(T485&lt;($F$10-$E$10)/($G$10-$E$10),$E$10+SQRT(T485*($G$10-$E$10)*($F$10-$E$10)),$G$10-SQRT((1-T485)*($G$10-$E$10)*($G$10-$F$10))))</f>
        <v>1.02968361516442</v>
      </c>
      <c r="G485" s="52" t="n">
        <f aca="false">IF($G$11=$E$11,$F$11,IF(U485&lt;($F$11-$E$11)/($G$11-$E$11),$E$11+SQRT(U485*($G$11-$E$11)*($F$11-$E$11)),$G$11-SQRT((1-U485)*($G$11-$E$11)*($G$11-$F$11))))</f>
        <v>0.114756763025811</v>
      </c>
      <c r="H485" s="53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-2059367230.32883</v>
      </c>
      <c r="I485" s="53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29035182.5684014</v>
      </c>
      <c r="J485" s="53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350546349.882687</v>
      </c>
      <c r="K485" s="53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723541697.955193</v>
      </c>
      <c r="L485" s="53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864766332.877673</v>
      </c>
      <c r="M485" s="53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1052064684.87513</v>
      </c>
      <c r="N485" s="53" t="n">
        <f aca="false">IF(COUNT('Business Case'!B11:G11)=0,"",H485+NPV(G485,I485:M485))</f>
        <v>-57799699.9061174</v>
      </c>
      <c r="P485" s="54" t="n">
        <f aca="true">RAND()</f>
        <v>0.840127694644045</v>
      </c>
      <c r="Q485" s="54" t="n">
        <f aca="true">RAND()</f>
        <v>0.429511095617335</v>
      </c>
      <c r="R485" s="54" t="n">
        <f aca="true">RAND()</f>
        <v>0.092056227941211</v>
      </c>
      <c r="S485" s="54" t="n">
        <f aca="true">RAND()</f>
        <v>0.07339354914949</v>
      </c>
      <c r="T485" s="54" t="n">
        <f aca="true">RAND()</f>
        <v>0.419846581130749</v>
      </c>
      <c r="U485" s="54" t="n">
        <f aca="true">RAND()</f>
        <v>0.954180776720834</v>
      </c>
    </row>
    <row r="486" customFormat="false" ht="15" hidden="false" customHeight="false" outlineLevel="0" collapsed="false">
      <c r="A486" s="50" t="n">
        <v>406</v>
      </c>
      <c r="B486" s="51" t="n">
        <f aca="false">1+IF($G$6=$E$6,$F$6,IF(P486&lt;($F$6-$E$6)/($G$6-$E$6),$E$6+SQRT(P486*($G$6-$E$6)*($F$6-$E$6)),$G$6-SQRT((1-P486)*($G$6-$E$6)*($G$6-$F$6))))</f>
        <v>0.968256983196933</v>
      </c>
      <c r="C486" s="51" t="n">
        <f aca="false">1+IF($G$7=$E$7,$F$7,IF(Q486&lt;($F$7-$E$7)/($G$7-$E$7),$E$7+SQRT(Q486*($G$7-$E$7)*($F$7-$E$7)),$G$7-SQRT((1-Q486)*($G$7-$E$7)*($G$7-$F$7))))</f>
        <v>1.0814190428868</v>
      </c>
      <c r="D486" s="51" t="n">
        <f aca="false">1+IF($G$8=$E$8,$F$8,IF(R486&lt;($F$8-$E$8)/($G$8-$E$8),$E$8+SQRT(R486*($G$8-$E$8)*($F$8-$E$8)),$G$8-SQRT((1-R486)*($G$8-$E$8)*($G$8-$F$8))))</f>
        <v>1.01466145799369</v>
      </c>
      <c r="E486" s="51" t="n">
        <f aca="false">1+IF($G$9=$E$9,$F$9,IF(S486&lt;($F$9-$E$9)/($G$9-$E$9),$E$9+SQRT(S486*($G$9-$E$9)*($F$9-$E$9)),$G$9-SQRT((1-S486)*($G$9-$E$9)*($G$9-$F$9))))</f>
        <v>1.04045205291373</v>
      </c>
      <c r="F486" s="51" t="n">
        <f aca="false">1+IF($G$10=$E$10,$F$10,IF(T486&lt;($F$10-$E$10)/($G$10-$E$10),$E$10+SQRT(T486*($G$10-$E$10)*($F$10-$E$10)),$G$10-SQRT((1-T486)*($G$10-$E$10)*($G$10-$F$10))))</f>
        <v>1.17011402332259</v>
      </c>
      <c r="G486" s="52" t="n">
        <f aca="false">IF($G$11=$E$11,$F$11,IF(U486&lt;($F$11-$E$11)/($G$11-$E$11),$E$11+SQRT(U486*($G$11-$E$11)*($F$11-$E$11)),$G$11-SQRT((1-U486)*($G$11-$E$11)*($G$11-$F$11))))</f>
        <v>0.117090421129347</v>
      </c>
      <c r="H486" s="53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-2340228046.64518</v>
      </c>
      <c r="I486" s="53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-23318167.9248077</v>
      </c>
      <c r="J486" s="53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272608573.842509</v>
      </c>
      <c r="K486" s="53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627041016.775956</v>
      </c>
      <c r="L486" s="53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761870747.655417</v>
      </c>
      <c r="M486" s="53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960901907.585703</v>
      </c>
      <c r="N486" s="53" t="n">
        <f aca="false">IF(COUNT('Business Case'!B11:G11)=0,"",H486+NPV(G486,I486:M486))</f>
        <v>-651208584.187151</v>
      </c>
      <c r="P486" s="54" t="n">
        <f aca="true">RAND()</f>
        <v>0.242576711173862</v>
      </c>
      <c r="Q486" s="54" t="n">
        <f aca="true">RAND()</f>
        <v>0.910412425170225</v>
      </c>
      <c r="R486" s="54" t="n">
        <f aca="true">RAND()</f>
        <v>0.589507204662495</v>
      </c>
      <c r="S486" s="54" t="n">
        <f aca="true">RAND()</f>
        <v>0.763602799854063</v>
      </c>
      <c r="T486" s="54" t="n">
        <f aca="true">RAND()</f>
        <v>0.982136567960747</v>
      </c>
      <c r="U486" s="54" t="n">
        <f aca="true">RAND()</f>
        <v>0.985890584659082</v>
      </c>
    </row>
    <row r="487" customFormat="false" ht="15" hidden="false" customHeight="false" outlineLevel="0" collapsed="false">
      <c r="A487" s="50" t="n">
        <v>407</v>
      </c>
      <c r="B487" s="51" t="n">
        <f aca="false">1+IF($G$6=$E$6,$F$6,IF(P487&lt;($F$6-$E$6)/($G$6-$E$6),$E$6+SQRT(P487*($G$6-$E$6)*($F$6-$E$6)),$G$6-SQRT((1-P487)*($G$6-$E$6)*($G$6-$F$6))))</f>
        <v>0.941465432610549</v>
      </c>
      <c r="C487" s="51" t="n">
        <f aca="false">1+IF($G$7=$E$7,$F$7,IF(Q487&lt;($F$7-$E$7)/($G$7-$E$7),$E$7+SQRT(Q487*($G$7-$E$7)*($F$7-$E$7)),$G$7-SQRT((1-Q487)*($G$7-$E$7)*($G$7-$F$7))))</f>
        <v>0.970196803255798</v>
      </c>
      <c r="D487" s="51" t="n">
        <f aca="false">1+IF($G$8=$E$8,$F$8,IF(R487&lt;($F$8-$E$8)/($G$8-$E$8),$E$8+SQRT(R487*($G$8-$E$8)*($F$8-$E$8)),$G$8-SQRT((1-R487)*($G$8-$E$8)*($G$8-$F$8))))</f>
        <v>1.00369269921806</v>
      </c>
      <c r="E487" s="51" t="n">
        <f aca="false">1+IF($G$9=$E$9,$F$9,IF(S487&lt;($F$9-$E$9)/($G$9-$E$9),$E$9+SQRT(S487*($G$9-$E$9)*($F$9-$E$9)),$G$9-SQRT((1-S487)*($G$9-$E$9)*($G$9-$F$9))))</f>
        <v>0.981217924022042</v>
      </c>
      <c r="F487" s="51" t="n">
        <f aca="false">1+IF($G$10=$E$10,$F$10,IF(T487&lt;($F$10-$E$10)/($G$10-$E$10),$E$10+SQRT(T487*($G$10-$E$10)*($F$10-$E$10)),$G$10-SQRT((1-T487)*($G$10-$E$10)*($G$10-$F$10))))</f>
        <v>1.01344868005049</v>
      </c>
      <c r="G487" s="52" t="n">
        <f aca="false">IF($G$11=$E$11,$F$11,IF(U487&lt;($F$11-$E$11)/($G$11-$E$11),$E$11+SQRT(U487*($G$11-$E$11)*($F$11-$E$11)),$G$11-SQRT((1-U487)*($G$11-$E$11)*($G$11-$F$11))))</f>
        <v>0.101437806892383</v>
      </c>
      <c r="H487" s="53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-2026897360.10099</v>
      </c>
      <c r="I487" s="53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-38576341.949917</v>
      </c>
      <c r="J487" s="53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211072378.981573</v>
      </c>
      <c r="K487" s="53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511393533.915588</v>
      </c>
      <c r="L487" s="53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626177111.613033</v>
      </c>
      <c r="M487" s="53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799797467.241253</v>
      </c>
      <c r="N487" s="53" t="n">
        <f aca="false">IF(COUNT('Business Case'!B11:G11)=0,"",H487+NPV(G487,I487:M487))</f>
        <v>-586384336.877269</v>
      </c>
      <c r="P487" s="54" t="n">
        <f aca="true">RAND()</f>
        <v>0.0479963330372914</v>
      </c>
      <c r="Q487" s="54" t="n">
        <f aca="true">RAND()</f>
        <v>0.413813597692753</v>
      </c>
      <c r="R487" s="54" t="n">
        <f aca="true">RAND()</f>
        <v>0.440114985324421</v>
      </c>
      <c r="S487" s="54" t="n">
        <f aca="true">RAND()</f>
        <v>0.129941170699461</v>
      </c>
      <c r="T487" s="54" t="n">
        <f aca="true">RAND()</f>
        <v>0.30397210050194</v>
      </c>
      <c r="U487" s="54" t="n">
        <f aca="true">RAND()</f>
        <v>0.425741645059224</v>
      </c>
    </row>
    <row r="488" customFormat="false" ht="15" hidden="false" customHeight="false" outlineLevel="0" collapsed="false">
      <c r="A488" s="50" t="n">
        <v>408</v>
      </c>
      <c r="B488" s="51" t="n">
        <f aca="false">1+IF($G$6=$E$6,$F$6,IF(P488&lt;($F$6-$E$6)/($G$6-$E$6),$E$6+SQRT(P488*($G$6-$E$6)*($F$6-$E$6)),$G$6-SQRT((1-P488)*($G$6-$E$6)*($G$6-$F$6))))</f>
        <v>0.967405651266841</v>
      </c>
      <c r="C488" s="51" t="n">
        <f aca="false">1+IF($G$7=$E$7,$F$7,IF(Q488&lt;($F$7-$E$7)/($G$7-$E$7),$E$7+SQRT(Q488*($G$7-$E$7)*($F$7-$E$7)),$G$7-SQRT((1-Q488)*($G$7-$E$7)*($G$7-$F$7))))</f>
        <v>0.929283888743781</v>
      </c>
      <c r="D488" s="51" t="n">
        <f aca="false">1+IF($G$8=$E$8,$F$8,IF(R488&lt;($F$8-$E$8)/($G$8-$E$8),$E$8+SQRT(R488*($G$8-$E$8)*($F$8-$E$8)),$G$8-SQRT((1-R488)*($G$8-$E$8)*($G$8-$F$8))))</f>
        <v>0.959627199502172</v>
      </c>
      <c r="E488" s="51" t="n">
        <f aca="false">1+IF($G$9=$E$9,$F$9,IF(S488&lt;($F$9-$E$9)/($G$9-$E$9),$E$9+SQRT(S488*($G$9-$E$9)*($F$9-$E$9)),$G$9-SQRT((1-S488)*($G$9-$E$9)*($G$9-$F$9))))</f>
        <v>0.981579462976559</v>
      </c>
      <c r="F488" s="51" t="n">
        <f aca="false">1+IF($G$10=$E$10,$F$10,IF(T488&lt;($F$10-$E$10)/($G$10-$E$10),$E$10+SQRT(T488*($G$10-$E$10)*($F$10-$E$10)),$G$10-SQRT((1-T488)*($G$10-$E$10)*($G$10-$F$10))))</f>
        <v>1.03491900369385</v>
      </c>
      <c r="G488" s="52" t="n">
        <f aca="false">IF($G$11=$E$11,$F$11,IF(U488&lt;($F$11-$E$11)/($G$11-$E$11),$E$11+SQRT(U488*($G$11-$E$11)*($F$11-$E$11)),$G$11-SQRT((1-U488)*($G$11-$E$11)*($G$11-$F$11))))</f>
        <v>0.100749389157014</v>
      </c>
      <c r="H488" s="53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-2069838007.38769</v>
      </c>
      <c r="I488" s="53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-9848062.53684631</v>
      </c>
      <c r="J488" s="53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269980249.064564</v>
      </c>
      <c r="K488" s="53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601554510.850667</v>
      </c>
      <c r="L488" s="53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725899864.140207</v>
      </c>
      <c r="M488" s="53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896780735.963428</v>
      </c>
      <c r="N488" s="53" t="n">
        <f aca="false">IF(COUNT('Business Case'!B11:G11)=0,"",H488+NPV(G488,I488:M488))</f>
        <v>-355541859.132134</v>
      </c>
      <c r="P488" s="54" t="n">
        <f aca="true">RAND()</f>
        <v>0.234093309586803</v>
      </c>
      <c r="Q488" s="54" t="n">
        <f aca="true">RAND()</f>
        <v>0.238776055553061</v>
      </c>
      <c r="R488" s="54" t="n">
        <f aca="true">RAND()</f>
        <v>0.0142589185007112</v>
      </c>
      <c r="S488" s="54" t="n">
        <f aca="true">RAND()</f>
        <v>0.132968330918381</v>
      </c>
      <c r="T488" s="54" t="n">
        <f aca="true">RAND()</f>
        <v>0.45496529317135</v>
      </c>
      <c r="U488" s="54" t="n">
        <f aca="true">RAND()</f>
        <v>0.382356636953156</v>
      </c>
    </row>
    <row r="489" customFormat="false" ht="15" hidden="false" customHeight="false" outlineLevel="0" collapsed="false">
      <c r="A489" s="50" t="n">
        <v>409</v>
      </c>
      <c r="B489" s="51" t="n">
        <f aca="false">1+IF($G$6=$E$6,$F$6,IF(P489&lt;($F$6-$E$6)/($G$6-$E$6),$E$6+SQRT(P489*($G$6-$E$6)*($F$6-$E$6)),$G$6-SQRT((1-P489)*($G$6-$E$6)*($G$6-$F$6))))</f>
        <v>1.01637812721327</v>
      </c>
      <c r="C489" s="51" t="n">
        <f aca="false">1+IF($G$7=$E$7,$F$7,IF(Q489&lt;($F$7-$E$7)/($G$7-$E$7),$E$7+SQRT(Q489*($G$7-$E$7)*($F$7-$E$7)),$G$7-SQRT((1-Q489)*($G$7-$E$7)*($G$7-$F$7))))</f>
        <v>1.00766707850273</v>
      </c>
      <c r="D489" s="51" t="n">
        <f aca="false">1+IF($G$8=$E$8,$F$8,IF(R489&lt;($F$8-$E$8)/($G$8-$E$8),$E$8+SQRT(R489*($G$8-$E$8)*($F$8-$E$8)),$G$8-SQRT((1-R489)*($G$8-$E$8)*($G$8-$F$8))))</f>
        <v>0.980426921524436</v>
      </c>
      <c r="E489" s="51" t="n">
        <f aca="false">1+IF($G$9=$E$9,$F$9,IF(S489&lt;($F$9-$E$9)/($G$9-$E$9),$E$9+SQRT(S489*($G$9-$E$9)*($F$9-$E$9)),$G$9-SQRT((1-S489)*($G$9-$E$9)*($G$9-$F$9))))</f>
        <v>0.982504060984205</v>
      </c>
      <c r="F489" s="51" t="n">
        <f aca="false">1+IF($G$10=$E$10,$F$10,IF(T489&lt;($F$10-$E$10)/($G$10-$E$10),$E$10+SQRT(T489*($G$10-$E$10)*($F$10-$E$10)),$G$10-SQRT((1-T489)*($G$10-$E$10)*($G$10-$F$10))))</f>
        <v>1.09434540011661</v>
      </c>
      <c r="G489" s="52" t="n">
        <f aca="false">IF($G$11=$E$11,$F$11,IF(U489&lt;($F$11-$E$11)/($G$11-$E$11),$E$11+SQRT(U489*($G$11-$E$11)*($F$11-$E$11)),$G$11-SQRT((1-U489)*($G$11-$E$11)*($G$11-$F$11))))</f>
        <v>0.0967280375244657</v>
      </c>
      <c r="H489" s="53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-2188690800.23321</v>
      </c>
      <c r="I489" s="53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30881719.4271453</v>
      </c>
      <c r="J489" s="53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364003069.474769</v>
      </c>
      <c r="K489" s="53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751841689.528222</v>
      </c>
      <c r="L489" s="53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898277481.635338</v>
      </c>
      <c r="M489" s="53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1092951863.13717</v>
      </c>
      <c r="N489" s="53" t="n">
        <f aca="false">IF(COUNT('Business Case'!B11:G11)=0,"",H489+NPV(G489,I489:M489))</f>
        <v>21745415.2446141</v>
      </c>
      <c r="P489" s="54" t="n">
        <f aca="true">RAND()</f>
        <v>0.883751484593229</v>
      </c>
      <c r="Q489" s="54" t="n">
        <f aca="true">RAND()</f>
        <v>0.614120751581961</v>
      </c>
      <c r="R489" s="54" t="n">
        <f aca="true">RAND()</f>
        <v>0.142430392839103</v>
      </c>
      <c r="S489" s="54" t="n">
        <f aca="true">RAND()</f>
        <v>0.140868530728655</v>
      </c>
      <c r="T489" s="54" t="n">
        <f aca="true">RAND()</f>
        <v>0.776742110469601</v>
      </c>
      <c r="U489" s="54" t="n">
        <f aca="true">RAND()</f>
        <v>0.150888296435393</v>
      </c>
    </row>
    <row r="490" customFormat="false" ht="15" hidden="false" customHeight="false" outlineLevel="0" collapsed="false">
      <c r="A490" s="50" t="n">
        <v>410</v>
      </c>
      <c r="B490" s="51" t="n">
        <f aca="false">1+IF($G$6=$E$6,$F$6,IF(P490&lt;($F$6-$E$6)/($G$6-$E$6),$E$6+SQRT(P490*($G$6-$E$6)*($F$6-$E$6)),$G$6-SQRT((1-P490)*($G$6-$E$6)*($G$6-$F$6))))</f>
        <v>1.03189076631183</v>
      </c>
      <c r="C490" s="51" t="n">
        <f aca="false">1+IF($G$7=$E$7,$F$7,IF(Q490&lt;($F$7-$E$7)/($G$7-$E$7),$E$7+SQRT(Q490*($G$7-$E$7)*($F$7-$E$7)),$G$7-SQRT((1-Q490)*($G$7-$E$7)*($G$7-$F$7))))</f>
        <v>1.03227690020406</v>
      </c>
      <c r="D490" s="51" t="n">
        <f aca="false">1+IF($G$8=$E$8,$F$8,IF(R490&lt;($F$8-$E$8)/($G$8-$E$8),$E$8+SQRT(R490*($G$8-$E$8)*($F$8-$E$8)),$G$8-SQRT((1-R490)*($G$8-$E$8)*($G$8-$F$8))))</f>
        <v>1.02582710863329</v>
      </c>
      <c r="E490" s="51" t="n">
        <f aca="false">1+IF($G$9=$E$9,$F$9,IF(S490&lt;($F$9-$E$9)/($G$9-$E$9),$E$9+SQRT(S490*($G$9-$E$9)*($F$9-$E$9)),$G$9-SQRT((1-S490)*($G$9-$E$9)*($G$9-$F$9))))</f>
        <v>1.01612328088376</v>
      </c>
      <c r="F490" s="51" t="n">
        <f aca="false">1+IF($G$10=$E$10,$F$10,IF(T490&lt;($F$10-$E$10)/($G$10-$E$10),$E$10+SQRT(T490*($G$10-$E$10)*($F$10-$E$10)),$G$10-SQRT((1-T490)*($G$10-$E$10)*($G$10-$F$10))))</f>
        <v>0.998373296445377</v>
      </c>
      <c r="G490" s="52" t="n">
        <f aca="false">IF($G$11=$E$11,$F$11,IF(U490&lt;($F$11-$E$11)/($G$11-$E$11),$E$11+SQRT(U490*($G$11-$E$11)*($F$11-$E$11)),$G$11-SQRT((1-U490)*($G$11-$E$11)*($G$11-$F$11))))</f>
        <v>0.101268392528507</v>
      </c>
      <c r="H490" s="53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-1996746592.89075</v>
      </c>
      <c r="I490" s="53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30831815.2969475</v>
      </c>
      <c r="J490" s="53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361213503.342921</v>
      </c>
      <c r="K490" s="53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741513856.211163</v>
      </c>
      <c r="L490" s="53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888454293.935033</v>
      </c>
      <c r="M490" s="53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1090926939.9987</v>
      </c>
      <c r="N490" s="53" t="n">
        <f aca="false">IF(COUNT('Business Case'!B11:G11)=0,"",H490+NPV(G490,I490:M490))</f>
        <v>161797226.582857</v>
      </c>
      <c r="P490" s="54" t="n">
        <f aca="true">RAND()</f>
        <v>0.986300068539716</v>
      </c>
      <c r="Q490" s="54" t="n">
        <f aca="true">RAND()</f>
        <v>0.736024224274963</v>
      </c>
      <c r="R490" s="54" t="n">
        <f aca="true">RAND()</f>
        <v>0.717817100093346</v>
      </c>
      <c r="S490" s="54" t="n">
        <f aca="true">RAND()</f>
        <v>0.530979732686334</v>
      </c>
      <c r="T490" s="54" t="n">
        <f aca="true">RAND()</f>
        <v>0.187198064719386</v>
      </c>
      <c r="U490" s="54" t="n">
        <f aca="true">RAND()</f>
        <v>0.415211469223185</v>
      </c>
    </row>
    <row r="491" customFormat="false" ht="15" hidden="false" customHeight="false" outlineLevel="0" collapsed="false">
      <c r="A491" s="50" t="n">
        <v>411</v>
      </c>
      <c r="B491" s="51" t="n">
        <f aca="false">1+IF($G$6=$E$6,$F$6,IF(P491&lt;($F$6-$E$6)/($G$6-$E$6),$E$6+SQRT(P491*($G$6-$E$6)*($F$6-$E$6)),$G$6-SQRT((1-P491)*($G$6-$E$6)*($G$6-$F$6))))</f>
        <v>1.01350012041672</v>
      </c>
      <c r="C491" s="51" t="n">
        <f aca="false">1+IF($G$7=$E$7,$F$7,IF(Q491&lt;($F$7-$E$7)/($G$7-$E$7),$E$7+SQRT(Q491*($G$7-$E$7)*($F$7-$E$7)),$G$7-SQRT((1-Q491)*($G$7-$E$7)*($G$7-$F$7))))</f>
        <v>0.960063372163755</v>
      </c>
      <c r="D491" s="51" t="n">
        <f aca="false">1+IF($G$8=$E$8,$F$8,IF(R491&lt;($F$8-$E$8)/($G$8-$E$8),$E$8+SQRT(R491*($G$8-$E$8)*($F$8-$E$8)),$G$8-SQRT((1-R491)*($G$8-$E$8)*($G$8-$F$8))))</f>
        <v>1.04683108676151</v>
      </c>
      <c r="E491" s="51" t="n">
        <f aca="false">1+IF($G$9=$E$9,$F$9,IF(S491&lt;($F$9-$E$9)/($G$9-$E$9),$E$9+SQRT(S491*($G$9-$E$9)*($F$9-$E$9)),$G$9-SQRT((1-S491)*($G$9-$E$9)*($G$9-$F$9))))</f>
        <v>0.966427932101449</v>
      </c>
      <c r="F491" s="51" t="n">
        <f aca="false">1+IF($G$10=$E$10,$F$10,IF(T491&lt;($F$10-$E$10)/($G$10-$E$10),$E$10+SQRT(T491*($G$10-$E$10)*($F$10-$E$10)),$G$10-SQRT((1-T491)*($G$10-$E$10)*($G$10-$F$10))))</f>
        <v>1.0999460207962</v>
      </c>
      <c r="G491" s="52" t="n">
        <f aca="false">IF($G$11=$E$11,$F$11,IF(U491&lt;($F$11-$E$11)/($G$11-$E$11),$E$11+SQRT(U491*($G$11-$E$11)*($F$11-$E$11)),$G$11-SQRT((1-U491)*($G$11-$E$11)*($G$11-$F$11))))</f>
        <v>0.104206036471128</v>
      </c>
      <c r="H491" s="53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-2199892041.59241</v>
      </c>
      <c r="I491" s="53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-15377220.9543411</v>
      </c>
      <c r="J491" s="53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267107794.072211</v>
      </c>
      <c r="K491" s="53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604590110.138572</v>
      </c>
      <c r="L491" s="53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732379503.118387</v>
      </c>
      <c r="M491" s="53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917331970.292023</v>
      </c>
      <c r="N491" s="53" t="n">
        <f aca="false">IF(COUNT('Business Case'!B11:G11)=0,"",H491+NPV(G491,I491:M491))</f>
        <v>-494207825.079607</v>
      </c>
      <c r="P491" s="54" t="n">
        <f aca="true">RAND()</f>
        <v>0.853699246264881</v>
      </c>
      <c r="Q491" s="54" t="n">
        <f aca="true">RAND()</f>
        <v>0.366004044406183</v>
      </c>
      <c r="R491" s="54" t="n">
        <f aca="true">RAND()</f>
        <v>0.89421376870938</v>
      </c>
      <c r="S491" s="54" t="n">
        <f aca="true">RAND()</f>
        <v>0.0359835937506429</v>
      </c>
      <c r="T491" s="54" t="n">
        <f aca="true">RAND()</f>
        <v>0.799784024909727</v>
      </c>
      <c r="U491" s="54" t="n">
        <f aca="true">RAND()</f>
        <v>0.584251193414409</v>
      </c>
    </row>
    <row r="492" customFormat="false" ht="15" hidden="false" customHeight="false" outlineLevel="0" collapsed="false">
      <c r="A492" s="50" t="n">
        <v>412</v>
      </c>
      <c r="B492" s="51" t="n">
        <f aca="false">1+IF($G$6=$E$6,$F$6,IF(P492&lt;($F$6-$E$6)/($G$6-$E$6),$E$6+SQRT(P492*($G$6-$E$6)*($F$6-$E$6)),$G$6-SQRT((1-P492)*($G$6-$E$6)*($G$6-$F$6))))</f>
        <v>0.98368073992216</v>
      </c>
      <c r="C492" s="51" t="n">
        <f aca="false">1+IF($G$7=$E$7,$F$7,IF(Q492&lt;($F$7-$E$7)/($G$7-$E$7),$E$7+SQRT(Q492*($G$7-$E$7)*($F$7-$E$7)),$G$7-SQRT((1-Q492)*($G$7-$E$7)*($G$7-$F$7))))</f>
        <v>0.996522784140972</v>
      </c>
      <c r="D492" s="51" t="n">
        <f aca="false">1+IF($G$8=$E$8,$F$8,IF(R492&lt;($F$8-$E$8)/($G$8-$E$8),$E$8+SQRT(R492*($G$8-$E$8)*($F$8-$E$8)),$G$8-SQRT((1-R492)*($G$8-$E$8)*($G$8-$F$8))))</f>
        <v>1.01456122002869</v>
      </c>
      <c r="E492" s="51" t="n">
        <f aca="false">1+IF($G$9=$E$9,$F$9,IF(S492&lt;($F$9-$E$9)/($G$9-$E$9),$E$9+SQRT(S492*($G$9-$E$9)*($F$9-$E$9)),$G$9-SQRT((1-S492)*($G$9-$E$9)*($G$9-$F$9))))</f>
        <v>1.0272827533356</v>
      </c>
      <c r="F492" s="51" t="n">
        <f aca="false">1+IF($G$10=$E$10,$F$10,IF(T492&lt;($F$10-$E$10)/($G$10-$E$10),$E$10+SQRT(T492*($G$10-$E$10)*($F$10-$E$10)),$G$10-SQRT((1-T492)*($G$10-$E$10)*($G$10-$F$10))))</f>
        <v>1.00625827279908</v>
      </c>
      <c r="G492" s="52" t="n">
        <f aca="false">IF($G$11=$E$11,$F$11,IF(U492&lt;($F$11-$E$11)/($G$11-$E$11),$E$11+SQRT(U492*($G$11-$E$11)*($F$11-$E$11)),$G$11-SQRT((1-U492)*($G$11-$E$11)*($G$11-$F$11))))</f>
        <v>0.0991665869324238</v>
      </c>
      <c r="H492" s="53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-2012516545.59815</v>
      </c>
      <c r="I492" s="53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-12186591.2202239</v>
      </c>
      <c r="J492" s="53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273148944.742598</v>
      </c>
      <c r="K492" s="53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608797394.345374</v>
      </c>
      <c r="L492" s="53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737787034.585525</v>
      </c>
      <c r="M492" s="53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924114906.641183</v>
      </c>
      <c r="N492" s="53" t="n">
        <f aca="false">IF(COUNT('Business Case'!B11:G11)=0,"",H492+NPV(G492,I492:M492))</f>
        <v>-257648723.475152</v>
      </c>
      <c r="P492" s="54" t="n">
        <f aca="true">RAND()</f>
        <v>0.422420483024352</v>
      </c>
      <c r="Q492" s="54" t="n">
        <f aca="true">RAND()</f>
        <v>0.5517314955217</v>
      </c>
      <c r="R492" s="54" t="n">
        <f aca="true">RAND()</f>
        <v>0.58824673806412</v>
      </c>
      <c r="S492" s="54" t="n">
        <f aca="true">RAND()</f>
        <v>0.647480135836595</v>
      </c>
      <c r="T492" s="54" t="n">
        <f aca="true">RAND()</f>
        <v>0.249282862824056</v>
      </c>
      <c r="U492" s="54" t="n">
        <f aca="true">RAND()</f>
        <v>0.280087719965609</v>
      </c>
    </row>
    <row r="493" customFormat="false" ht="15" hidden="false" customHeight="false" outlineLevel="0" collapsed="false">
      <c r="A493" s="50" t="n">
        <v>413</v>
      </c>
      <c r="B493" s="51" t="n">
        <f aca="false">1+IF($G$6=$E$6,$F$6,IF(P493&lt;($F$6-$E$6)/($G$6-$E$6),$E$6+SQRT(P493*($G$6-$E$6)*($F$6-$E$6)),$G$6-SQRT((1-P493)*($G$6-$E$6)*($G$6-$F$6))))</f>
        <v>1.01040964921726</v>
      </c>
      <c r="C493" s="51" t="n">
        <f aca="false">1+IF($G$7=$E$7,$F$7,IF(Q493&lt;($F$7-$E$7)/($G$7-$E$7),$E$7+SQRT(Q493*($G$7-$E$7)*($F$7-$E$7)),$G$7-SQRT((1-Q493)*($G$7-$E$7)*($G$7-$F$7))))</f>
        <v>0.978838040363671</v>
      </c>
      <c r="D493" s="51" t="n">
        <f aca="false">1+IF($G$8=$E$8,$F$8,IF(R493&lt;($F$8-$E$8)/($G$8-$E$8),$E$8+SQRT(R493*($G$8-$E$8)*($F$8-$E$8)),$G$8-SQRT((1-R493)*($G$8-$E$8)*($G$8-$F$8))))</f>
        <v>1.00061952813032</v>
      </c>
      <c r="E493" s="51" t="n">
        <f aca="false">1+IF($G$9=$E$9,$F$9,IF(S493&lt;($F$9-$E$9)/($G$9-$E$9),$E$9+SQRT(S493*($G$9-$E$9)*($F$9-$E$9)),$G$9-SQRT((1-S493)*($G$9-$E$9)*($G$9-$F$9))))</f>
        <v>1.04104364493728</v>
      </c>
      <c r="F493" s="51" t="n">
        <f aca="false">1+IF($G$10=$E$10,$F$10,IF(T493&lt;($F$10-$E$10)/($G$10-$E$10),$E$10+SQRT(T493*($G$10-$E$10)*($F$10-$E$10)),$G$10-SQRT((1-T493)*($G$10-$E$10)*($G$10-$F$10))))</f>
        <v>1.09470439057973</v>
      </c>
      <c r="G493" s="52" t="n">
        <f aca="false">IF($G$11=$E$11,$F$11,IF(U493&lt;($F$11-$E$11)/($G$11-$E$11),$E$11+SQRT(U493*($G$11-$E$11)*($F$11-$E$11)),$G$11-SQRT((1-U493)*($G$11-$E$11)*($G$11-$F$11))))</f>
        <v>0.112106907059368</v>
      </c>
      <c r="H493" s="53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-2189408781.15946</v>
      </c>
      <c r="I493" s="53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-90581.4131554663</v>
      </c>
      <c r="J493" s="53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308596863.009809</v>
      </c>
      <c r="K493" s="53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672019526.961761</v>
      </c>
      <c r="L493" s="53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809096128.748127</v>
      </c>
      <c r="M493" s="53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997090457.131036</v>
      </c>
      <c r="N493" s="53" t="n">
        <f aca="false">IF(COUNT('Business Case'!B11:G11)=0,"",H493+NPV(G493,I493:M493))</f>
        <v>-336296900.820809</v>
      </c>
      <c r="P493" s="54" t="n">
        <f aca="true">RAND()</f>
        <v>0.817585654282161</v>
      </c>
      <c r="Q493" s="54" t="n">
        <f aca="true">RAND()</f>
        <v>0.456900638301684</v>
      </c>
      <c r="R493" s="54" t="n">
        <f aca="true">RAND()</f>
        <v>0.394109681321839</v>
      </c>
      <c r="S493" s="54" t="n">
        <f aca="true">RAND()</f>
        <v>0.768276546514545</v>
      </c>
      <c r="T493" s="54" t="n">
        <f aca="true">RAND()</f>
        <v>0.778256692736283</v>
      </c>
      <c r="U493" s="54" t="n">
        <f aca="true">RAND()</f>
        <v>0.896165139717579</v>
      </c>
    </row>
    <row r="494" customFormat="false" ht="15" hidden="false" customHeight="false" outlineLevel="0" collapsed="false">
      <c r="A494" s="50" t="n">
        <v>414</v>
      </c>
      <c r="B494" s="51" t="n">
        <f aca="false">1+IF($G$6=$E$6,$F$6,IF(P494&lt;($F$6-$E$6)/($G$6-$E$6),$E$6+SQRT(P494*($G$6-$E$6)*($F$6-$E$6)),$G$6-SQRT((1-P494)*($G$6-$E$6)*($G$6-$F$6))))</f>
        <v>0.943243342932187</v>
      </c>
      <c r="C494" s="51" t="n">
        <f aca="false">1+IF($G$7=$E$7,$F$7,IF(Q494&lt;($F$7-$E$7)/($G$7-$E$7),$E$7+SQRT(Q494*($G$7-$E$7)*($F$7-$E$7)),$G$7-SQRT((1-Q494)*($G$7-$E$7)*($G$7-$F$7))))</f>
        <v>0.998745332285802</v>
      </c>
      <c r="D494" s="51" t="n">
        <f aca="false">1+IF($G$8=$E$8,$F$8,IF(R494&lt;($F$8-$E$8)/($G$8-$E$8),$E$8+SQRT(R494*($G$8-$E$8)*($F$8-$E$8)),$G$8-SQRT((1-R494)*($G$8-$E$8)*($G$8-$F$8))))</f>
        <v>1.02020542835128</v>
      </c>
      <c r="E494" s="51" t="n">
        <f aca="false">1+IF($G$9=$E$9,$F$9,IF(S494&lt;($F$9-$E$9)/($G$9-$E$9),$E$9+SQRT(S494*($G$9-$E$9)*($F$9-$E$9)),$G$9-SQRT((1-S494)*($G$9-$E$9)*($G$9-$F$9))))</f>
        <v>1.0323737854453</v>
      </c>
      <c r="F494" s="51" t="n">
        <f aca="false">1+IF($G$10=$E$10,$F$10,IF(T494&lt;($F$10-$E$10)/($G$10-$E$10),$E$10+SQRT(T494*($G$10-$E$10)*($F$10-$E$10)),$G$10-SQRT((1-T494)*($G$10-$E$10)*($G$10-$F$10))))</f>
        <v>0.980049472718688</v>
      </c>
      <c r="G494" s="52" t="n">
        <f aca="false">IF($G$11=$E$11,$F$11,IF(U494&lt;($F$11-$E$11)/($G$11-$E$11),$E$11+SQRT(U494*($G$11-$E$11)*($F$11-$E$11)),$G$11-SQRT((1-U494)*($G$11-$E$11)*($G$11-$F$11))))</f>
        <v>0.100323814386813</v>
      </c>
      <c r="H494" s="53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-1960098945.43738</v>
      </c>
      <c r="I494" s="53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-43638304.7858276</v>
      </c>
      <c r="J494" s="53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206368274.478866</v>
      </c>
      <c r="K494" s="53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505377327.379494</v>
      </c>
      <c r="L494" s="53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621270443.459946</v>
      </c>
      <c r="M494" s="53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800337186.583827</v>
      </c>
      <c r="N494" s="53" t="n">
        <f aca="false">IF(COUNT('Business Case'!B11:G11)=0,"",H494+NPV(G494,I494:M494))</f>
        <v>-529891787.394617</v>
      </c>
      <c r="P494" s="54" t="n">
        <f aca="true">RAND()</f>
        <v>0.0562763531940901</v>
      </c>
      <c r="Q494" s="54" t="n">
        <f aca="true">RAND()</f>
        <v>0.564281530077056</v>
      </c>
      <c r="R494" s="54" t="n">
        <f aca="true">RAND()</f>
        <v>0.656212423206378</v>
      </c>
      <c r="S494" s="54" t="n">
        <f aca="true">RAND()</f>
        <v>0.695113007000081</v>
      </c>
      <c r="T494" s="54" t="n">
        <f aca="true">RAND()</f>
        <v>0.0722376648536944</v>
      </c>
      <c r="U494" s="54" t="n">
        <f aca="true">RAND()</f>
        <v>0.354746199525706</v>
      </c>
    </row>
    <row r="495" customFormat="false" ht="15" hidden="false" customHeight="false" outlineLevel="0" collapsed="false">
      <c r="A495" s="50" t="n">
        <v>415</v>
      </c>
      <c r="B495" s="51" t="n">
        <f aca="false">1+IF($G$6=$E$6,$F$6,IF(P495&lt;($F$6-$E$6)/($G$6-$E$6),$E$6+SQRT(P495*($G$6-$E$6)*($F$6-$E$6)),$G$6-SQRT((1-P495)*($G$6-$E$6)*($G$6-$F$6))))</f>
        <v>0.976405106612122</v>
      </c>
      <c r="C495" s="51" t="n">
        <f aca="false">1+IF($G$7=$E$7,$F$7,IF(Q495&lt;($F$7-$E$7)/($G$7-$E$7),$E$7+SQRT(Q495*($G$7-$E$7)*($F$7-$E$7)),$G$7-SQRT((1-Q495)*($G$7-$E$7)*($G$7-$F$7))))</f>
        <v>0.839818328893278</v>
      </c>
      <c r="D495" s="51" t="n">
        <f aca="false">1+IF($G$8=$E$8,$F$8,IF(R495&lt;($F$8-$E$8)/($G$8-$E$8),$E$8+SQRT(R495*($G$8-$E$8)*($F$8-$E$8)),$G$8-SQRT((1-R495)*($G$8-$E$8)*($G$8-$F$8))))</f>
        <v>1.01793166769051</v>
      </c>
      <c r="E495" s="51" t="n">
        <f aca="false">1+IF($G$9=$E$9,$F$9,IF(S495&lt;($F$9-$E$9)/($G$9-$E$9),$E$9+SQRT(S495*($G$9-$E$9)*($F$9-$E$9)),$G$9-SQRT((1-S495)*($G$9-$E$9)*($G$9-$F$9))))</f>
        <v>1.0292733113357</v>
      </c>
      <c r="F495" s="51" t="n">
        <f aca="false">1+IF($G$10=$E$10,$F$10,IF(T495&lt;($F$10-$E$10)/($G$10-$E$10),$E$10+SQRT(T495*($G$10-$E$10)*($F$10-$E$10)),$G$10-SQRT((1-T495)*($G$10-$E$10)*($G$10-$F$10))))</f>
        <v>1.00990909997504</v>
      </c>
      <c r="G495" s="52" t="n">
        <f aca="false">IF($G$11=$E$11,$F$11,IF(U495&lt;($F$11-$E$11)/($G$11-$E$11),$E$11+SQRT(U495*($G$11-$E$11)*($F$11-$E$11)),$G$11-SQRT((1-U495)*($G$11-$E$11)*($G$11-$F$11))))</f>
        <v>0.102582842320797</v>
      </c>
      <c r="H495" s="53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-2019818199.95009</v>
      </c>
      <c r="I495" s="53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-55850083.9877943</v>
      </c>
      <c r="J495" s="53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178162357.486868</v>
      </c>
      <c r="K495" s="53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462670253.960282</v>
      </c>
      <c r="L495" s="53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569013701.513846</v>
      </c>
      <c r="M495" s="53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724879853.688235</v>
      </c>
      <c r="N495" s="53" t="n">
        <f aca="false">IF(COUNT('Business Case'!B11:G11)=0,"",H495+NPV(G495,I495:M495))</f>
        <v>-748884295.624276</v>
      </c>
      <c r="P495" s="54" t="n">
        <f aca="true">RAND()</f>
        <v>0.331410005408843</v>
      </c>
      <c r="Q495" s="54" t="n">
        <f aca="true">RAND()</f>
        <v>0.0226499902264756</v>
      </c>
      <c r="R495" s="54" t="n">
        <f aca="true">RAND()</f>
        <v>0.629569435030682</v>
      </c>
      <c r="S495" s="54" t="n">
        <f aca="true">RAND()</f>
        <v>0.666515700705557</v>
      </c>
      <c r="T495" s="54" t="n">
        <f aca="true">RAND()</f>
        <v>0.277308994554037</v>
      </c>
      <c r="U495" s="54" t="n">
        <f aca="true">RAND()</f>
        <v>0.494404363962963</v>
      </c>
    </row>
    <row r="496" customFormat="false" ht="15" hidden="false" customHeight="false" outlineLevel="0" collapsed="false">
      <c r="A496" s="50" t="n">
        <v>416</v>
      </c>
      <c r="B496" s="51" t="n">
        <f aca="false">1+IF($G$6=$E$6,$F$6,IF(P496&lt;($F$6-$E$6)/($G$6-$E$6),$E$6+SQRT(P496*($G$6-$E$6)*($F$6-$E$6)),$G$6-SQRT((1-P496)*($G$6-$E$6)*($G$6-$F$6))))</f>
        <v>1.0158582330373</v>
      </c>
      <c r="C496" s="51" t="n">
        <f aca="false">1+IF($G$7=$E$7,$F$7,IF(Q496&lt;($F$7-$E$7)/($G$7-$E$7),$E$7+SQRT(Q496*($G$7-$E$7)*($F$7-$E$7)),$G$7-SQRT((1-Q496)*($G$7-$E$7)*($G$7-$F$7))))</f>
        <v>0.97111477643036</v>
      </c>
      <c r="D496" s="51" t="n">
        <f aca="false">1+IF($G$8=$E$8,$F$8,IF(R496&lt;($F$8-$E$8)/($G$8-$E$8),$E$8+SQRT(R496*($G$8-$E$8)*($F$8-$E$8)),$G$8-SQRT((1-R496)*($G$8-$E$8)*($G$8-$F$8))))</f>
        <v>1.01745396555559</v>
      </c>
      <c r="E496" s="51" t="n">
        <f aca="false">1+IF($G$9=$E$9,$F$9,IF(S496&lt;($F$9-$E$9)/($G$9-$E$9),$E$9+SQRT(S496*($G$9-$E$9)*($F$9-$E$9)),$G$9-SQRT((1-S496)*($G$9-$E$9)*($G$9-$F$9))))</f>
        <v>1.0240957984109</v>
      </c>
      <c r="F496" s="51" t="n">
        <f aca="false">1+IF($G$10=$E$10,$F$10,IF(T496&lt;($F$10-$E$10)/($G$10-$E$10),$E$10+SQRT(T496*($G$10-$E$10)*($F$10-$E$10)),$G$10-SQRT((1-T496)*($G$10-$E$10)*($G$10-$F$10))))</f>
        <v>0.971922840461767</v>
      </c>
      <c r="G496" s="52" t="n">
        <f aca="false">IF($G$11=$E$11,$F$11,IF(U496&lt;($F$11-$E$11)/($G$11-$E$11),$E$11+SQRT(U496*($G$11-$E$11)*($F$11-$E$11)),$G$11-SQRT((1-U496)*($G$11-$E$11)*($G$11-$F$11))))</f>
        <v>0.103110551442691</v>
      </c>
      <c r="H496" s="53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-1943845680.92353</v>
      </c>
      <c r="I496" s="53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8257104.58503789</v>
      </c>
      <c r="J496" s="53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310473850.284515</v>
      </c>
      <c r="K496" s="53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661286738.007079</v>
      </c>
      <c r="L496" s="53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796119609.596393</v>
      </c>
      <c r="M496" s="53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983636369.555245</v>
      </c>
      <c r="N496" s="53" t="n">
        <f aca="false">IF(COUNT('Business Case'!B11:G11)=0,"",H496+NPV(G496,I496:M496))</f>
        <v>-48720802.3671145</v>
      </c>
      <c r="P496" s="54" t="n">
        <f aca="true">RAND()</f>
        <v>0.878578143316402</v>
      </c>
      <c r="Q496" s="54" t="n">
        <f aca="true">RAND()</f>
        <v>0.418289524468744</v>
      </c>
      <c r="R496" s="54" t="n">
        <f aca="true">RAND()</f>
        <v>0.623845536084477</v>
      </c>
      <c r="S496" s="54" t="n">
        <f aca="true">RAND()</f>
        <v>0.615903478741422</v>
      </c>
      <c r="T496" s="54" t="n">
        <f aca="true">RAND()</f>
        <v>0.0384488747129665</v>
      </c>
      <c r="U496" s="54" t="n">
        <f aca="true">RAND()</f>
        <v>0.524577545716665</v>
      </c>
    </row>
    <row r="497" customFormat="false" ht="15" hidden="false" customHeight="false" outlineLevel="0" collapsed="false">
      <c r="A497" s="50" t="n">
        <v>417</v>
      </c>
      <c r="B497" s="51" t="n">
        <f aca="false">1+IF($G$6=$E$6,$F$6,IF(P497&lt;($F$6-$E$6)/($G$6-$E$6),$E$6+SQRT(P497*($G$6-$E$6)*($F$6-$E$6)),$G$6-SQRT((1-P497)*($G$6-$E$6)*($G$6-$F$6))))</f>
        <v>0.933150099796895</v>
      </c>
      <c r="C497" s="51" t="n">
        <f aca="false">1+IF($G$7=$E$7,$F$7,IF(Q497&lt;($F$7-$E$7)/($G$7-$E$7),$E$7+SQRT(Q497*($G$7-$E$7)*($F$7-$E$7)),$G$7-SQRT((1-Q497)*($G$7-$E$7)*($G$7-$F$7))))</f>
        <v>1.07109986507721</v>
      </c>
      <c r="D497" s="51" t="n">
        <f aca="false">1+IF($G$8=$E$8,$F$8,IF(R497&lt;($F$8-$E$8)/($G$8-$E$8),$E$8+SQRT(R497*($G$8-$E$8)*($F$8-$E$8)),$G$8-SQRT((1-R497)*($G$8-$E$8)*($G$8-$F$8))))</f>
        <v>0.979353627846663</v>
      </c>
      <c r="E497" s="51" t="n">
        <f aca="false">1+IF($G$9=$E$9,$F$9,IF(S497&lt;($F$9-$E$9)/($G$9-$E$9),$E$9+SQRT(S497*($G$9-$E$9)*($F$9-$E$9)),$G$9-SQRT((1-S497)*($G$9-$E$9)*($G$9-$F$9))))</f>
        <v>1.01600402140756</v>
      </c>
      <c r="F497" s="51" t="n">
        <f aca="false">1+IF($G$10=$E$10,$F$10,IF(T497&lt;($F$10-$E$10)/($G$10-$E$10),$E$10+SQRT(T497*($G$10-$E$10)*($F$10-$E$10)),$G$10-SQRT((1-T497)*($G$10-$E$10)*($G$10-$F$10))))</f>
        <v>1.03876201774101</v>
      </c>
      <c r="G497" s="52" t="n">
        <f aca="false">IF($G$11=$E$11,$F$11,IF(U497&lt;($F$11-$E$11)/($G$11-$E$11),$E$11+SQRT(U497*($G$11-$E$11)*($F$11-$E$11)),$G$11-SQRT((1-U497)*($G$11-$E$11)*($G$11-$F$11))))</f>
        <v>0.103333233522562</v>
      </c>
      <c r="H497" s="53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-2077524035.48202</v>
      </c>
      <c r="I497" s="53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-18502609.6984607</v>
      </c>
      <c r="J497" s="53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263160675.901417</v>
      </c>
      <c r="K497" s="53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596762062.388345</v>
      </c>
      <c r="L497" s="53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725192438.708359</v>
      </c>
      <c r="M497" s="53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915176818.201993</v>
      </c>
      <c r="N497" s="53" t="n">
        <f aca="false">IF(COUNT('Business Case'!B11:G11)=0,"",H497+NPV(G497,I497:M497))</f>
        <v>-384734179.695955</v>
      </c>
      <c r="P497" s="54" t="n">
        <f aca="true">RAND()</f>
        <v>0.0180130338196153</v>
      </c>
      <c r="Q497" s="54" t="n">
        <f aca="true">RAND()</f>
        <v>0.881424165888855</v>
      </c>
      <c r="R497" s="54" t="n">
        <f aca="true">RAND()</f>
        <v>0.13255930273237</v>
      </c>
      <c r="S497" s="54" t="n">
        <f aca="true">RAND()</f>
        <v>0.529645038686569</v>
      </c>
      <c r="T497" s="54" t="n">
        <f aca="true">RAND()</f>
        <v>0.480046261540991</v>
      </c>
      <c r="U497" s="54" t="n">
        <f aca="true">RAND()</f>
        <v>0.537031491977556</v>
      </c>
    </row>
    <row r="498" customFormat="false" ht="15" hidden="false" customHeight="false" outlineLevel="0" collapsed="false">
      <c r="A498" s="50" t="n">
        <v>418</v>
      </c>
      <c r="B498" s="51" t="n">
        <f aca="false">1+IF($G$6=$E$6,$F$6,IF(P498&lt;($F$6-$E$6)/($G$6-$E$6),$E$6+SQRT(P498*($G$6-$E$6)*($F$6-$E$6)),$G$6-SQRT((1-P498)*($G$6-$E$6)*($G$6-$F$6))))</f>
        <v>0.973174575264354</v>
      </c>
      <c r="C498" s="51" t="n">
        <f aca="false">1+IF($G$7=$E$7,$F$7,IF(Q498&lt;($F$7-$E$7)/($G$7-$E$7),$E$7+SQRT(Q498*($G$7-$E$7)*($F$7-$E$7)),$G$7-SQRT((1-Q498)*($G$7-$E$7)*($G$7-$F$7))))</f>
        <v>0.887588517234512</v>
      </c>
      <c r="D498" s="51" t="n">
        <f aca="false">1+IF($G$8=$E$8,$F$8,IF(R498&lt;($F$8-$E$8)/($G$8-$E$8),$E$8+SQRT(R498*($G$8-$E$8)*($F$8-$E$8)),$G$8-SQRT((1-R498)*($G$8-$E$8)*($G$8-$F$8))))</f>
        <v>0.955801539997459</v>
      </c>
      <c r="E498" s="51" t="n">
        <f aca="false">1+IF($G$9=$E$9,$F$9,IF(S498&lt;($F$9-$E$9)/($G$9-$E$9),$E$9+SQRT(S498*($G$9-$E$9)*($F$9-$E$9)),$G$9-SQRT((1-S498)*($G$9-$E$9)*($G$9-$F$9))))</f>
        <v>1.03658490175198</v>
      </c>
      <c r="F498" s="51" t="n">
        <f aca="false">1+IF($G$10=$E$10,$F$10,IF(T498&lt;($F$10-$E$10)/($G$10-$E$10),$E$10+SQRT(T498*($G$10-$E$10)*($F$10-$E$10)),$G$10-SQRT((1-T498)*($G$10-$E$10)*($G$10-$F$10))))</f>
        <v>0.956625645712257</v>
      </c>
      <c r="G498" s="52" t="n">
        <f aca="false">IF($G$11=$E$11,$F$11,IF(U498&lt;($F$11-$E$11)/($G$11-$E$11),$E$11+SQRT(U498*($G$11-$E$11)*($F$11-$E$11)),$G$11-SQRT((1-U498)*($G$11-$E$11)*($G$11-$F$11))))</f>
        <v>0.0920564322887118</v>
      </c>
      <c r="H498" s="53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-1913251291.42451</v>
      </c>
      <c r="I498" s="53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-14638040.2482645</v>
      </c>
      <c r="J498" s="53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258567138.601304</v>
      </c>
      <c r="K498" s="53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579603599.736486</v>
      </c>
      <c r="L498" s="53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700524180.351326</v>
      </c>
      <c r="M498" s="53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864711212.508738</v>
      </c>
      <c r="N498" s="53" t="n">
        <f aca="false">IF(COUNT('Business Case'!B11:G11)=0,"",H498+NPV(G498,I498:M498))</f>
        <v>-215533935.085511</v>
      </c>
      <c r="P498" s="54" t="n">
        <f aca="true">RAND()</f>
        <v>0.294534943181708</v>
      </c>
      <c r="Q498" s="54" t="n">
        <f aca="true">RAND()</f>
        <v>0.109596405019149</v>
      </c>
      <c r="R498" s="54" t="n">
        <f aca="true">RAND()</f>
        <v>0.00517813328340174</v>
      </c>
      <c r="S498" s="54" t="n">
        <f aca="true">RAND()</f>
        <v>0.731901687612911</v>
      </c>
      <c r="T498" s="54" t="n">
        <f aca="true">RAND()</f>
        <v>0.00351193448834822</v>
      </c>
      <c r="U498" s="54" t="n">
        <f aca="true">RAND()</f>
        <v>0.0140963791935217</v>
      </c>
    </row>
    <row r="499" customFormat="false" ht="15" hidden="false" customHeight="false" outlineLevel="0" collapsed="false">
      <c r="A499" s="50" t="n">
        <v>419</v>
      </c>
      <c r="B499" s="51" t="n">
        <f aca="false">1+IF($G$6=$E$6,$F$6,IF(P499&lt;($F$6-$E$6)/($G$6-$E$6),$E$6+SQRT(P499*($G$6-$E$6)*($F$6-$E$6)),$G$6-SQRT((1-P499)*($G$6-$E$6)*($G$6-$F$6))))</f>
        <v>0.998065234170595</v>
      </c>
      <c r="C499" s="51" t="n">
        <f aca="false">1+IF($G$7=$E$7,$F$7,IF(Q499&lt;($F$7-$E$7)/($G$7-$E$7),$E$7+SQRT(Q499*($G$7-$E$7)*($F$7-$E$7)),$G$7-SQRT((1-Q499)*($G$7-$E$7)*($G$7-$F$7))))</f>
        <v>0.878876067664698</v>
      </c>
      <c r="D499" s="51" t="n">
        <f aca="false">1+IF($G$8=$E$8,$F$8,IF(R499&lt;($F$8-$E$8)/($G$8-$E$8),$E$8+SQRT(R499*($G$8-$E$8)*($F$8-$E$8)),$G$8-SQRT((1-R499)*($G$8-$E$8)*($G$8-$F$8))))</f>
        <v>1.04315953496999</v>
      </c>
      <c r="E499" s="51" t="n">
        <f aca="false">1+IF($G$9=$E$9,$F$9,IF(S499&lt;($F$9-$E$9)/($G$9-$E$9),$E$9+SQRT(S499*($G$9-$E$9)*($F$9-$E$9)),$G$9-SQRT((1-S499)*($G$9-$E$9)*($G$9-$F$9))))</f>
        <v>0.995784656917532</v>
      </c>
      <c r="F499" s="51" t="n">
        <f aca="false">1+IF($G$10=$E$10,$F$10,IF(T499&lt;($F$10-$E$10)/($G$10-$E$10),$E$10+SQRT(T499*($G$10-$E$10)*($F$10-$E$10)),$G$10-SQRT((1-T499)*($G$10-$E$10)*($G$10-$F$10))))</f>
        <v>0.992072270126682</v>
      </c>
      <c r="G499" s="52" t="n">
        <f aca="false">IF($G$11=$E$11,$F$11,IF(U499&lt;($F$11-$E$11)/($G$11-$E$11),$E$11+SQRT(U499*($G$11-$E$11)*($F$11-$E$11)),$G$11-SQRT((1-U499)*($G$11-$E$11)*($G$11-$F$11))))</f>
        <v>0.108593094984015</v>
      </c>
      <c r="H499" s="53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-1984144540.25336</v>
      </c>
      <c r="I499" s="53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-37142904.0298159</v>
      </c>
      <c r="J499" s="53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211994782.773581</v>
      </c>
      <c r="K499" s="53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510736083.083312</v>
      </c>
      <c r="L499" s="53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624097169.089025</v>
      </c>
      <c r="M499" s="53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790830716.31422</v>
      </c>
      <c r="N499" s="53" t="n">
        <f aca="false">IF(COUNT('Business Case'!B11:G11)=0,"",H499+NPV(G499,I499:M499))</f>
        <v>-584774709.505567</v>
      </c>
      <c r="P499" s="54" t="n">
        <f aca="true">RAND()</f>
        <v>0.634810498553099</v>
      </c>
      <c r="Q499" s="54" t="n">
        <f aca="true">RAND()</f>
        <v>0.0888776292892281</v>
      </c>
      <c r="R499" s="54" t="n">
        <f aca="true">RAND()</f>
        <v>0.8694980900358</v>
      </c>
      <c r="S499" s="54" t="n">
        <f aca="true">RAND()</f>
        <v>0.279497974540813</v>
      </c>
      <c r="T499" s="54" t="n">
        <f aca="true">RAND()</f>
        <v>0.141606073088996</v>
      </c>
      <c r="U499" s="54" t="n">
        <f aca="true">RAND()</f>
        <v>0.783137529927169</v>
      </c>
    </row>
    <row r="500" customFormat="false" ht="15" hidden="false" customHeight="false" outlineLevel="0" collapsed="false">
      <c r="A500" s="50" t="n">
        <v>420</v>
      </c>
      <c r="B500" s="51" t="n">
        <f aca="false">1+IF($G$6=$E$6,$F$6,IF(P500&lt;($F$6-$E$6)/($G$6-$E$6),$E$6+SQRT(P500*($G$6-$E$6)*($F$6-$E$6)),$G$6-SQRT((1-P500)*($G$6-$E$6)*($G$6-$F$6))))</f>
        <v>0.98921013913086</v>
      </c>
      <c r="C500" s="51" t="n">
        <f aca="false">1+IF($G$7=$E$7,$F$7,IF(Q500&lt;($F$7-$E$7)/($G$7-$E$7),$E$7+SQRT(Q500*($G$7-$E$7)*($F$7-$E$7)),$G$7-SQRT((1-Q500)*($G$7-$E$7)*($G$7-$F$7))))</f>
        <v>1.01172294163865</v>
      </c>
      <c r="D500" s="51" t="n">
        <f aca="false">1+IF($G$8=$E$8,$F$8,IF(R500&lt;($F$8-$E$8)/($G$8-$E$8),$E$8+SQRT(R500*($G$8-$E$8)*($F$8-$E$8)),$G$8-SQRT((1-R500)*($G$8-$E$8)*($G$8-$F$8))))</f>
        <v>0.995523956109823</v>
      </c>
      <c r="E500" s="51" t="n">
        <f aca="false">1+IF($G$9=$E$9,$F$9,IF(S500&lt;($F$9-$E$9)/($G$9-$E$9),$E$9+SQRT(S500*($G$9-$E$9)*($F$9-$E$9)),$G$9-SQRT((1-S500)*($G$9-$E$9)*($G$9-$F$9))))</f>
        <v>0.991969880192562</v>
      </c>
      <c r="F500" s="51" t="n">
        <f aca="false">1+IF($G$10=$E$10,$F$10,IF(T500&lt;($F$10-$E$10)/($G$10-$E$10),$E$10+SQRT(T500*($G$10-$E$10)*($F$10-$E$10)),$G$10-SQRT((1-T500)*($G$10-$E$10)*($G$10-$F$10))))</f>
        <v>1.02198156658146</v>
      </c>
      <c r="G500" s="52" t="n">
        <f aca="false">IF($G$11=$E$11,$F$11,IF(U500&lt;($F$11-$E$11)/($G$11-$E$11),$E$11+SQRT(U500*($G$11-$E$11)*($F$11-$E$11)),$G$11-SQRT((1-U500)*($G$11-$E$11)*($G$11-$F$11))))</f>
        <v>0.0989346663181254</v>
      </c>
      <c r="H500" s="53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-2043963133.16293</v>
      </c>
      <c r="I500" s="53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8991599.24086939</v>
      </c>
      <c r="J500" s="53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313121285.825303</v>
      </c>
      <c r="K500" s="53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668350050.73881</v>
      </c>
      <c r="L500" s="53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804314488.748312</v>
      </c>
      <c r="M500" s="53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994547805.729109</v>
      </c>
      <c r="N500" s="53" t="n">
        <f aca="false">IF(COUNT('Business Case'!B11:G11)=0,"",H500+NPV(G500,I500:M500))</f>
        <v>-100872087.203937</v>
      </c>
      <c r="P500" s="54" t="n">
        <f aca="true">RAND()</f>
        <v>0.498962849845099</v>
      </c>
      <c r="Q500" s="54" t="n">
        <f aca="true">RAND()</f>
        <v>0.635799145351088</v>
      </c>
      <c r="R500" s="54" t="n">
        <f aca="true">RAND()</f>
        <v>0.318835473829093</v>
      </c>
      <c r="S500" s="54" t="n">
        <f aca="true">RAND()</f>
        <v>0.234862779117069</v>
      </c>
      <c r="T500" s="54" t="n">
        <f aca="true">RAND()</f>
        <v>0.366188747264206</v>
      </c>
      <c r="U500" s="54" t="n">
        <f aca="true">RAND()</f>
        <v>0.266094207387482</v>
      </c>
    </row>
    <row r="501" customFormat="false" ht="15" hidden="false" customHeight="false" outlineLevel="0" collapsed="false">
      <c r="A501" s="50" t="n">
        <v>421</v>
      </c>
      <c r="B501" s="51" t="n">
        <f aca="false">1+IF($G$6=$E$6,$F$6,IF(P501&lt;($F$6-$E$6)/($G$6-$E$6),$E$6+SQRT(P501*($G$6-$E$6)*($F$6-$E$6)),$G$6-SQRT((1-P501)*($G$6-$E$6)*($G$6-$F$6))))</f>
        <v>0.988446979866836</v>
      </c>
      <c r="C501" s="51" t="n">
        <f aca="false">1+IF($G$7=$E$7,$F$7,IF(Q501&lt;($F$7-$E$7)/($G$7-$E$7),$E$7+SQRT(Q501*($G$7-$E$7)*($F$7-$E$7)),$G$7-SQRT((1-Q501)*($G$7-$E$7)*($G$7-$F$7))))</f>
        <v>1.00620077923367</v>
      </c>
      <c r="D501" s="51" t="n">
        <f aca="false">1+IF($G$8=$E$8,$F$8,IF(R501&lt;($F$8-$E$8)/($G$8-$E$8),$E$8+SQRT(R501*($G$8-$E$8)*($F$8-$E$8)),$G$8-SQRT((1-R501)*($G$8-$E$8)*($G$8-$F$8))))</f>
        <v>1.00407808871677</v>
      </c>
      <c r="E501" s="51" t="n">
        <f aca="false">1+IF($G$9=$E$9,$F$9,IF(S501&lt;($F$9-$E$9)/($G$9-$E$9),$E$9+SQRT(S501*($G$9-$E$9)*($F$9-$E$9)),$G$9-SQRT((1-S501)*($G$9-$E$9)*($G$9-$F$9))))</f>
        <v>0.979691466230476</v>
      </c>
      <c r="F501" s="51" t="n">
        <f aca="false">1+IF($G$10=$E$10,$F$10,IF(T501&lt;($F$10-$E$10)/($G$10-$E$10),$E$10+SQRT(T501*($G$10-$E$10)*($F$10-$E$10)),$G$10-SQRT((1-T501)*($G$10-$E$10)*($G$10-$F$10))))</f>
        <v>1.10087321843687</v>
      </c>
      <c r="G501" s="52" t="n">
        <f aca="false">IF($G$11=$E$11,$F$11,IF(U501&lt;($F$11-$E$11)/($G$11-$E$11),$E$11+SQRT(U501*($G$11-$E$11)*($F$11-$E$11)),$G$11-SQRT((1-U501)*($G$11-$E$11)*($G$11-$F$11))))</f>
        <v>0.102193224957194</v>
      </c>
      <c r="H501" s="53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-2201746436.87374</v>
      </c>
      <c r="I501" s="53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-3523724.75832815</v>
      </c>
      <c r="J501" s="53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293910824.95699</v>
      </c>
      <c r="K501" s="53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646389035.594151</v>
      </c>
      <c r="L501" s="53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779906436.253914</v>
      </c>
      <c r="M501" s="53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968955465.404527</v>
      </c>
      <c r="N501" s="53" t="n">
        <f aca="false">IF(COUNT('Business Case'!B11:G11)=0,"",H501+NPV(G501,I501:M501))</f>
        <v>-356117136.757487</v>
      </c>
      <c r="P501" s="54" t="n">
        <f aca="true">RAND()</f>
        <v>0.488019693009482</v>
      </c>
      <c r="Q501" s="54" t="n">
        <f aca="true">RAND()</f>
        <v>0.606129221085629</v>
      </c>
      <c r="R501" s="54" t="n">
        <f aca="true">RAND()</f>
        <v>0.445756094913646</v>
      </c>
      <c r="S501" s="54" t="n">
        <f aca="true">RAND()</f>
        <v>0.117544422255401</v>
      </c>
      <c r="T501" s="54" t="n">
        <f aca="true">RAND()</f>
        <v>0.803477623538711</v>
      </c>
      <c r="U501" s="54" t="n">
        <f aca="true">RAND()</f>
        <v>0.471531270958198</v>
      </c>
    </row>
    <row r="502" customFormat="false" ht="15" hidden="false" customHeight="false" outlineLevel="0" collapsed="false">
      <c r="A502" s="50" t="n">
        <v>422</v>
      </c>
      <c r="B502" s="51" t="n">
        <f aca="false">1+IF($G$6=$E$6,$F$6,IF(P502&lt;($F$6-$E$6)/($G$6-$E$6),$E$6+SQRT(P502*($G$6-$E$6)*($F$6-$E$6)),$G$6-SQRT((1-P502)*($G$6-$E$6)*($G$6-$F$6))))</f>
        <v>0.977716555298264</v>
      </c>
      <c r="C502" s="51" t="n">
        <f aca="false">1+IF($G$7=$E$7,$F$7,IF(Q502&lt;($F$7-$E$7)/($G$7-$E$7),$E$7+SQRT(Q502*($G$7-$E$7)*($F$7-$E$7)),$G$7-SQRT((1-Q502)*($G$7-$E$7)*($G$7-$F$7))))</f>
        <v>0.898466299917133</v>
      </c>
      <c r="D502" s="51" t="n">
        <f aca="false">1+IF($G$8=$E$8,$F$8,IF(R502&lt;($F$8-$E$8)/($G$8-$E$8),$E$8+SQRT(R502*($G$8-$E$8)*($F$8-$E$8)),$G$8-SQRT((1-R502)*($G$8-$E$8)*($G$8-$F$8))))</f>
        <v>0.989277053444552</v>
      </c>
      <c r="E502" s="51" t="n">
        <f aca="false">1+IF($G$9=$E$9,$F$9,IF(S502&lt;($F$9-$E$9)/($G$9-$E$9),$E$9+SQRT(S502*($G$9-$E$9)*($F$9-$E$9)),$G$9-SQRT((1-S502)*($G$9-$E$9)*($G$9-$F$9))))</f>
        <v>1.07662770621782</v>
      </c>
      <c r="F502" s="51" t="n">
        <f aca="false">1+IF($G$10=$E$10,$F$10,IF(T502&lt;($F$10-$E$10)/($G$10-$E$10),$E$10+SQRT(T502*($G$10-$E$10)*($F$10-$E$10)),$G$10-SQRT((1-T502)*($G$10-$E$10)*($G$10-$F$10))))</f>
        <v>1.07708599808124</v>
      </c>
      <c r="G502" s="52" t="n">
        <f aca="false">IF($G$11=$E$11,$F$11,IF(U502&lt;($F$11-$E$11)/($G$11-$E$11),$E$11+SQRT(U502*($G$11-$E$11)*($F$11-$E$11)),$G$11-SQRT((1-U502)*($G$11-$E$11)*($G$11-$F$11))))</f>
        <v>0.101442944181098</v>
      </c>
      <c r="H502" s="53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-2154171996.16249</v>
      </c>
      <c r="I502" s="53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-41844582.5202193</v>
      </c>
      <c r="J502" s="53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222654502.873672</v>
      </c>
      <c r="K502" s="53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541007888.171626</v>
      </c>
      <c r="L502" s="53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659533322.157464</v>
      </c>
      <c r="M502" s="53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826508219.190774</v>
      </c>
      <c r="N502" s="53" t="n">
        <f aca="false">IF(COUNT('Business Case'!B11:G11)=0,"",H502+NPV(G502,I502:M502))</f>
        <v>-645802642.7634</v>
      </c>
      <c r="P502" s="54" t="n">
        <f aca="true">RAND()</f>
        <v>0.347000078697663</v>
      </c>
      <c r="Q502" s="54" t="n">
        <f aca="true">RAND()</f>
        <v>0.138508745991011</v>
      </c>
      <c r="R502" s="54" t="n">
        <f aca="true">RAND()</f>
        <v>0.237336450351723</v>
      </c>
      <c r="S502" s="54" t="n">
        <f aca="true">RAND()</f>
        <v>0.963582392223975</v>
      </c>
      <c r="T502" s="54" t="n">
        <f aca="true">RAND()</f>
        <v>0.697842962646319</v>
      </c>
      <c r="U502" s="54" t="n">
        <f aca="true">RAND()</f>
        <v>0.426059465556925</v>
      </c>
    </row>
    <row r="503" customFormat="false" ht="15" hidden="false" customHeight="false" outlineLevel="0" collapsed="false">
      <c r="A503" s="50" t="n">
        <v>423</v>
      </c>
      <c r="B503" s="51" t="n">
        <f aca="false">1+IF($G$6=$E$6,$F$6,IF(P503&lt;($F$6-$E$6)/($G$6-$E$6),$E$6+SQRT(P503*($G$6-$E$6)*($F$6-$E$6)),$G$6-SQRT((1-P503)*($G$6-$E$6)*($G$6-$F$6))))</f>
        <v>0.96089717099367</v>
      </c>
      <c r="C503" s="51" t="n">
        <f aca="false">1+IF($G$7=$E$7,$F$7,IF(Q503&lt;($F$7-$E$7)/($G$7-$E$7),$E$7+SQRT(Q503*($G$7-$E$7)*($F$7-$E$7)),$G$7-SQRT((1-Q503)*($G$7-$E$7)*($G$7-$F$7))))</f>
        <v>0.945784545564111</v>
      </c>
      <c r="D503" s="51" t="n">
        <f aca="false">1+IF($G$8=$E$8,$F$8,IF(R503&lt;($F$8-$E$8)/($G$8-$E$8),$E$8+SQRT(R503*($G$8-$E$8)*($F$8-$E$8)),$G$8-SQRT((1-R503)*($G$8-$E$8)*($G$8-$F$8))))</f>
        <v>0.997631527178977</v>
      </c>
      <c r="E503" s="51" t="n">
        <f aca="false">1+IF($G$9=$E$9,$F$9,IF(S503&lt;($F$9-$E$9)/($G$9-$E$9),$E$9+SQRT(S503*($G$9-$E$9)*($F$9-$E$9)),$G$9-SQRT((1-S503)*($G$9-$E$9)*($G$9-$F$9))))</f>
        <v>1.06783443402268</v>
      </c>
      <c r="F503" s="51" t="n">
        <f aca="false">1+IF($G$10=$E$10,$F$10,IF(T503&lt;($F$10-$E$10)/($G$10-$E$10),$E$10+SQRT(T503*($G$10-$E$10)*($F$10-$E$10)),$G$10-SQRT((1-T503)*($G$10-$E$10)*($G$10-$F$10))))</f>
        <v>1.15843434797547</v>
      </c>
      <c r="G503" s="52" t="n">
        <f aca="false">IF($G$11=$E$11,$F$11,IF(U503&lt;($F$11-$E$11)/($G$11-$E$11),$E$11+SQRT(U503*($G$11-$E$11)*($F$11-$E$11)),$G$11-SQRT((1-U503)*($G$11-$E$11)*($G$11-$F$11))))</f>
        <v>0.106153660330141</v>
      </c>
      <c r="H503" s="53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-2316868695.95094</v>
      </c>
      <c r="I503" s="53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-53447040.3646499</v>
      </c>
      <c r="J503" s="53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207907690.413708</v>
      </c>
      <c r="K503" s="53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527184138.59084</v>
      </c>
      <c r="L503" s="53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645710568.735251</v>
      </c>
      <c r="M503" s="53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818455594.769183</v>
      </c>
      <c r="N503" s="53" t="n">
        <f aca="false">IF(COUNT('Business Case'!B11:G11)=0,"",H503+NPV(G503,I503:M503))</f>
        <v>-880247127.916672</v>
      </c>
      <c r="P503" s="54" t="n">
        <f aca="true">RAND()</f>
        <v>0.174226937008905</v>
      </c>
      <c r="Q503" s="54" t="n">
        <f aca="true">RAND()</f>
        <v>0.303616196076205</v>
      </c>
      <c r="R503" s="54" t="n">
        <f aca="true">RAND()</f>
        <v>0.34904036636948</v>
      </c>
      <c r="S503" s="54" t="n">
        <f aca="true">RAND()</f>
        <v>0.931025091023909</v>
      </c>
      <c r="T503" s="54" t="n">
        <f aca="true">RAND()</f>
        <v>0.965445931435514</v>
      </c>
      <c r="U503" s="54" t="n">
        <f aca="true">RAND()</f>
        <v>0.680464796244792</v>
      </c>
    </row>
    <row r="504" customFormat="false" ht="15" hidden="false" customHeight="false" outlineLevel="0" collapsed="false">
      <c r="A504" s="50" t="n">
        <v>424</v>
      </c>
      <c r="B504" s="51" t="n">
        <f aca="false">1+IF($G$6=$E$6,$F$6,IF(P504&lt;($F$6-$E$6)/($G$6-$E$6),$E$6+SQRT(P504*($G$6-$E$6)*($F$6-$E$6)),$G$6-SQRT((1-P504)*($G$6-$E$6)*($G$6-$F$6))))</f>
        <v>0.992380635188962</v>
      </c>
      <c r="C504" s="51" t="n">
        <f aca="false">1+IF($G$7=$E$7,$F$7,IF(Q504&lt;($F$7-$E$7)/($G$7-$E$7),$E$7+SQRT(Q504*($G$7-$E$7)*($F$7-$E$7)),$G$7-SQRT((1-Q504)*($G$7-$E$7)*($G$7-$F$7))))</f>
        <v>0.940684279780577</v>
      </c>
      <c r="D504" s="51" t="n">
        <f aca="false">1+IF($G$8=$E$8,$F$8,IF(R504&lt;($F$8-$E$8)/($G$8-$E$8),$E$8+SQRT(R504*($G$8-$E$8)*($F$8-$E$8)),$G$8-SQRT((1-R504)*($G$8-$E$8)*($G$8-$F$8))))</f>
        <v>0.969632058047182</v>
      </c>
      <c r="E504" s="51" t="n">
        <f aca="false">1+IF($G$9=$E$9,$F$9,IF(S504&lt;($F$9-$E$9)/($G$9-$E$9),$E$9+SQRT(S504*($G$9-$E$9)*($F$9-$E$9)),$G$9-SQRT((1-S504)*($G$9-$E$9)*($G$9-$F$9))))</f>
        <v>0.993920591432308</v>
      </c>
      <c r="F504" s="51" t="n">
        <f aca="false">1+IF($G$10=$E$10,$F$10,IF(T504&lt;($F$10-$E$10)/($G$10-$E$10),$E$10+SQRT(T504*($G$10-$E$10)*($F$10-$E$10)),$G$10-SQRT((1-T504)*($G$10-$E$10)*($G$10-$F$10))))</f>
        <v>0.995439603212581</v>
      </c>
      <c r="G504" s="52" t="n">
        <f aca="false">IF($G$11=$E$11,$F$11,IF(U504&lt;($F$11-$E$11)/($G$11-$E$11),$E$11+SQRT(U504*($G$11-$E$11)*($F$11-$E$11)),$G$11-SQRT((1-U504)*($G$11-$E$11)*($G$11-$F$11))))</f>
        <v>0.100708608933422</v>
      </c>
      <c r="H504" s="53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-1990879206.42516</v>
      </c>
      <c r="I504" s="53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8413282.18485099</v>
      </c>
      <c r="J504" s="53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306099546.974749</v>
      </c>
      <c r="K504" s="53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653557791.925276</v>
      </c>
      <c r="L504" s="53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785048889.643319</v>
      </c>
      <c r="M504" s="53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962491774.97774</v>
      </c>
      <c r="N504" s="53" t="n">
        <f aca="false">IF(COUNT('Business Case'!B11:G11)=0,"",H504+NPV(G504,I504:M504))</f>
        <v>-109976593.91516</v>
      </c>
      <c r="P504" s="54" t="n">
        <f aca="true">RAND()</f>
        <v>0.545724619828912</v>
      </c>
      <c r="Q504" s="54" t="n">
        <f aca="true">RAND()</f>
        <v>0.282743808248281</v>
      </c>
      <c r="R504" s="54" t="n">
        <f aca="true">RAND()</f>
        <v>0.0592950312566032</v>
      </c>
      <c r="S504" s="54" t="n">
        <f aca="true">RAND()</f>
        <v>0.257202446901834</v>
      </c>
      <c r="T504" s="54" t="n">
        <f aca="true">RAND()</f>
        <v>0.165180603209342</v>
      </c>
      <c r="U504" s="54" t="n">
        <f aca="true">RAND()</f>
        <v>0.379737051193915</v>
      </c>
    </row>
    <row r="505" customFormat="false" ht="15" hidden="false" customHeight="false" outlineLevel="0" collapsed="false">
      <c r="A505" s="50" t="n">
        <v>425</v>
      </c>
      <c r="B505" s="51" t="n">
        <f aca="false">1+IF($G$6=$E$6,$F$6,IF(P505&lt;($F$6-$E$6)/($G$6-$E$6),$E$6+SQRT(P505*($G$6-$E$6)*($F$6-$E$6)),$G$6-SQRT((1-P505)*($G$6-$E$6)*($G$6-$F$6))))</f>
        <v>1.0350206261838</v>
      </c>
      <c r="C505" s="51" t="n">
        <f aca="false">1+IF($G$7=$E$7,$F$7,IF(Q505&lt;($F$7-$E$7)/($G$7-$E$7),$E$7+SQRT(Q505*($G$7-$E$7)*($F$7-$E$7)),$G$7-SQRT((1-Q505)*($G$7-$E$7)*($G$7-$F$7))))</f>
        <v>1.05334569298783</v>
      </c>
      <c r="D505" s="51" t="n">
        <f aca="false">1+IF($G$8=$E$8,$F$8,IF(R505&lt;($F$8-$E$8)/($G$8-$E$8),$E$8+SQRT(R505*($G$8-$E$8)*($F$8-$E$8)),$G$8-SQRT((1-R505)*($G$8-$E$8)*($G$8-$F$8))))</f>
        <v>0.980017423720223</v>
      </c>
      <c r="E505" s="51" t="n">
        <f aca="false">1+IF($G$9=$E$9,$F$9,IF(S505&lt;($F$9-$E$9)/($G$9-$E$9),$E$9+SQRT(S505*($G$9-$E$9)*($F$9-$E$9)),$G$9-SQRT((1-S505)*($G$9-$E$9)*($G$9-$F$9))))</f>
        <v>0.979408925909212</v>
      </c>
      <c r="F505" s="51" t="n">
        <f aca="false">1+IF($G$10=$E$10,$F$10,IF(T505&lt;($F$10-$E$10)/($G$10-$E$10),$E$10+SQRT(T505*($G$10-$E$10)*($F$10-$E$10)),$G$10-SQRT((1-T505)*($G$10-$E$10)*($G$10-$F$10))))</f>
        <v>1.03666140136289</v>
      </c>
      <c r="G505" s="52" t="n">
        <f aca="false">IF($G$11=$E$11,$F$11,IF(U505&lt;($F$11-$E$11)/($G$11-$E$11),$E$11+SQRT(U505*($G$11-$E$11)*($F$11-$E$11)),$G$11-SQRT((1-U505)*($G$11-$E$11)*($G$11-$F$11))))</f>
        <v>0.108555426560147</v>
      </c>
      <c r="H505" s="53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-2073322802.72577</v>
      </c>
      <c r="I505" s="53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65071172.9029062</v>
      </c>
      <c r="J505" s="53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429598192.658094</v>
      </c>
      <c r="K505" s="53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845958282.481426</v>
      </c>
      <c r="L505" s="53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1005145794.03429</v>
      </c>
      <c r="M505" s="53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1212377571.3572</v>
      </c>
      <c r="N505" s="53" t="n">
        <f aca="false">IF(COUNT('Business Case'!B11:G11)=0,"",H505+NPV(G505,I505:M505))</f>
        <v>345701689.122134</v>
      </c>
      <c r="P505" s="54" t="n">
        <f aca="true">RAND()</f>
        <v>0.994834549249695</v>
      </c>
      <c r="Q505" s="54" t="n">
        <f aca="true">RAND()</f>
        <v>0.822056094019005</v>
      </c>
      <c r="R505" s="54" t="n">
        <f aca="true">RAND()</f>
        <v>0.138622419507603</v>
      </c>
      <c r="S505" s="54" t="n">
        <f aca="true">RAND()</f>
        <v>0.115317989751134</v>
      </c>
      <c r="T505" s="54" t="n">
        <f aca="true">RAND()</f>
        <v>0.466410043905276</v>
      </c>
      <c r="U505" s="54" t="n">
        <f aca="true">RAND()</f>
        <v>0.781702897966356</v>
      </c>
    </row>
    <row r="506" customFormat="false" ht="15" hidden="false" customHeight="false" outlineLevel="0" collapsed="false">
      <c r="A506" s="50" t="n">
        <v>426</v>
      </c>
      <c r="B506" s="51" t="n">
        <f aca="false">1+IF($G$6=$E$6,$F$6,IF(P506&lt;($F$6-$E$6)/($G$6-$E$6),$E$6+SQRT(P506*($G$6-$E$6)*($F$6-$E$6)),$G$6-SQRT((1-P506)*($G$6-$E$6)*($G$6-$F$6))))</f>
        <v>1.02072236929829</v>
      </c>
      <c r="C506" s="51" t="n">
        <f aca="false">1+IF($G$7=$E$7,$F$7,IF(Q506&lt;($F$7-$E$7)/($G$7-$E$7),$E$7+SQRT(Q506*($G$7-$E$7)*($F$7-$E$7)),$G$7-SQRT((1-Q506)*($G$7-$E$7)*($G$7-$F$7))))</f>
        <v>1.10468321729926</v>
      </c>
      <c r="D506" s="51" t="n">
        <f aca="false">1+IF($G$8=$E$8,$F$8,IF(R506&lt;($F$8-$E$8)/($G$8-$E$8),$E$8+SQRT(R506*($G$8-$E$8)*($F$8-$E$8)),$G$8-SQRT((1-R506)*($G$8-$E$8)*($G$8-$F$8))))</f>
        <v>0.966545720675793</v>
      </c>
      <c r="E506" s="51" t="n">
        <f aca="false">1+IF($G$9=$E$9,$F$9,IF(S506&lt;($F$9-$E$9)/($G$9-$E$9),$E$9+SQRT(S506*($G$9-$E$9)*($F$9-$E$9)),$G$9-SQRT((1-S506)*($G$9-$E$9)*($G$9-$F$9))))</f>
        <v>1.01565354032798</v>
      </c>
      <c r="F506" s="51" t="n">
        <f aca="false">1+IF($G$10=$E$10,$F$10,IF(T506&lt;($F$10-$E$10)/($G$10-$E$10),$E$10+SQRT(T506*($G$10-$E$10)*($F$10-$E$10)),$G$10-SQRT((1-T506)*($G$10-$E$10)*($G$10-$F$10))))</f>
        <v>1.0280594905159</v>
      </c>
      <c r="G506" s="52" t="n">
        <f aca="false">IF($G$11=$E$11,$F$11,IF(U506&lt;($F$11-$E$11)/($G$11-$E$11),$E$11+SQRT(U506*($G$11-$E$11)*($F$11-$E$11)),$G$11-SQRT((1-U506)*($G$11-$E$11)*($G$11-$F$11))))</f>
        <v>0.11200129774844</v>
      </c>
      <c r="H506" s="53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-2056118981.0318</v>
      </c>
      <c r="I506" s="53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71288918.7720257</v>
      </c>
      <c r="J506" s="53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448263201.336998</v>
      </c>
      <c r="K506" s="53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876640458.427766</v>
      </c>
      <c r="L506" s="53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1041267540.1539</v>
      </c>
      <c r="M506" s="53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1255596971.61187</v>
      </c>
      <c r="N506" s="53" t="n">
        <f aca="false">IF(COUNT('Business Case'!B11:G11)=0,"",H506+NPV(G506,I506:M506))</f>
        <v>427484359.680633</v>
      </c>
      <c r="P506" s="54" t="n">
        <f aca="true">RAND()</f>
        <v>0.92257769886012</v>
      </c>
      <c r="Q506" s="54" t="n">
        <f aca="true">RAND()</f>
        <v>0.960883603917211</v>
      </c>
      <c r="R506" s="54" t="n">
        <f aca="true">RAND()</f>
        <v>0.0421170573355934</v>
      </c>
      <c r="S506" s="54" t="n">
        <f aca="true">RAND()</f>
        <v>0.525711649386437</v>
      </c>
      <c r="T506" s="54" t="n">
        <f aca="true">RAND()</f>
        <v>0.408729223966972</v>
      </c>
      <c r="U506" s="54" t="n">
        <f aca="true">RAND()</f>
        <v>0.893367937151478</v>
      </c>
    </row>
    <row r="507" customFormat="false" ht="15" hidden="false" customHeight="false" outlineLevel="0" collapsed="false">
      <c r="A507" s="50" t="n">
        <v>427</v>
      </c>
      <c r="B507" s="51" t="n">
        <f aca="false">1+IF($G$6=$E$6,$F$6,IF(P507&lt;($F$6-$E$6)/($G$6-$E$6),$E$6+SQRT(P507*($G$6-$E$6)*($F$6-$E$6)),$G$6-SQRT((1-P507)*($G$6-$E$6)*($G$6-$F$6))))</f>
        <v>0.96372170934003</v>
      </c>
      <c r="C507" s="51" t="n">
        <f aca="false">1+IF($G$7=$E$7,$F$7,IF(Q507&lt;($F$7-$E$7)/($G$7-$E$7),$E$7+SQRT(Q507*($G$7-$E$7)*($F$7-$E$7)),$G$7-SQRT((1-Q507)*($G$7-$E$7)*($G$7-$F$7))))</f>
        <v>1.05569755931312</v>
      </c>
      <c r="D507" s="51" t="n">
        <f aca="false">1+IF($G$8=$E$8,$F$8,IF(R507&lt;($F$8-$E$8)/($G$8-$E$8),$E$8+SQRT(R507*($G$8-$E$8)*($F$8-$E$8)),$G$8-SQRT((1-R507)*($G$8-$E$8)*($G$8-$F$8))))</f>
        <v>0.981551155652899</v>
      </c>
      <c r="E507" s="51" t="n">
        <f aca="false">1+IF($G$9=$E$9,$F$9,IF(S507&lt;($F$9-$E$9)/($G$9-$E$9),$E$9+SQRT(S507*($G$9-$E$9)*($F$9-$E$9)),$G$9-SQRT((1-S507)*($G$9-$E$9)*($G$9-$F$9))))</f>
        <v>1.005282402712</v>
      </c>
      <c r="F507" s="51" t="n">
        <f aca="false">1+IF($G$10=$E$10,$F$10,IF(T507&lt;($F$10-$E$10)/($G$10-$E$10),$E$10+SQRT(T507*($G$10-$E$10)*($F$10-$E$10)),$G$10-SQRT((1-T507)*($G$10-$E$10)*($G$10-$F$10))))</f>
        <v>1.03179678572345</v>
      </c>
      <c r="G507" s="52" t="n">
        <f aca="false">IF($G$11=$E$11,$F$11,IF(U507&lt;($F$11-$E$11)/($G$11-$E$11),$E$11+SQRT(U507*($G$11-$E$11)*($F$11-$E$11)),$G$11-SQRT((1-U507)*($G$11-$E$11)*($G$11-$F$11))))</f>
        <v>0.0967663960692397</v>
      </c>
      <c r="H507" s="53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-2063593571.4469</v>
      </c>
      <c r="I507" s="53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3987633.81324041</v>
      </c>
      <c r="J507" s="53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306848050.212628</v>
      </c>
      <c r="K507" s="53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661298305.898187</v>
      </c>
      <c r="L507" s="53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797413075.596754</v>
      </c>
      <c r="M507" s="53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990800212.206661</v>
      </c>
      <c r="N507" s="53" t="n">
        <f aca="false">IF(COUNT('Business Case'!B11:G11)=0,"",H507+NPV(G507,I507:M507))</f>
        <v>-128188903.073109</v>
      </c>
      <c r="P507" s="54" t="n">
        <f aca="true">RAND()</f>
        <v>0.199123736209797</v>
      </c>
      <c r="Q507" s="54" t="n">
        <f aca="true">RAND()</f>
        <v>0.830610470104729</v>
      </c>
      <c r="R507" s="54" t="n">
        <f aca="true">RAND()</f>
        <v>0.153150065082072</v>
      </c>
      <c r="S507" s="54" t="n">
        <f aca="true">RAND()</f>
        <v>0.401905117599154</v>
      </c>
      <c r="T507" s="54" t="n">
        <f aca="true">RAND()</f>
        <v>0.434153574140723</v>
      </c>
      <c r="U507" s="54" t="n">
        <f aca="true">RAND()</f>
        <v>0.152613719219407</v>
      </c>
    </row>
    <row r="508" customFormat="false" ht="15" hidden="false" customHeight="false" outlineLevel="0" collapsed="false">
      <c r="A508" s="50" t="n">
        <v>428</v>
      </c>
      <c r="B508" s="51" t="n">
        <f aca="false">1+IF($G$6=$E$6,$F$6,IF(P508&lt;($F$6-$E$6)/($G$6-$E$6),$E$6+SQRT(P508*($G$6-$E$6)*($F$6-$E$6)),$G$6-SQRT((1-P508)*($G$6-$E$6)*($G$6-$F$6))))</f>
        <v>0.969562123599133</v>
      </c>
      <c r="C508" s="51" t="n">
        <f aca="false">1+IF($G$7=$E$7,$F$7,IF(Q508&lt;($F$7-$E$7)/($G$7-$E$7),$E$7+SQRT(Q508*($G$7-$E$7)*($F$7-$E$7)),$G$7-SQRT((1-Q508)*($G$7-$E$7)*($G$7-$F$7))))</f>
        <v>0.998754721715429</v>
      </c>
      <c r="D508" s="51" t="n">
        <f aca="false">1+IF($G$8=$E$8,$F$8,IF(R508&lt;($F$8-$E$8)/($G$8-$E$8),$E$8+SQRT(R508*($G$8-$E$8)*($F$8-$E$8)),$G$8-SQRT((1-R508)*($G$8-$E$8)*($G$8-$F$8))))</f>
        <v>0.999535791002753</v>
      </c>
      <c r="E508" s="51" t="n">
        <f aca="false">1+IF($G$9=$E$9,$F$9,IF(S508&lt;($F$9-$E$9)/($G$9-$E$9),$E$9+SQRT(S508*($G$9-$E$9)*($F$9-$E$9)),$G$9-SQRT((1-S508)*($G$9-$E$9)*($G$9-$F$9))))</f>
        <v>0.96333417975555</v>
      </c>
      <c r="F508" s="51" t="n">
        <f aca="false">1+IF($G$10=$E$10,$F$10,IF(T508&lt;($F$10-$E$10)/($G$10-$E$10),$E$10+SQRT(T508*($G$10-$E$10)*($F$10-$E$10)),$G$10-SQRT((1-T508)*($G$10-$E$10)*($G$10-$F$10))))</f>
        <v>1.07058686370493</v>
      </c>
      <c r="G508" s="52" t="n">
        <f aca="false">IF($G$11=$E$11,$F$11,IF(U508&lt;($F$11-$E$11)/($G$11-$E$11),$E$11+SQRT(U508*($G$11-$E$11)*($F$11-$E$11)),$G$11-SQRT((1-U508)*($G$11-$E$11)*($G$11-$F$11))))</f>
        <v>0.10235972467186</v>
      </c>
      <c r="H508" s="53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-2141173727.40985</v>
      </c>
      <c r="I508" s="53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-12137231.1881459</v>
      </c>
      <c r="J508" s="53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269969854.540545</v>
      </c>
      <c r="K508" s="53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605606283.454482</v>
      </c>
      <c r="L508" s="53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733108318.820783</v>
      </c>
      <c r="M508" s="53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917173189.499502</v>
      </c>
      <c r="N508" s="53" t="n">
        <f aca="false">IF(COUNT('Business Case'!B11:G11)=0,"",H508+NPV(G508,I508:M508))</f>
        <v>-418064988.00157</v>
      </c>
      <c r="P508" s="54" t="n">
        <f aca="true">RAND()</f>
        <v>0.255875426630804</v>
      </c>
      <c r="Q508" s="54" t="n">
        <f aca="true">RAND()</f>
        <v>0.564334848631107</v>
      </c>
      <c r="R508" s="54" t="n">
        <f aca="true">RAND()</f>
        <v>0.377506860041298</v>
      </c>
      <c r="S508" s="54" t="n">
        <f aca="true">RAND()</f>
        <v>0.0237067133004436</v>
      </c>
      <c r="T508" s="54" t="n">
        <f aca="true">RAND()</f>
        <v>0.665044803085452</v>
      </c>
      <c r="U508" s="54" t="n">
        <f aca="true">RAND()</f>
        <v>0.481367810579</v>
      </c>
    </row>
    <row r="509" customFormat="false" ht="15" hidden="false" customHeight="false" outlineLevel="0" collapsed="false">
      <c r="A509" s="50" t="n">
        <v>429</v>
      </c>
      <c r="B509" s="51" t="n">
        <f aca="false">1+IF($G$6=$E$6,$F$6,IF(P509&lt;($F$6-$E$6)/($G$6-$E$6),$E$6+SQRT(P509*($G$6-$E$6)*($F$6-$E$6)),$G$6-SQRT((1-P509)*($G$6-$E$6)*($G$6-$F$6))))</f>
        <v>0.990168048196093</v>
      </c>
      <c r="C509" s="51" t="n">
        <f aca="false">1+IF($G$7=$E$7,$F$7,IF(Q509&lt;($F$7-$E$7)/($G$7-$E$7),$E$7+SQRT(Q509*($G$7-$E$7)*($F$7-$E$7)),$G$7-SQRT((1-Q509)*($G$7-$E$7)*($G$7-$F$7))))</f>
        <v>0.970336202095732</v>
      </c>
      <c r="D509" s="51" t="n">
        <f aca="false">1+IF($G$8=$E$8,$F$8,IF(R509&lt;($F$8-$E$8)/($G$8-$E$8),$E$8+SQRT(R509*($G$8-$E$8)*($F$8-$E$8)),$G$8-SQRT((1-R509)*($G$8-$E$8)*($G$8-$F$8))))</f>
        <v>1.02680558866412</v>
      </c>
      <c r="E509" s="51" t="n">
        <f aca="false">1+IF($G$9=$E$9,$F$9,IF(S509&lt;($F$9-$E$9)/($G$9-$E$9),$E$9+SQRT(S509*($G$9-$E$9)*($F$9-$E$9)),$G$9-SQRT((1-S509)*($G$9-$E$9)*($G$9-$F$9))))</f>
        <v>1.08417140415447</v>
      </c>
      <c r="F509" s="51" t="n">
        <f aca="false">1+IF($G$10=$E$10,$F$10,IF(T509&lt;($F$10-$E$10)/($G$10-$E$10),$E$10+SQRT(T509*($G$10-$E$10)*($F$10-$E$10)),$G$10-SQRT((1-T509)*($G$10-$E$10)*($G$10-$F$10))))</f>
        <v>1.15923878919288</v>
      </c>
      <c r="G509" s="52" t="n">
        <f aca="false">IF($G$11=$E$11,$F$11,IF(U509&lt;($F$11-$E$11)/($G$11-$E$11),$E$11+SQRT(U509*($G$11-$E$11)*($F$11-$E$11)),$G$11-SQRT((1-U509)*($G$11-$E$11)*($G$11-$F$11))))</f>
        <v>0.0974017724983324</v>
      </c>
      <c r="H509" s="53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-2318477578.38575</v>
      </c>
      <c r="I509" s="53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-42989459.5806662</v>
      </c>
      <c r="J509" s="53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233921793.056992</v>
      </c>
      <c r="K509" s="53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568794985.154294</v>
      </c>
      <c r="L509" s="53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694303842.452361</v>
      </c>
      <c r="M509" s="53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876931927.756023</v>
      </c>
      <c r="N509" s="53" t="n">
        <f aca="false">IF(COUNT('Business Case'!B11:G11)=0,"",H509+NPV(G509,I509:M509))</f>
        <v>-703316325.64672</v>
      </c>
      <c r="P509" s="54" t="n">
        <f aca="true">RAND()</f>
        <v>0.512870311213462</v>
      </c>
      <c r="Q509" s="54" t="n">
        <f aca="true">RAND()</f>
        <v>0.414491739205688</v>
      </c>
      <c r="R509" s="54" t="n">
        <f aca="true">RAND()</f>
        <v>0.727918711791303</v>
      </c>
      <c r="S509" s="54" t="n">
        <f aca="true">RAND()</f>
        <v>0.983297036903917</v>
      </c>
      <c r="T509" s="54" t="n">
        <f aca="true">RAND()</f>
        <v>0.966770473870746</v>
      </c>
      <c r="U509" s="54" t="n">
        <f aca="true">RAND()</f>
        <v>0.1826207870569</v>
      </c>
    </row>
    <row r="510" customFormat="false" ht="15" hidden="false" customHeight="false" outlineLevel="0" collapsed="false">
      <c r="A510" s="50" t="n">
        <v>430</v>
      </c>
      <c r="B510" s="51" t="n">
        <f aca="false">1+IF($G$6=$E$6,$F$6,IF(P510&lt;($F$6-$E$6)/($G$6-$E$6),$E$6+SQRT(P510*($G$6-$E$6)*($F$6-$E$6)),$G$6-SQRT((1-P510)*($G$6-$E$6)*($G$6-$F$6))))</f>
        <v>1.0214811210491</v>
      </c>
      <c r="C510" s="51" t="n">
        <f aca="false">1+IF($G$7=$E$7,$F$7,IF(Q510&lt;($F$7-$E$7)/($G$7-$E$7),$E$7+SQRT(Q510*($G$7-$E$7)*($F$7-$E$7)),$G$7-SQRT((1-Q510)*($G$7-$E$7)*($G$7-$F$7))))</f>
        <v>1.03923865756403</v>
      </c>
      <c r="D510" s="51" t="n">
        <f aca="false">1+IF($G$8=$E$8,$F$8,IF(R510&lt;($F$8-$E$8)/($G$8-$E$8),$E$8+SQRT(R510*($G$8-$E$8)*($F$8-$E$8)),$G$8-SQRT((1-R510)*($G$8-$E$8)*($G$8-$F$8))))</f>
        <v>1.02296270602629</v>
      </c>
      <c r="E510" s="51" t="n">
        <f aca="false">1+IF($G$9=$E$9,$F$9,IF(S510&lt;($F$9-$E$9)/($G$9-$E$9),$E$9+SQRT(S510*($G$9-$E$9)*($F$9-$E$9)),$G$9-SQRT((1-S510)*($G$9-$E$9)*($G$9-$F$9))))</f>
        <v>1.02007172401617</v>
      </c>
      <c r="F510" s="51" t="n">
        <f aca="false">1+IF($G$10=$E$10,$F$10,IF(T510&lt;($F$10-$E$10)/($G$10-$E$10),$E$10+SQRT(T510*($G$10-$E$10)*($F$10-$E$10)),$G$10-SQRT((1-T510)*($G$10-$E$10)*($G$10-$F$10))))</f>
        <v>1.16632476151641</v>
      </c>
      <c r="G510" s="52" t="n">
        <f aca="false">IF($G$11=$E$11,$F$11,IF(U510&lt;($F$11-$E$11)/($G$11-$E$11),$E$11+SQRT(U510*($G$11-$E$11)*($F$11-$E$11)),$G$11-SQRT((1-U510)*($G$11-$E$11)*($G$11-$F$11))))</f>
        <v>0.101746739435985</v>
      </c>
      <c r="H510" s="53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-2332649523.03282</v>
      </c>
      <c r="I510" s="53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8554799.17397611</v>
      </c>
      <c r="J510" s="53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333827682.413894</v>
      </c>
      <c r="K510" s="53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717416803.729632</v>
      </c>
      <c r="L510" s="53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862528703.982406</v>
      </c>
      <c r="M510" s="53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1064310536.09948</v>
      </c>
      <c r="N510" s="53" t="n">
        <f aca="false">IF(COUNT('Business Case'!B11:G11)=0,"",H510+NPV(G510,I510:M510))</f>
        <v>-272399386.380307</v>
      </c>
      <c r="P510" s="54" t="n">
        <f aca="true">RAND()</f>
        <v>0.928552317167037</v>
      </c>
      <c r="Q510" s="54" t="n">
        <f aca="true">RAND()</f>
        <v>0.766322381367271</v>
      </c>
      <c r="R510" s="54" t="n">
        <f aca="true">RAND()</f>
        <v>0.687187220784309</v>
      </c>
      <c r="S510" s="54" t="n">
        <f aca="true">RAND()</f>
        <v>0.574098046550208</v>
      </c>
      <c r="T510" s="54" t="n">
        <f aca="true">RAND()</f>
        <v>0.977319566261468</v>
      </c>
      <c r="U510" s="54" t="n">
        <f aca="true">RAND()</f>
        <v>0.444697464636974</v>
      </c>
    </row>
    <row r="511" customFormat="false" ht="15" hidden="false" customHeight="false" outlineLevel="0" collapsed="false">
      <c r="A511" s="50" t="n">
        <v>431</v>
      </c>
      <c r="B511" s="51" t="n">
        <f aca="false">1+IF($G$6=$E$6,$F$6,IF(P511&lt;($F$6-$E$6)/($G$6-$E$6),$E$6+SQRT(P511*($G$6-$E$6)*($F$6-$E$6)),$G$6-SQRT((1-P511)*($G$6-$E$6)*($G$6-$F$6))))</f>
        <v>0.974255973067566</v>
      </c>
      <c r="C511" s="51" t="n">
        <f aca="false">1+IF($G$7=$E$7,$F$7,IF(Q511&lt;($F$7-$E$7)/($G$7-$E$7),$E$7+SQRT(Q511*($G$7-$E$7)*($F$7-$E$7)),$G$7-SQRT((1-Q511)*($G$7-$E$7)*($G$7-$F$7))))</f>
        <v>0.99586395199992</v>
      </c>
      <c r="D511" s="51" t="n">
        <f aca="false">1+IF($G$8=$E$8,$F$8,IF(R511&lt;($F$8-$E$8)/($G$8-$E$8),$E$8+SQRT(R511*($G$8-$E$8)*($F$8-$E$8)),$G$8-SQRT((1-R511)*($G$8-$E$8)*($G$8-$F$8))))</f>
        <v>1.04418705571242</v>
      </c>
      <c r="E511" s="51" t="n">
        <f aca="false">1+IF($G$9=$E$9,$F$9,IF(S511&lt;($F$9-$E$9)/($G$9-$E$9),$E$9+SQRT(S511*($G$9-$E$9)*($F$9-$E$9)),$G$9-SQRT((1-S511)*($G$9-$E$9)*($G$9-$F$9))))</f>
        <v>1.00888760003865</v>
      </c>
      <c r="F511" s="51" t="n">
        <f aca="false">1+IF($G$10=$E$10,$F$10,IF(T511&lt;($F$10-$E$10)/($G$10-$E$10),$E$10+SQRT(T511*($G$10-$E$10)*($F$10-$E$10)),$G$10-SQRT((1-T511)*($G$10-$E$10)*($G$10-$F$10))))</f>
        <v>0.991354851524333</v>
      </c>
      <c r="G511" s="52" t="n">
        <f aca="false">IF($G$11=$E$11,$F$11,IF(U511&lt;($F$11-$E$11)/($G$11-$E$11),$E$11+SQRT(U511*($G$11-$E$11)*($F$11-$E$11)),$G$11-SQRT((1-U511)*($G$11-$E$11)*($G$11-$F$11))))</f>
        <v>0.098452984463424</v>
      </c>
      <c r="H511" s="53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-1982709703.04867</v>
      </c>
      <c r="I511" s="53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-30539911.2719527</v>
      </c>
      <c r="J511" s="53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231816016.096575</v>
      </c>
      <c r="K511" s="53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543739686.041319</v>
      </c>
      <c r="L511" s="53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664722686.339195</v>
      </c>
      <c r="M511" s="53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849143321.135216</v>
      </c>
      <c r="N511" s="53" t="n">
        <f aca="false">IF(COUNT('Business Case'!B11:G11)=0,"",H511+NPV(G511,I511:M511))</f>
        <v>-420588658.273493</v>
      </c>
      <c r="P511" s="54" t="n">
        <f aca="true">RAND()</f>
        <v>0.30663652224046</v>
      </c>
      <c r="Q511" s="54" t="n">
        <f aca="true">RAND()</f>
        <v>0.548038395614669</v>
      </c>
      <c r="R511" s="54" t="n">
        <f aca="true">RAND()</f>
        <v>0.876676252062971</v>
      </c>
      <c r="S511" s="54" t="n">
        <f aca="true">RAND()</f>
        <v>0.446568704885486</v>
      </c>
      <c r="T511" s="54" t="n">
        <f aca="true">RAND()</f>
        <v>0.136817899567972</v>
      </c>
      <c r="U511" s="54" t="n">
        <f aca="true">RAND()</f>
        <v>0.238176487796293</v>
      </c>
    </row>
    <row r="512" customFormat="false" ht="15" hidden="false" customHeight="false" outlineLevel="0" collapsed="false">
      <c r="A512" s="50" t="n">
        <v>432</v>
      </c>
      <c r="B512" s="51" t="n">
        <f aca="false">1+IF($G$6=$E$6,$F$6,IF(P512&lt;($F$6-$E$6)/($G$6-$E$6),$E$6+SQRT(P512*($G$6-$E$6)*($F$6-$E$6)),$G$6-SQRT((1-P512)*($G$6-$E$6)*($G$6-$F$6))))</f>
        <v>0.981592691277805</v>
      </c>
      <c r="C512" s="51" t="n">
        <f aca="false">1+IF($G$7=$E$7,$F$7,IF(Q512&lt;($F$7-$E$7)/($G$7-$E$7),$E$7+SQRT(Q512*($G$7-$E$7)*($F$7-$E$7)),$G$7-SQRT((1-Q512)*($G$7-$E$7)*($G$7-$F$7))))</f>
        <v>1.00955885741228</v>
      </c>
      <c r="D512" s="51" t="n">
        <f aca="false">1+IF($G$8=$E$8,$F$8,IF(R512&lt;($F$8-$E$8)/($G$8-$E$8),$E$8+SQRT(R512*($G$8-$E$8)*($F$8-$E$8)),$G$8-SQRT((1-R512)*($G$8-$E$8)*($G$8-$F$8))))</f>
        <v>1.01865794336829</v>
      </c>
      <c r="E512" s="51" t="n">
        <f aca="false">1+IF($G$9=$E$9,$F$9,IF(S512&lt;($F$9-$E$9)/($G$9-$E$9),$E$9+SQRT(S512*($G$9-$E$9)*($F$9-$E$9)),$G$9-SQRT((1-S512)*($G$9-$E$9)*($G$9-$F$9))))</f>
        <v>0.986526647676497</v>
      </c>
      <c r="F512" s="51" t="n">
        <f aca="false">1+IF($G$10=$E$10,$F$10,IF(T512&lt;($F$10-$E$10)/($G$10-$E$10),$E$10+SQRT(T512*($G$10-$E$10)*($F$10-$E$10)),$G$10-SQRT((1-T512)*($G$10-$E$10)*($G$10-$F$10))))</f>
        <v>0.992943539157206</v>
      </c>
      <c r="G512" s="52" t="n">
        <f aca="false">IF($G$11=$E$11,$F$11,IF(U512&lt;($F$11-$E$11)/($G$11-$E$11),$E$11+SQRT(U512*($G$11-$E$11)*($F$11-$E$11)),$G$11-SQRT((1-U512)*($G$11-$E$11)*($G$11-$F$11))))</f>
        <v>0.102917335684563</v>
      </c>
      <c r="H512" s="53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-1985887078.31441</v>
      </c>
      <c r="I512" s="53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-5726299.74089277</v>
      </c>
      <c r="J512" s="53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279498018.622432</v>
      </c>
      <c r="K512" s="53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614369513.943616</v>
      </c>
      <c r="L512" s="53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743692403.323991</v>
      </c>
      <c r="M512" s="53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932057044.583286</v>
      </c>
      <c r="N512" s="53" t="n">
        <f aca="false">IF(COUNT('Business Case'!B11:G11)=0,"",H512+NPV(G512,I512:M512))</f>
        <v>-229658286.485211</v>
      </c>
      <c r="P512" s="54" t="n">
        <f aca="true">RAND()</f>
        <v>0.395172876962815</v>
      </c>
      <c r="Q512" s="54" t="n">
        <f aca="true">RAND()</f>
        <v>0.624310199402989</v>
      </c>
      <c r="R512" s="54" t="n">
        <f aca="true">RAND()</f>
        <v>0.638187700787671</v>
      </c>
      <c r="S512" s="54" t="n">
        <f aca="true">RAND()</f>
        <v>0.177892798731057</v>
      </c>
      <c r="T512" s="54" t="n">
        <f aca="true">RAND()</f>
        <v>0.147531804427716</v>
      </c>
      <c r="U512" s="54" t="n">
        <f aca="true">RAND()</f>
        <v>0.513637633143493</v>
      </c>
    </row>
    <row r="513" customFormat="false" ht="15" hidden="false" customHeight="false" outlineLevel="0" collapsed="false">
      <c r="A513" s="50" t="n">
        <v>433</v>
      </c>
      <c r="B513" s="51" t="n">
        <f aca="false">1+IF($G$6=$E$6,$F$6,IF(P513&lt;($F$6-$E$6)/($G$6-$E$6),$E$6+SQRT(P513*($G$6-$E$6)*($F$6-$E$6)),$G$6-SQRT((1-P513)*($G$6-$E$6)*($G$6-$F$6))))</f>
        <v>1.02644031467921</v>
      </c>
      <c r="C513" s="51" t="n">
        <f aca="false">1+IF($G$7=$E$7,$F$7,IF(Q513&lt;($F$7-$E$7)/($G$7-$E$7),$E$7+SQRT(Q513*($G$7-$E$7)*($F$7-$E$7)),$G$7-SQRT((1-Q513)*($G$7-$E$7)*($G$7-$F$7))))</f>
        <v>0.92085316148925</v>
      </c>
      <c r="D513" s="51" t="n">
        <f aca="false">1+IF($G$8=$E$8,$F$8,IF(R513&lt;($F$8-$E$8)/($G$8-$E$8),$E$8+SQRT(R513*($G$8-$E$8)*($F$8-$E$8)),$G$8-SQRT((1-R513)*($G$8-$E$8)*($G$8-$F$8))))</f>
        <v>1.01537012482035</v>
      </c>
      <c r="E513" s="51" t="n">
        <f aca="false">1+IF($G$9=$E$9,$F$9,IF(S513&lt;($F$9-$E$9)/($G$9-$E$9),$E$9+SQRT(S513*($G$9-$E$9)*($F$9-$E$9)),$G$9-SQRT((1-S513)*($G$9-$E$9)*($G$9-$F$9))))</f>
        <v>0.961327451747269</v>
      </c>
      <c r="F513" s="51" t="n">
        <f aca="false">1+IF($G$10=$E$10,$F$10,IF(T513&lt;($F$10-$E$10)/($G$10-$E$10),$E$10+SQRT(T513*($G$10-$E$10)*($F$10-$E$10)),$G$10-SQRT((1-T513)*($G$10-$E$10)*($G$10-$F$10))))</f>
        <v>1.13099802377854</v>
      </c>
      <c r="G513" s="52" t="n">
        <f aca="false">IF($G$11=$E$11,$F$11,IF(U513&lt;($F$11-$E$11)/($G$11-$E$11),$E$11+SQRT(U513*($G$11-$E$11)*($F$11-$E$11)),$G$11-SQRT((1-U513)*($G$11-$E$11)*($G$11-$F$11))))</f>
        <v>0.105585086090332</v>
      </c>
      <c r="H513" s="53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-2261996047.55708</v>
      </c>
      <c r="I513" s="53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-3260934.73128103</v>
      </c>
      <c r="J513" s="53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292277906.48466</v>
      </c>
      <c r="K513" s="53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644366648.889528</v>
      </c>
      <c r="L513" s="53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775545735.915446</v>
      </c>
      <c r="M513" s="53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955209505.662104</v>
      </c>
      <c r="N513" s="53" t="n">
        <f aca="false">IF(COUNT('Business Case'!B11:G11)=0,"",H513+NPV(G513,I513:M513))</f>
        <v>-451640851.218155</v>
      </c>
      <c r="P513" s="54" t="n">
        <f aca="true">RAND()</f>
        <v>0.961694777916882</v>
      </c>
      <c r="Q513" s="54" t="n">
        <f aca="true">RAND()</f>
        <v>0.208649809170668</v>
      </c>
      <c r="R513" s="54" t="n">
        <f aca="true">RAND()</f>
        <v>0.598363387909871</v>
      </c>
      <c r="S513" s="54" t="n">
        <f aca="true">RAND()</f>
        <v>0.017108155078228</v>
      </c>
      <c r="T513" s="54" t="n">
        <f aca="true">RAND()</f>
        <v>0.904774545550656</v>
      </c>
      <c r="U513" s="54" t="n">
        <f aca="true">RAND()</f>
        <v>0.653683761628115</v>
      </c>
    </row>
    <row r="514" customFormat="false" ht="15" hidden="false" customHeight="false" outlineLevel="0" collapsed="false">
      <c r="A514" s="50" t="n">
        <v>434</v>
      </c>
      <c r="B514" s="51" t="n">
        <f aca="false">1+IF($G$6=$E$6,$F$6,IF(P514&lt;($F$6-$E$6)/($G$6-$E$6),$E$6+SQRT(P514*($G$6-$E$6)*($F$6-$E$6)),$G$6-SQRT((1-P514)*($G$6-$E$6)*($G$6-$F$6))))</f>
        <v>0.990715412751767</v>
      </c>
      <c r="C514" s="51" t="n">
        <f aca="false">1+IF($G$7=$E$7,$F$7,IF(Q514&lt;($F$7-$E$7)/($G$7-$E$7),$E$7+SQRT(Q514*($G$7-$E$7)*($F$7-$E$7)),$G$7-SQRT((1-Q514)*($G$7-$E$7)*($G$7-$F$7))))</f>
        <v>0.983794173092086</v>
      </c>
      <c r="D514" s="51" t="n">
        <f aca="false">1+IF($G$8=$E$8,$F$8,IF(R514&lt;($F$8-$E$8)/($G$8-$E$8),$E$8+SQRT(R514*($G$8-$E$8)*($F$8-$E$8)),$G$8-SQRT((1-R514)*($G$8-$E$8)*($G$8-$F$8))))</f>
        <v>1.01307705701259</v>
      </c>
      <c r="E514" s="51" t="n">
        <f aca="false">1+IF($G$9=$E$9,$F$9,IF(S514&lt;($F$9-$E$9)/($G$9-$E$9),$E$9+SQRT(S514*($G$9-$E$9)*($F$9-$E$9)),$G$9-SQRT((1-S514)*($G$9-$E$9)*($G$9-$F$9))))</f>
        <v>1.03735560984</v>
      </c>
      <c r="F514" s="51" t="n">
        <f aca="false">1+IF($G$10=$E$10,$F$10,IF(T514&lt;($F$10-$E$10)/($G$10-$E$10),$E$10+SQRT(T514*($G$10-$E$10)*($F$10-$E$10)),$G$10-SQRT((1-T514)*($G$10-$E$10)*($G$10-$F$10))))</f>
        <v>1.006409954882</v>
      </c>
      <c r="G514" s="52" t="n">
        <f aca="false">IF($G$11=$E$11,$F$11,IF(U514&lt;($F$11-$E$11)/($G$11-$E$11),$E$11+SQRT(U514*($G$11-$E$11)*($F$11-$E$11)),$G$11-SQRT((1-U514)*($G$11-$E$11)*($G$11-$F$11))))</f>
        <v>0.108968150877772</v>
      </c>
      <c r="H514" s="53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-2012819909.76399</v>
      </c>
      <c r="I514" s="53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-10572415.2417954</v>
      </c>
      <c r="J514" s="53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277534509.729216</v>
      </c>
      <c r="K514" s="53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615961932.444327</v>
      </c>
      <c r="L514" s="53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745681825.438237</v>
      </c>
      <c r="M514" s="53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930945207.791222</v>
      </c>
      <c r="N514" s="53" t="n">
        <f aca="false">IF(COUNT('Business Case'!B11:G11)=0,"",H514+NPV(G514,I514:M514))</f>
        <v>-296956279.573293</v>
      </c>
      <c r="P514" s="54" t="n">
        <f aca="true">RAND()</f>
        <v>0.520903083401324</v>
      </c>
      <c r="Q514" s="54" t="n">
        <f aca="true">RAND()</f>
        <v>0.482575686608624</v>
      </c>
      <c r="R514" s="54" t="n">
        <f aca="true">RAND()</f>
        <v>0.569357663644542</v>
      </c>
      <c r="S514" s="54" t="n">
        <f aca="true">RAND()</f>
        <v>0.738378692098756</v>
      </c>
      <c r="T514" s="54" t="n">
        <f aca="true">RAND()</f>
        <v>0.250457888624175</v>
      </c>
      <c r="U514" s="54" t="n">
        <f aca="true">RAND()</f>
        <v>0.797163841573978</v>
      </c>
    </row>
    <row r="515" customFormat="false" ht="15" hidden="false" customHeight="false" outlineLevel="0" collapsed="false">
      <c r="A515" s="50" t="n">
        <v>435</v>
      </c>
      <c r="B515" s="51" t="n">
        <f aca="false">1+IF($G$6=$E$6,$F$6,IF(P515&lt;($F$6-$E$6)/($G$6-$E$6),$E$6+SQRT(P515*($G$6-$E$6)*($F$6-$E$6)),$G$6-SQRT((1-P515)*($G$6-$E$6)*($G$6-$F$6))))</f>
        <v>1.03639597331054</v>
      </c>
      <c r="C515" s="51" t="n">
        <f aca="false">1+IF($G$7=$E$7,$F$7,IF(Q515&lt;($F$7-$E$7)/($G$7-$E$7),$E$7+SQRT(Q515*($G$7-$E$7)*($F$7-$E$7)),$G$7-SQRT((1-Q515)*($G$7-$E$7)*($G$7-$F$7))))</f>
        <v>0.982326283924027</v>
      </c>
      <c r="D515" s="51" t="n">
        <f aca="false">1+IF($G$8=$E$8,$F$8,IF(R515&lt;($F$8-$E$8)/($G$8-$E$8),$E$8+SQRT(R515*($G$8-$E$8)*($F$8-$E$8)),$G$8-SQRT((1-R515)*($G$8-$E$8)*($G$8-$F$8))))</f>
        <v>1.04626303933181</v>
      </c>
      <c r="E515" s="51" t="n">
        <f aca="false">1+IF($G$9=$E$9,$F$9,IF(S515&lt;($F$9-$E$9)/($G$9-$E$9),$E$9+SQRT(S515*($G$9-$E$9)*($F$9-$E$9)),$G$9-SQRT((1-S515)*($G$9-$E$9)*($G$9-$F$9))))</f>
        <v>1.00328063964966</v>
      </c>
      <c r="F515" s="51" t="n">
        <f aca="false">1+IF($G$10=$E$10,$F$10,IF(T515&lt;($F$10-$E$10)/($G$10-$E$10),$E$10+SQRT(T515*($G$10-$E$10)*($F$10-$E$10)),$G$10-SQRT((1-T515)*($G$10-$E$10)*($G$10-$F$10))))</f>
        <v>1.04544704186336</v>
      </c>
      <c r="G515" s="52" t="n">
        <f aca="false">IF($G$11=$E$11,$F$11,IF(U515&lt;($F$11-$E$11)/($G$11-$E$11),$E$11+SQRT(U515*($G$11-$E$11)*($F$11-$E$11)),$G$11-SQRT((1-U515)*($G$11-$E$11)*($G$11-$F$11))))</f>
        <v>0.110282512548592</v>
      </c>
      <c r="H515" s="53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-2090894083.72671</v>
      </c>
      <c r="I515" s="53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7754699.94049399</v>
      </c>
      <c r="J515" s="53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315497826.651754</v>
      </c>
      <c r="K515" s="53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675513305.456181</v>
      </c>
      <c r="L515" s="53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813279158.110766</v>
      </c>
      <c r="M515" s="53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1006795615.40701</v>
      </c>
      <c r="N515" s="53" t="n">
        <f aca="false">IF(COUNT('Business Case'!B11:G11)=0,"",H515+NPV(G515,I515:M515))</f>
        <v>-202510727.664694</v>
      </c>
      <c r="P515" s="54" t="n">
        <f aca="true">RAND()</f>
        <v>0.997293956587849</v>
      </c>
      <c r="Q515" s="54" t="n">
        <f aca="true">RAND()</f>
        <v>0.474898197279211</v>
      </c>
      <c r="R515" s="54" t="n">
        <f aca="true">RAND()</f>
        <v>0.890559373545486</v>
      </c>
      <c r="S515" s="54" t="n">
        <f aca="true">RAND()</f>
        <v>0.376357688894693</v>
      </c>
      <c r="T515" s="54" t="n">
        <f aca="true">RAND()</f>
        <v>0.522267662624262</v>
      </c>
      <c r="U515" s="54" t="n">
        <f aca="true">RAND()</f>
        <v>0.842617396052886</v>
      </c>
    </row>
    <row r="516" customFormat="false" ht="15" hidden="false" customHeight="false" outlineLevel="0" collapsed="false">
      <c r="A516" s="50" t="n">
        <v>436</v>
      </c>
      <c r="B516" s="51" t="n">
        <f aca="false">1+IF($G$6=$E$6,$F$6,IF(P516&lt;($F$6-$E$6)/($G$6-$E$6),$E$6+SQRT(P516*($G$6-$E$6)*($F$6-$E$6)),$G$6-SQRT((1-P516)*($G$6-$E$6)*($G$6-$F$6))))</f>
        <v>0.998332362190112</v>
      </c>
      <c r="C516" s="51" t="n">
        <f aca="false">1+IF($G$7=$E$7,$F$7,IF(Q516&lt;($F$7-$E$7)/($G$7-$E$7),$E$7+SQRT(Q516*($G$7-$E$7)*($F$7-$E$7)),$G$7-SQRT((1-Q516)*($G$7-$E$7)*($G$7-$F$7))))</f>
        <v>1.00947014134012</v>
      </c>
      <c r="D516" s="51" t="n">
        <f aca="false">1+IF($G$8=$E$8,$F$8,IF(R516&lt;($F$8-$E$8)/($G$8-$E$8),$E$8+SQRT(R516*($G$8-$E$8)*($F$8-$E$8)),$G$8-SQRT((1-R516)*($G$8-$E$8)*($G$8-$F$8))))</f>
        <v>1.03875059744817</v>
      </c>
      <c r="E516" s="51" t="n">
        <f aca="false">1+IF($G$9=$E$9,$F$9,IF(S516&lt;($F$9-$E$9)/($G$9-$E$9),$E$9+SQRT(S516*($G$9-$E$9)*($F$9-$E$9)),$G$9-SQRT((1-S516)*($G$9-$E$9)*($G$9-$F$9))))</f>
        <v>1.00935397437031</v>
      </c>
      <c r="F516" s="51" t="n">
        <f aca="false">1+IF($G$10=$E$10,$F$10,IF(T516&lt;($F$10-$E$10)/($G$10-$E$10),$E$10+SQRT(T516*($G$10-$E$10)*($F$10-$E$10)),$G$10-SQRT((1-T516)*($G$10-$E$10)*($G$10-$F$10))))</f>
        <v>1.00812921627682</v>
      </c>
      <c r="G516" s="52" t="n">
        <f aca="false">IF($G$11=$E$11,$F$11,IF(U516&lt;($F$11-$E$11)/($G$11-$E$11),$E$11+SQRT(U516*($G$11-$E$11)*($F$11-$E$11)),$G$11-SQRT((1-U516)*($G$11-$E$11)*($G$11-$F$11))))</f>
        <v>0.113399641366701</v>
      </c>
      <c r="H516" s="53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-2016258432.55364</v>
      </c>
      <c r="I516" s="53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-7929864.85355</v>
      </c>
      <c r="J516" s="53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280726990.16207</v>
      </c>
      <c r="K516" s="53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619790305.991531</v>
      </c>
      <c r="L516" s="53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750838366.387424</v>
      </c>
      <c r="M516" s="53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942398464.369534</v>
      </c>
      <c r="N516" s="53" t="n">
        <f aca="false">IF(COUNT('Business Case'!B11:G11)=0,"",H516+NPV(G516,I516:M516))</f>
        <v>-308510281.159446</v>
      </c>
      <c r="P516" s="54" t="n">
        <f aca="true">RAND()</f>
        <v>0.639162392321141</v>
      </c>
      <c r="Q516" s="54" t="n">
        <f aca="true">RAND()</f>
        <v>0.623835406191101</v>
      </c>
      <c r="R516" s="54" t="n">
        <f aca="true">RAND()</f>
        <v>0.836392960492032</v>
      </c>
      <c r="S516" s="54" t="n">
        <f aca="true">RAND()</f>
        <v>0.452219869169487</v>
      </c>
      <c r="T516" s="54" t="n">
        <f aca="true">RAND()</f>
        <v>0.263712047069038</v>
      </c>
      <c r="U516" s="54" t="n">
        <f aca="true">RAND()</f>
        <v>0.927392109853055</v>
      </c>
    </row>
    <row r="517" customFormat="false" ht="15" hidden="false" customHeight="false" outlineLevel="0" collapsed="false">
      <c r="A517" s="50" t="n">
        <v>437</v>
      </c>
      <c r="B517" s="51" t="n">
        <f aca="false">1+IF($G$6=$E$6,$F$6,IF(P517&lt;($F$6-$E$6)/($G$6-$E$6),$E$6+SQRT(P517*($G$6-$E$6)*($F$6-$E$6)),$G$6-SQRT((1-P517)*($G$6-$E$6)*($G$6-$F$6))))</f>
        <v>1.02486467586307</v>
      </c>
      <c r="C517" s="51" t="n">
        <f aca="false">1+IF($G$7=$E$7,$F$7,IF(Q517&lt;($F$7-$E$7)/($G$7-$E$7),$E$7+SQRT(Q517*($G$7-$E$7)*($F$7-$E$7)),$G$7-SQRT((1-Q517)*($G$7-$E$7)*($G$7-$F$7))))</f>
        <v>0.934490656373099</v>
      </c>
      <c r="D517" s="51" t="n">
        <f aca="false">1+IF($G$8=$E$8,$F$8,IF(R517&lt;($F$8-$E$8)/($G$8-$E$8),$E$8+SQRT(R517*($G$8-$E$8)*($F$8-$E$8)),$G$8-SQRT((1-R517)*($G$8-$E$8)*($G$8-$F$8))))</f>
        <v>1.03413681351413</v>
      </c>
      <c r="E517" s="51" t="n">
        <f aca="false">1+IF($G$9=$E$9,$F$9,IF(S517&lt;($F$9-$E$9)/($G$9-$E$9),$E$9+SQRT(S517*($G$9-$E$9)*($F$9-$E$9)),$G$9-SQRT((1-S517)*($G$9-$E$9)*($G$9-$F$9))))</f>
        <v>1.01399698455309</v>
      </c>
      <c r="F517" s="51" t="n">
        <f aca="false">1+IF($G$10=$E$10,$F$10,IF(T517&lt;($F$10-$E$10)/($G$10-$E$10),$E$10+SQRT(T517*($G$10-$E$10)*($F$10-$E$10)),$G$10-SQRT((1-T517)*($G$10-$E$10)*($G$10-$F$10))))</f>
        <v>1.04745360511522</v>
      </c>
      <c r="G517" s="52" t="n">
        <f aca="false">IF($G$11=$E$11,$F$11,IF(U517&lt;($F$11-$E$11)/($G$11-$E$11),$E$11+SQRT(U517*($G$11-$E$11)*($F$11-$E$11)),$G$11-SQRT((1-U517)*($G$11-$E$11)*($G$11-$F$11))))</f>
        <v>0.111349965401971</v>
      </c>
      <c r="H517" s="53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-2094907210.23045</v>
      </c>
      <c r="I517" s="53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-8852319.36356297</v>
      </c>
      <c r="J517" s="53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280879632.862989</v>
      </c>
      <c r="K517" s="53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622984265.345303</v>
      </c>
      <c r="L517" s="53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752660609.337583</v>
      </c>
      <c r="M517" s="53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934705255.546442</v>
      </c>
      <c r="N517" s="53" t="n">
        <f aca="false">IF(COUNT('Business Case'!B11:G11)=0,"",H517+NPV(G517,I517:M517))</f>
        <v>-376857624.814271</v>
      </c>
      <c r="P517" s="54" t="n">
        <f aca="true">RAND()</f>
        <v>0.952275409014609</v>
      </c>
      <c r="Q517" s="54" t="n">
        <f aca="true">RAND()</f>
        <v>0.258396237880956</v>
      </c>
      <c r="R517" s="54" t="n">
        <f aca="true">RAND()</f>
        <v>0.797746935130974</v>
      </c>
      <c r="S517" s="54" t="n">
        <f aca="true">RAND()</f>
        <v>0.506898755602579</v>
      </c>
      <c r="T517" s="54" t="n">
        <f aca="true">RAND()</f>
        <v>0.534591948153151</v>
      </c>
      <c r="U517" s="54" t="n">
        <f aca="true">RAND()</f>
        <v>0.875294835754828</v>
      </c>
    </row>
    <row r="518" customFormat="false" ht="15" hidden="false" customHeight="false" outlineLevel="0" collapsed="false">
      <c r="A518" s="50" t="n">
        <v>438</v>
      </c>
      <c r="B518" s="51" t="n">
        <f aca="false">1+IF($G$6=$E$6,$F$6,IF(P518&lt;($F$6-$E$6)/($G$6-$E$6),$E$6+SQRT(P518*($G$6-$E$6)*($F$6-$E$6)),$G$6-SQRT((1-P518)*($G$6-$E$6)*($G$6-$F$6))))</f>
        <v>0.996618620389375</v>
      </c>
      <c r="C518" s="51" t="n">
        <f aca="false">1+IF($G$7=$E$7,$F$7,IF(Q518&lt;($F$7-$E$7)/($G$7-$E$7),$E$7+SQRT(Q518*($G$7-$E$7)*($F$7-$E$7)),$G$7-SQRT((1-Q518)*($G$7-$E$7)*($G$7-$F$7))))</f>
        <v>0.926038856172421</v>
      </c>
      <c r="D518" s="51" t="n">
        <f aca="false">1+IF($G$8=$E$8,$F$8,IF(R518&lt;($F$8-$E$8)/($G$8-$E$8),$E$8+SQRT(R518*($G$8-$E$8)*($F$8-$E$8)),$G$8-SQRT((1-R518)*($G$8-$E$8)*($G$8-$F$8))))</f>
        <v>0.976531480678591</v>
      </c>
      <c r="E518" s="51" t="n">
        <f aca="false">1+IF($G$9=$E$9,$F$9,IF(S518&lt;($F$9-$E$9)/($G$9-$E$9),$E$9+SQRT(S518*($G$9-$E$9)*($F$9-$E$9)),$G$9-SQRT((1-S518)*($G$9-$E$9)*($G$9-$F$9))))</f>
        <v>0.972100209530487</v>
      </c>
      <c r="F518" s="51" t="n">
        <f aca="false">1+IF($G$10=$E$10,$F$10,IF(T518&lt;($F$10-$E$10)/($G$10-$E$10),$E$10+SQRT(T518*($G$10-$E$10)*($F$10-$E$10)),$G$10-SQRT((1-T518)*($G$10-$E$10)*($G$10-$F$10))))</f>
        <v>1.04777121791655</v>
      </c>
      <c r="G518" s="52" t="n">
        <f aca="false">IF($G$11=$E$11,$F$11,IF(U518&lt;($F$11-$E$11)/($G$11-$E$11),$E$11+SQRT(U518*($G$11-$E$11)*($F$11-$E$11)),$G$11-SQRT((1-U518)*($G$11-$E$11)*($G$11-$F$11))))</f>
        <v>0.100840471471334</v>
      </c>
      <c r="H518" s="53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-2095542435.83309</v>
      </c>
      <c r="I518" s="53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2142070.71240571</v>
      </c>
      <c r="J518" s="53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295137441.298745</v>
      </c>
      <c r="K518" s="53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640521372.780913</v>
      </c>
      <c r="L518" s="53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770082181.834389</v>
      </c>
      <c r="M518" s="53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945508452.220217</v>
      </c>
      <c r="N518" s="53" t="n">
        <f aca="false">IF(COUNT('Business Case'!B11:G11)=0,"",H518+NPV(G518,I518:M518))</f>
        <v>-260701193.932094</v>
      </c>
      <c r="P518" s="54" t="n">
        <f aca="true">RAND()</f>
        <v>0.611501353163653</v>
      </c>
      <c r="Q518" s="54" t="n">
        <f aca="true">RAND()</f>
        <v>0.226939903789317</v>
      </c>
      <c r="R518" s="54" t="n">
        <f aca="true">RAND()</f>
        <v>0.108295302615143</v>
      </c>
      <c r="S518" s="54" t="n">
        <f aca="true">RAND()</f>
        <v>0.0651225681721885</v>
      </c>
      <c r="T518" s="54" t="n">
        <f aca="true">RAND()</f>
        <v>0.53652795810777</v>
      </c>
      <c r="U518" s="54" t="n">
        <f aca="true">RAND()</f>
        <v>0.388187444265398</v>
      </c>
    </row>
    <row r="519" customFormat="false" ht="15" hidden="false" customHeight="false" outlineLevel="0" collapsed="false">
      <c r="A519" s="50" t="n">
        <v>439</v>
      </c>
      <c r="B519" s="51" t="n">
        <f aca="false">1+IF($G$6=$E$6,$F$6,IF(P519&lt;($F$6-$E$6)/($G$6-$E$6),$E$6+SQRT(P519*($G$6-$E$6)*($F$6-$E$6)),$G$6-SQRT((1-P519)*($G$6-$E$6)*($G$6-$F$6))))</f>
        <v>1.02022973960598</v>
      </c>
      <c r="C519" s="51" t="n">
        <f aca="false">1+IF($G$7=$E$7,$F$7,IF(Q519&lt;($F$7-$E$7)/($G$7-$E$7),$E$7+SQRT(Q519*($G$7-$E$7)*($F$7-$E$7)),$G$7-SQRT((1-Q519)*($G$7-$E$7)*($G$7-$F$7))))</f>
        <v>0.973992119540156</v>
      </c>
      <c r="D519" s="51" t="n">
        <f aca="false">1+IF($G$8=$E$8,$F$8,IF(R519&lt;($F$8-$E$8)/($G$8-$E$8),$E$8+SQRT(R519*($G$8-$E$8)*($F$8-$E$8)),$G$8-SQRT((1-R519)*($G$8-$E$8)*($G$8-$F$8))))</f>
        <v>1.03256961228202</v>
      </c>
      <c r="E519" s="51" t="n">
        <f aca="false">1+IF($G$9=$E$9,$F$9,IF(S519&lt;($F$9-$E$9)/($G$9-$E$9),$E$9+SQRT(S519*($G$9-$E$9)*($F$9-$E$9)),$G$9-SQRT((1-S519)*($G$9-$E$9)*($G$9-$F$9))))</f>
        <v>1.02068927082073</v>
      </c>
      <c r="F519" s="51" t="n">
        <f aca="false">1+IF($G$10=$E$10,$F$10,IF(T519&lt;($F$10-$E$10)/($G$10-$E$10),$E$10+SQRT(T519*($G$10-$E$10)*($F$10-$E$10)),$G$10-SQRT((1-T519)*($G$10-$E$10)*($G$10-$F$10))))</f>
        <v>1.00627512212779</v>
      </c>
      <c r="G519" s="52" t="n">
        <f aca="false">IF($G$11=$E$11,$F$11,IF(U519&lt;($F$11-$E$11)/($G$11-$E$11),$E$11+SQRT(U519*($G$11-$E$11)*($F$11-$E$11)),$G$11-SQRT((1-U519)*($G$11-$E$11)*($G$11-$F$11))))</f>
        <v>0.112025737372915</v>
      </c>
      <c r="H519" s="53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-2012550244.25558</v>
      </c>
      <c r="I519" s="53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1780181.67873921</v>
      </c>
      <c r="J519" s="53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300843076.342556</v>
      </c>
      <c r="K519" s="53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650219727.112762</v>
      </c>
      <c r="L519" s="53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784249482.975094</v>
      </c>
      <c r="M519" s="53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973131166.667593</v>
      </c>
      <c r="N519" s="53" t="n">
        <f aca="false">IF(COUNT('Business Case'!B11:G11)=0,"",H519+NPV(G519,I519:M519))</f>
        <v>-209705304.768422</v>
      </c>
      <c r="P519" s="54" t="n">
        <f aca="true">RAND()</f>
        <v>0.918570167490134</v>
      </c>
      <c r="Q519" s="54" t="n">
        <f aca="true">RAND()</f>
        <v>0.432475109458229</v>
      </c>
      <c r="R519" s="54" t="n">
        <f aca="true">RAND()</f>
        <v>0.783688300088655</v>
      </c>
      <c r="S519" s="54" t="n">
        <f aca="true">RAND()</f>
        <v>0.580653882470161</v>
      </c>
      <c r="T519" s="54" t="n">
        <f aca="true">RAND()</f>
        <v>0.249413433867957</v>
      </c>
      <c r="U519" s="54" t="n">
        <f aca="true">RAND()</f>
        <v>0.894018559257128</v>
      </c>
    </row>
    <row r="520" customFormat="false" ht="15" hidden="false" customHeight="false" outlineLevel="0" collapsed="false">
      <c r="A520" s="50" t="n">
        <v>440</v>
      </c>
      <c r="B520" s="51" t="n">
        <f aca="false">1+IF($G$6=$E$6,$F$6,IF(P520&lt;($F$6-$E$6)/($G$6-$E$6),$E$6+SQRT(P520*($G$6-$E$6)*($F$6-$E$6)),$G$6-SQRT((1-P520)*($G$6-$E$6)*($G$6-$F$6))))</f>
        <v>0.972083642593525</v>
      </c>
      <c r="C520" s="51" t="n">
        <f aca="false">1+IF($G$7=$E$7,$F$7,IF(Q520&lt;($F$7-$E$7)/($G$7-$E$7),$E$7+SQRT(Q520*($G$7-$E$7)*($F$7-$E$7)),$G$7-SQRT((1-Q520)*($G$7-$E$7)*($G$7-$F$7))))</f>
        <v>0.983219353809926</v>
      </c>
      <c r="D520" s="51" t="n">
        <f aca="false">1+IF($G$8=$E$8,$F$8,IF(R520&lt;($F$8-$E$8)/($G$8-$E$8),$E$8+SQRT(R520*($G$8-$E$8)*($F$8-$E$8)),$G$8-SQRT((1-R520)*($G$8-$E$8)*($G$8-$F$8))))</f>
        <v>0.996315829628219</v>
      </c>
      <c r="E520" s="51" t="n">
        <f aca="false">1+IF($G$9=$E$9,$F$9,IF(S520&lt;($F$9-$E$9)/($G$9-$E$9),$E$9+SQRT(S520*($G$9-$E$9)*($F$9-$E$9)),$G$9-SQRT((1-S520)*($G$9-$E$9)*($G$9-$F$9))))</f>
        <v>0.979283985822112</v>
      </c>
      <c r="F520" s="51" t="n">
        <f aca="false">1+IF($G$10=$E$10,$F$10,IF(T520&lt;($F$10-$E$10)/($G$10-$E$10),$E$10+SQRT(T520*($G$10-$E$10)*($F$10-$E$10)),$G$10-SQRT((1-T520)*($G$10-$E$10)*($G$10-$F$10))))</f>
        <v>1.05348493976368</v>
      </c>
      <c r="G520" s="52" t="n">
        <f aca="false">IF($G$11=$E$11,$F$11,IF(U520&lt;($F$11-$E$11)/($G$11-$E$11),$E$11+SQRT(U520*($G$11-$E$11)*($F$11-$E$11)),$G$11-SQRT((1-U520)*($G$11-$E$11)*($G$11-$F$11))))</f>
        <v>0.106365794227681</v>
      </c>
      <c r="H520" s="53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-2106969879.52736</v>
      </c>
      <c r="I520" s="53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-12779534.34072</v>
      </c>
      <c r="J520" s="53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268590800.094525</v>
      </c>
      <c r="K520" s="53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602635381.517955</v>
      </c>
      <c r="L520" s="53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729456954.340166</v>
      </c>
      <c r="M520" s="53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911129991.73104</v>
      </c>
      <c r="N520" s="53" t="n">
        <f aca="false">IF(COUNT('Business Case'!B11:G11)=0,"",H520+NPV(G520,I520:M520))</f>
        <v>-417582417.769346</v>
      </c>
      <c r="P520" s="54" t="n">
        <f aca="true">RAND()</f>
        <v>0.282573523521885</v>
      </c>
      <c r="Q520" s="54" t="n">
        <f aca="true">RAND()</f>
        <v>0.479561880150386</v>
      </c>
      <c r="R520" s="54" t="n">
        <f aca="true">RAND()</f>
        <v>0.330024011407729</v>
      </c>
      <c r="S520" s="54" t="n">
        <f aca="true">RAND()</f>
        <v>0.114340243417284</v>
      </c>
      <c r="T520" s="54" t="n">
        <f aca="true">RAND()</f>
        <v>0.570666742478951</v>
      </c>
      <c r="U520" s="54" t="n">
        <f aca="true">RAND()</f>
        <v>0.690180721596792</v>
      </c>
    </row>
    <row r="521" customFormat="false" ht="15" hidden="false" customHeight="false" outlineLevel="0" collapsed="false">
      <c r="A521" s="50" t="n">
        <v>441</v>
      </c>
      <c r="B521" s="51" t="n">
        <f aca="false">1+IF($G$6=$E$6,$F$6,IF(P521&lt;($F$6-$E$6)/($G$6-$E$6),$E$6+SQRT(P521*($G$6-$E$6)*($F$6-$E$6)),$G$6-SQRT((1-P521)*($G$6-$E$6)*($G$6-$F$6))))</f>
        <v>0.997757518600054</v>
      </c>
      <c r="C521" s="51" t="n">
        <f aca="false">1+IF($G$7=$E$7,$F$7,IF(Q521&lt;($F$7-$E$7)/($G$7-$E$7),$E$7+SQRT(Q521*($G$7-$E$7)*($F$7-$E$7)),$G$7-SQRT((1-Q521)*($G$7-$E$7)*($G$7-$F$7))))</f>
        <v>0.850001489555121</v>
      </c>
      <c r="D521" s="51" t="n">
        <f aca="false">1+IF($G$8=$E$8,$F$8,IF(R521&lt;($F$8-$E$8)/($G$8-$E$8),$E$8+SQRT(R521*($G$8-$E$8)*($F$8-$E$8)),$G$8-SQRT((1-R521)*($G$8-$E$8)*($G$8-$F$8))))</f>
        <v>0.996775239576039</v>
      </c>
      <c r="E521" s="51" t="n">
        <f aca="false">1+IF($G$9=$E$9,$F$9,IF(S521&lt;($F$9-$E$9)/($G$9-$E$9),$E$9+SQRT(S521*($G$9-$E$9)*($F$9-$E$9)),$G$9-SQRT((1-S521)*($G$9-$E$9)*($G$9-$F$9))))</f>
        <v>0.989469385772602</v>
      </c>
      <c r="F521" s="51" t="n">
        <f aca="false">1+IF($G$10=$E$10,$F$10,IF(T521&lt;($F$10-$E$10)/($G$10-$E$10),$E$10+SQRT(T521*($G$10-$E$10)*($F$10-$E$10)),$G$10-SQRT((1-T521)*($G$10-$E$10)*($G$10-$F$10))))</f>
        <v>1.02669711948392</v>
      </c>
      <c r="G521" s="52" t="n">
        <f aca="false">IF($G$11=$E$11,$F$11,IF(U521&lt;($F$11-$E$11)/($G$11-$E$11),$E$11+SQRT(U521*($G$11-$E$11)*($F$11-$E$11)),$G$11-SQRT((1-U521)*($G$11-$E$11)*($G$11-$F$11))))</f>
        <v>0.108360553200928</v>
      </c>
      <c r="H521" s="53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-2053394238.96785</v>
      </c>
      <c r="I521" s="53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-26415909.9209859</v>
      </c>
      <c r="J521" s="53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234505703.108254</v>
      </c>
      <c r="K521" s="53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546762172.111689</v>
      </c>
      <c r="L521" s="53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663046219.351416</v>
      </c>
      <c r="M521" s="53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824252188.616302</v>
      </c>
      <c r="N521" s="53" t="n">
        <f aca="false">IF(COUNT('Business Case'!B11:G11)=0,"",H521+NPV(G521,I521:M521))</f>
        <v>-552628525.956512</v>
      </c>
      <c r="P521" s="54" t="n">
        <f aca="true">RAND()</f>
        <v>0.629815801962259</v>
      </c>
      <c r="Q521" s="54" t="n">
        <f aca="true">RAND()</f>
        <v>0.0357164136818699</v>
      </c>
      <c r="R521" s="54" t="n">
        <f aca="true">RAND()</f>
        <v>0.336603544214748</v>
      </c>
      <c r="S521" s="54" t="n">
        <f aca="true">RAND()</f>
        <v>0.207710988435528</v>
      </c>
      <c r="T521" s="54" t="n">
        <f aca="true">RAND()</f>
        <v>0.399322232096619</v>
      </c>
      <c r="U521" s="54" t="n">
        <f aca="true">RAND()</f>
        <v>0.774205463685973</v>
      </c>
    </row>
    <row r="522" customFormat="false" ht="15" hidden="false" customHeight="false" outlineLevel="0" collapsed="false">
      <c r="A522" s="50" t="n">
        <v>442</v>
      </c>
      <c r="B522" s="51" t="n">
        <f aca="false">1+IF($G$6=$E$6,$F$6,IF(P522&lt;($F$6-$E$6)/($G$6-$E$6),$E$6+SQRT(P522*($G$6-$E$6)*($F$6-$E$6)),$G$6-SQRT((1-P522)*($G$6-$E$6)*($G$6-$F$6))))</f>
        <v>0.931069181595412</v>
      </c>
      <c r="C522" s="51" t="n">
        <f aca="false">1+IF($G$7=$E$7,$F$7,IF(Q522&lt;($F$7-$E$7)/($G$7-$E$7),$E$7+SQRT(Q522*($G$7-$E$7)*($F$7-$E$7)),$G$7-SQRT((1-Q522)*($G$7-$E$7)*($G$7-$F$7))))</f>
        <v>1.0865065175699</v>
      </c>
      <c r="D522" s="51" t="n">
        <f aca="false">1+IF($G$8=$E$8,$F$8,IF(R522&lt;($F$8-$E$8)/($G$8-$E$8),$E$8+SQRT(R522*($G$8-$E$8)*($F$8-$E$8)),$G$8-SQRT((1-R522)*($G$8-$E$8)*($G$8-$F$8))))</f>
        <v>1.02345710106182</v>
      </c>
      <c r="E522" s="51" t="n">
        <f aca="false">1+IF($G$9=$E$9,$F$9,IF(S522&lt;($F$9-$E$9)/($G$9-$E$9),$E$9+SQRT(S522*($G$9-$E$9)*($F$9-$E$9)),$G$9-SQRT((1-S522)*($G$9-$E$9)*($G$9-$F$9))))</f>
        <v>1.00066100384447</v>
      </c>
      <c r="F522" s="51" t="n">
        <f aca="false">1+IF($G$10=$E$10,$F$10,IF(T522&lt;($F$10-$E$10)/($G$10-$E$10),$E$10+SQRT(T522*($G$10-$E$10)*($F$10-$E$10)),$G$10-SQRT((1-T522)*($G$10-$E$10)*($G$10-$F$10))))</f>
        <v>0.972378272858612</v>
      </c>
      <c r="G522" s="52" t="n">
        <f aca="false">IF($G$11=$E$11,$F$11,IF(U522&lt;($F$11-$E$11)/($G$11-$E$11),$E$11+SQRT(U522*($G$11-$E$11)*($F$11-$E$11)),$G$11-SQRT((1-U522)*($G$11-$E$11)*($G$11-$F$11))))</f>
        <v>0.0971964427379174</v>
      </c>
      <c r="H522" s="53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-1944756545.71722</v>
      </c>
      <c r="I522" s="53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-32641520.4970681</v>
      </c>
      <c r="J522" s="53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226690785.174769</v>
      </c>
      <c r="K522" s="53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534642004.489538</v>
      </c>
      <c r="L522" s="53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656047442.471057</v>
      </c>
      <c r="M522" s="53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848334790.971044</v>
      </c>
      <c r="N522" s="53" t="n">
        <f aca="false">IF(COUNT('Business Case'!B11:G11)=0,"",H522+NPV(G522,I522:M522))</f>
        <v>-395228561.739546</v>
      </c>
      <c r="P522" s="54" t="n">
        <f aca="true">RAND()</f>
        <v>0.0127632063741871</v>
      </c>
      <c r="Q522" s="54" t="n">
        <f aca="true">RAND()</f>
        <v>0.923211003598063</v>
      </c>
      <c r="R522" s="54" t="n">
        <f aca="true">RAND()</f>
        <v>0.692586594198735</v>
      </c>
      <c r="S522" s="54" t="n">
        <f aca="true">RAND()</f>
        <v>0.342117589520812</v>
      </c>
      <c r="T522" s="54" t="n">
        <f aca="true">RAND()</f>
        <v>0.0400629676907602</v>
      </c>
      <c r="U522" s="54" t="n">
        <f aca="true">RAND()</f>
        <v>0.172629293600414</v>
      </c>
    </row>
    <row r="523" customFormat="false" ht="15" hidden="false" customHeight="false" outlineLevel="0" collapsed="false">
      <c r="A523" s="50" t="n">
        <v>443</v>
      </c>
      <c r="B523" s="51" t="n">
        <f aca="false">1+IF($G$6=$E$6,$F$6,IF(P523&lt;($F$6-$E$6)/($G$6-$E$6),$E$6+SQRT(P523*($G$6-$E$6)*($F$6-$E$6)),$G$6-SQRT((1-P523)*($G$6-$E$6)*($G$6-$F$6))))</f>
        <v>1.01473042460804</v>
      </c>
      <c r="C523" s="51" t="n">
        <f aca="false">1+IF($G$7=$E$7,$F$7,IF(Q523&lt;($F$7-$E$7)/($G$7-$E$7),$E$7+SQRT(Q523*($G$7-$E$7)*($F$7-$E$7)),$G$7-SQRT((1-Q523)*($G$7-$E$7)*($G$7-$F$7))))</f>
        <v>0.868535471265431</v>
      </c>
      <c r="D523" s="51" t="n">
        <f aca="false">1+IF($G$8=$E$8,$F$8,IF(R523&lt;($F$8-$E$8)/($G$8-$E$8),$E$8+SQRT(R523*($G$8-$E$8)*($F$8-$E$8)),$G$8-SQRT((1-R523)*($G$8-$E$8)*($G$8-$F$8))))</f>
        <v>0.988401591960652</v>
      </c>
      <c r="E523" s="51" t="n">
        <f aca="false">1+IF($G$9=$E$9,$F$9,IF(S523&lt;($F$9-$E$9)/($G$9-$E$9),$E$9+SQRT(S523*($G$9-$E$9)*($F$9-$E$9)),$G$9-SQRT((1-S523)*($G$9-$E$9)*($G$9-$F$9))))</f>
        <v>1.01723425205147</v>
      </c>
      <c r="F523" s="51" t="n">
        <f aca="false">1+IF($G$10=$E$10,$F$10,IF(T523&lt;($F$10-$E$10)/($G$10-$E$10),$E$10+SQRT(T523*($G$10-$E$10)*($F$10-$E$10)),$G$10-SQRT((1-T523)*($G$10-$E$10)*($G$10-$F$10))))</f>
        <v>1.01907362012047</v>
      </c>
      <c r="G523" s="52" t="n">
        <f aca="false">IF($G$11=$E$11,$F$11,IF(U523&lt;($F$11-$E$11)/($G$11-$E$11),$E$11+SQRT(U523*($G$11-$E$11)*($F$11-$E$11)),$G$11-SQRT((1-U523)*($G$11-$E$11)*($G$11-$F$11))))</f>
        <v>0.102480280573306</v>
      </c>
      <c r="H523" s="53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-2038147240.24093</v>
      </c>
      <c r="I523" s="53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-9837765.73280932</v>
      </c>
      <c r="J523" s="53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272570655.601645</v>
      </c>
      <c r="K523" s="53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605932757.942122</v>
      </c>
      <c r="L523" s="53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730527641.329272</v>
      </c>
      <c r="M523" s="53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898050727.512095</v>
      </c>
      <c r="N523" s="53" t="n">
        <f aca="false">IF(COUNT('Business Case'!B11:G11)=0,"",H523+NPV(G523,I523:M523))</f>
        <v>-324777561.078047</v>
      </c>
      <c r="P523" s="54" t="n">
        <f aca="true">RAND()</f>
        <v>0.866968449897916</v>
      </c>
      <c r="Q523" s="54" t="n">
        <f aca="true">RAND()</f>
        <v>0.0671015831653535</v>
      </c>
      <c r="R523" s="54" t="n">
        <f aca="true">RAND()</f>
        <v>0.226874194632678</v>
      </c>
      <c r="S523" s="54" t="n">
        <f aca="true">RAND()</f>
        <v>0.543322064434739</v>
      </c>
      <c r="T523" s="54" t="n">
        <f aca="true">RAND()</f>
        <v>0.345312901273732</v>
      </c>
      <c r="U523" s="54" t="n">
        <f aca="true">RAND()</f>
        <v>0.488432385349874</v>
      </c>
    </row>
    <row r="524" customFormat="false" ht="15" hidden="false" customHeight="false" outlineLevel="0" collapsed="false">
      <c r="A524" s="50" t="n">
        <v>444</v>
      </c>
      <c r="B524" s="51" t="n">
        <f aca="false">1+IF($G$6=$E$6,$F$6,IF(P524&lt;($F$6-$E$6)/($G$6-$E$6),$E$6+SQRT(P524*($G$6-$E$6)*($F$6-$E$6)),$G$6-SQRT((1-P524)*($G$6-$E$6)*($G$6-$F$6))))</f>
        <v>1.00728875429452</v>
      </c>
      <c r="C524" s="51" t="n">
        <f aca="false">1+IF($G$7=$E$7,$F$7,IF(Q524&lt;($F$7-$E$7)/($G$7-$E$7),$E$7+SQRT(Q524*($G$7-$E$7)*($F$7-$E$7)),$G$7-SQRT((1-Q524)*($G$7-$E$7)*($G$7-$F$7))))</f>
        <v>1.02075091316061</v>
      </c>
      <c r="D524" s="51" t="n">
        <f aca="false">1+IF($G$8=$E$8,$F$8,IF(R524&lt;($F$8-$E$8)/($G$8-$E$8),$E$8+SQRT(R524*($G$8-$E$8)*($F$8-$E$8)),$G$8-SQRT((1-R524)*($G$8-$E$8)*($G$8-$F$8))))</f>
        <v>1.00053597612881</v>
      </c>
      <c r="E524" s="51" t="n">
        <f aca="false">1+IF($G$9=$E$9,$F$9,IF(S524&lt;($F$9-$E$9)/($G$9-$E$9),$E$9+SQRT(S524*($G$9-$E$9)*($F$9-$E$9)),$G$9-SQRT((1-S524)*($G$9-$E$9)*($G$9-$F$9))))</f>
        <v>1.03949619751689</v>
      </c>
      <c r="F524" s="51" t="n">
        <f aca="false">1+IF($G$10=$E$10,$F$10,IF(T524&lt;($F$10-$E$10)/($G$10-$E$10),$E$10+SQRT(T524*($G$10-$E$10)*($F$10-$E$10)),$G$10-SQRT((1-T524)*($G$10-$E$10)*($G$10-$F$10))))</f>
        <v>0.994369582626086</v>
      </c>
      <c r="G524" s="52" t="n">
        <f aca="false">IF($G$11=$E$11,$F$11,IF(U524&lt;($F$11-$E$11)/($G$11-$E$11),$E$11+SQRT(U524*($G$11-$E$11)*($F$11-$E$11)),$G$11-SQRT((1-U524)*($G$11-$E$11)*($G$11-$F$11))))</f>
        <v>0.111970057804023</v>
      </c>
      <c r="H524" s="53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-1988739165.25217</v>
      </c>
      <c r="I524" s="53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18784777.196556</v>
      </c>
      <c r="J524" s="53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338124289.015752</v>
      </c>
      <c r="K524" s="53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707182279.966252</v>
      </c>
      <c r="L524" s="53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849163061.954738</v>
      </c>
      <c r="M524" s="53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1044601591.22288</v>
      </c>
      <c r="N524" s="53" t="n">
        <f aca="false">IF(COUNT('Business Case'!B11:G11)=0,"",H524+NPV(G524,I524:M524))</f>
        <v>-14181542.2773147</v>
      </c>
      <c r="P524" s="54" t="n">
        <f aca="true">RAND()</f>
        <v>0.777078000915768</v>
      </c>
      <c r="Q524" s="54" t="n">
        <f aca="true">RAND()</f>
        <v>0.681803305736825</v>
      </c>
      <c r="R524" s="54" t="n">
        <f aca="true">RAND()</f>
        <v>0.392833549057585</v>
      </c>
      <c r="S524" s="54" t="n">
        <f aca="true">RAND()</f>
        <v>0.755952659005622</v>
      </c>
      <c r="T524" s="54" t="n">
        <f aca="true">RAND()</f>
        <v>0.157492788993043</v>
      </c>
      <c r="U524" s="54" t="n">
        <f aca="true">RAND()</f>
        <v>0.892533380548792</v>
      </c>
    </row>
    <row r="525" customFormat="false" ht="15" hidden="false" customHeight="false" outlineLevel="0" collapsed="false">
      <c r="A525" s="50" t="n">
        <v>445</v>
      </c>
      <c r="B525" s="51" t="n">
        <f aca="false">1+IF($G$6=$E$6,$F$6,IF(P525&lt;($F$6-$E$6)/($G$6-$E$6),$E$6+SQRT(P525*($G$6-$E$6)*($F$6-$E$6)),$G$6-SQRT((1-P525)*($G$6-$E$6)*($G$6-$F$6))))</f>
        <v>1.03675900596897</v>
      </c>
      <c r="C525" s="51" t="n">
        <f aca="false">1+IF($G$7=$E$7,$F$7,IF(Q525&lt;($F$7-$E$7)/($G$7-$E$7),$E$7+SQRT(Q525*($G$7-$E$7)*($F$7-$E$7)),$G$7-SQRT((1-Q525)*($G$7-$E$7)*($G$7-$F$7))))</f>
        <v>1.03422792827164</v>
      </c>
      <c r="D525" s="51" t="n">
        <f aca="false">1+IF($G$8=$E$8,$F$8,IF(R525&lt;($F$8-$E$8)/($G$8-$E$8),$E$8+SQRT(R525*($G$8-$E$8)*($F$8-$E$8)),$G$8-SQRT((1-R525)*($G$8-$E$8)*($G$8-$F$8))))</f>
        <v>1.02461669733688</v>
      </c>
      <c r="E525" s="51" t="n">
        <f aca="false">1+IF($G$9=$E$9,$F$9,IF(S525&lt;($F$9-$E$9)/($G$9-$E$9),$E$9+SQRT(S525*($G$9-$E$9)*($F$9-$E$9)),$G$9-SQRT((1-S525)*($G$9-$E$9)*($G$9-$F$9))))</f>
        <v>1.01665922270274</v>
      </c>
      <c r="F525" s="51" t="n">
        <f aca="false">1+IF($G$10=$E$10,$F$10,IF(T525&lt;($F$10-$E$10)/($G$10-$E$10),$E$10+SQRT(T525*($G$10-$E$10)*($F$10-$E$10)),$G$10-SQRT((1-T525)*($G$10-$E$10)*($G$10-$F$10))))</f>
        <v>0.961106058167734</v>
      </c>
      <c r="G525" s="52" t="n">
        <f aca="false">IF($G$11=$E$11,$F$11,IF(U525&lt;($F$11-$E$11)/($G$11-$E$11),$E$11+SQRT(U525*($G$11-$E$11)*($F$11-$E$11)),$G$11-SQRT((1-U525)*($G$11-$E$11)*($G$11-$F$11))))</f>
        <v>0.098329092032241</v>
      </c>
      <c r="H525" s="53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-1922212116.33547</v>
      </c>
      <c r="I525" s="53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39506146.1950818</v>
      </c>
      <c r="J525" s="53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375277026.636982</v>
      </c>
      <c r="K525" s="53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759103209.987269</v>
      </c>
      <c r="L525" s="53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908083628.109046</v>
      </c>
      <c r="M525" s="53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1111895980.302</v>
      </c>
      <c r="N525" s="53" t="n">
        <f aca="false">IF(COUNT('Business Case'!B11:G11)=0,"",H525+NPV(G525,I525:M525))</f>
        <v>317464024.228557</v>
      </c>
      <c r="P525" s="54" t="n">
        <f aca="true">RAND()</f>
        <v>0.997811657852255</v>
      </c>
      <c r="Q525" s="54" t="n">
        <f aca="true">RAND()</f>
        <v>0.744701474432808</v>
      </c>
      <c r="R525" s="54" t="n">
        <f aca="true">RAND()</f>
        <v>0.705066325588939</v>
      </c>
      <c r="S525" s="54" t="n">
        <f aca="true">RAND()</f>
        <v>0.536954322632578</v>
      </c>
      <c r="T525" s="54" t="n">
        <f aca="true">RAND()</f>
        <v>0.00986756224200717</v>
      </c>
      <c r="U525" s="54" t="n">
        <f aca="true">RAND()</f>
        <v>0.231245913605132</v>
      </c>
    </row>
    <row r="526" customFormat="false" ht="15" hidden="false" customHeight="false" outlineLevel="0" collapsed="false">
      <c r="A526" s="50" t="n">
        <v>446</v>
      </c>
      <c r="B526" s="51" t="n">
        <f aca="false">1+IF($G$6=$E$6,$F$6,IF(P526&lt;($F$6-$E$6)/($G$6-$E$6),$E$6+SQRT(P526*($G$6-$E$6)*($F$6-$E$6)),$G$6-SQRT((1-P526)*($G$6-$E$6)*($G$6-$F$6))))</f>
        <v>0.996582310795696</v>
      </c>
      <c r="C526" s="51" t="n">
        <f aca="false">1+IF($G$7=$E$7,$F$7,IF(Q526&lt;($F$7-$E$7)/($G$7-$E$7),$E$7+SQRT(Q526*($G$7-$E$7)*($F$7-$E$7)),$G$7-SQRT((1-Q526)*($G$7-$E$7)*($G$7-$F$7))))</f>
        <v>0.939887004165785</v>
      </c>
      <c r="D526" s="51" t="n">
        <f aca="false">1+IF($G$8=$E$8,$F$8,IF(R526&lt;($F$8-$E$8)/($G$8-$E$8),$E$8+SQRT(R526*($G$8-$E$8)*($F$8-$E$8)),$G$8-SQRT((1-R526)*($G$8-$E$8)*($G$8-$F$8))))</f>
        <v>1.00565114477628</v>
      </c>
      <c r="E526" s="51" t="n">
        <f aca="false">1+IF($G$9=$E$9,$F$9,IF(S526&lt;($F$9-$E$9)/($G$9-$E$9),$E$9+SQRT(S526*($G$9-$E$9)*($F$9-$E$9)),$G$9-SQRT((1-S526)*($G$9-$E$9)*($G$9-$F$9))))</f>
        <v>1.00156255030882</v>
      </c>
      <c r="F526" s="51" t="n">
        <f aca="false">1+IF($G$10=$E$10,$F$10,IF(T526&lt;($F$10-$E$10)/($G$10-$E$10),$E$10+SQRT(T526*($G$10-$E$10)*($F$10-$E$10)),$G$10-SQRT((1-T526)*($G$10-$E$10)*($G$10-$F$10))))</f>
        <v>1.04699145990568</v>
      </c>
      <c r="G526" s="52" t="n">
        <f aca="false">IF($G$11=$E$11,$F$11,IF(U526&lt;($F$11-$E$11)/($G$11-$E$11),$E$11+SQRT(U526*($G$11-$E$11)*($F$11-$E$11)),$G$11-SQRT((1-U526)*($G$11-$E$11)*($G$11-$F$11))))</f>
        <v>0.110206596000837</v>
      </c>
      <c r="H526" s="53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-2093982919.81137</v>
      </c>
      <c r="I526" s="53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-12340475.5382209</v>
      </c>
      <c r="J526" s="53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270997609.255958</v>
      </c>
      <c r="K526" s="53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606685267.04542</v>
      </c>
      <c r="L526" s="53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733502775.102091</v>
      </c>
      <c r="M526" s="53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911545913.957783</v>
      </c>
      <c r="N526" s="53" t="n">
        <f aca="false">IF(COUNT('Business Case'!B11:G11)=0,"",H526+NPV(G526,I526:M526))</f>
        <v>-418600638.859512</v>
      </c>
      <c r="P526" s="54" t="n">
        <f aca="true">RAND()</f>
        <v>0.610921909042564</v>
      </c>
      <c r="Q526" s="54" t="n">
        <f aca="true">RAND()</f>
        <v>0.279548199063978</v>
      </c>
      <c r="R526" s="54" t="n">
        <f aca="true">RAND()</f>
        <v>0.46848535835796</v>
      </c>
      <c r="S526" s="54" t="n">
        <f aca="true">RAND()</f>
        <v>0.354004566553154</v>
      </c>
      <c r="T526" s="54" t="n">
        <f aca="true">RAND()</f>
        <v>0.531767733164117</v>
      </c>
      <c r="U526" s="54" t="n">
        <f aca="true">RAND()</f>
        <v>0.840148730181951</v>
      </c>
    </row>
    <row r="527" customFormat="false" ht="15" hidden="false" customHeight="false" outlineLevel="0" collapsed="false">
      <c r="A527" s="50" t="n">
        <v>447</v>
      </c>
      <c r="B527" s="51" t="n">
        <f aca="false">1+IF($G$6=$E$6,$F$6,IF(P527&lt;($F$6-$E$6)/($G$6-$E$6),$E$6+SQRT(P527*($G$6-$E$6)*($F$6-$E$6)),$G$6-SQRT((1-P527)*($G$6-$E$6)*($G$6-$F$6))))</f>
        <v>1.00869478435023</v>
      </c>
      <c r="C527" s="51" t="n">
        <f aca="false">1+IF($G$7=$E$7,$F$7,IF(Q527&lt;($F$7-$E$7)/($G$7-$E$7),$E$7+SQRT(Q527*($G$7-$E$7)*($F$7-$E$7)),$G$7-SQRT((1-Q527)*($G$7-$E$7)*($G$7-$F$7))))</f>
        <v>0.886114368134093</v>
      </c>
      <c r="D527" s="51" t="n">
        <f aca="false">1+IF($G$8=$E$8,$F$8,IF(R527&lt;($F$8-$E$8)/($G$8-$E$8),$E$8+SQRT(R527*($G$8-$E$8)*($F$8-$E$8)),$G$8-SQRT((1-R527)*($G$8-$E$8)*($G$8-$F$8))))</f>
        <v>0.966927467669002</v>
      </c>
      <c r="E527" s="51" t="n">
        <f aca="false">1+IF($G$9=$E$9,$F$9,IF(S527&lt;($F$9-$E$9)/($G$9-$E$9),$E$9+SQRT(S527*($G$9-$E$9)*($F$9-$E$9)),$G$9-SQRT((1-S527)*($G$9-$E$9)*($G$9-$F$9))))</f>
        <v>1.0691918382281</v>
      </c>
      <c r="F527" s="51" t="n">
        <f aca="false">1+IF($G$10=$E$10,$F$10,IF(T527&lt;($F$10-$E$10)/($G$10-$E$10),$E$10+SQRT(T527*($G$10-$E$10)*($F$10-$E$10)),$G$10-SQRT((1-T527)*($G$10-$E$10)*($G$10-$F$10))))</f>
        <v>1.0292079999158</v>
      </c>
      <c r="G527" s="52" t="n">
        <f aca="false">IF($G$11=$E$11,$F$11,IF(U527&lt;($F$11-$E$11)/($G$11-$E$11),$E$11+SQRT(U527*($G$11-$E$11)*($F$11-$E$11)),$G$11-SQRT((1-U527)*($G$11-$E$11)*($G$11-$F$11))))</f>
        <v>0.0922286575907632</v>
      </c>
      <c r="H527" s="53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-2058415999.83159</v>
      </c>
      <c r="I527" s="53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-7810701.50341243</v>
      </c>
      <c r="J527" s="53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285674050.306837</v>
      </c>
      <c r="K527" s="53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630619202.112876</v>
      </c>
      <c r="L527" s="53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759337835.333656</v>
      </c>
      <c r="M527" s="53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929234939.72916</v>
      </c>
      <c r="N527" s="53" t="n">
        <f aca="false">IF(COUNT('Business Case'!B11:G11)=0,"",H527+NPV(G527,I527:M527))</f>
        <v>-210762909.953326</v>
      </c>
      <c r="P527" s="54" t="n">
        <f aca="true">RAND()</f>
        <v>0.795829890233657</v>
      </c>
      <c r="Q527" s="54" t="n">
        <f aca="true">RAND()</f>
        <v>0.105938348559059</v>
      </c>
      <c r="R527" s="54" t="n">
        <f aca="true">RAND()</f>
        <v>0.0440829479515568</v>
      </c>
      <c r="S527" s="54" t="n">
        <f aca="true">RAND()</f>
        <v>0.93672381121575</v>
      </c>
      <c r="T527" s="54" t="n">
        <f aca="true">RAND()</f>
        <v>0.41660185414475</v>
      </c>
      <c r="U527" s="54" t="n">
        <f aca="true">RAND()</f>
        <v>0.0165563821895543</v>
      </c>
    </row>
    <row r="528" customFormat="false" ht="15" hidden="false" customHeight="false" outlineLevel="0" collapsed="false">
      <c r="A528" s="50" t="n">
        <v>448</v>
      </c>
      <c r="B528" s="51" t="n">
        <f aca="false">1+IF($G$6=$E$6,$F$6,IF(P528&lt;($F$6-$E$6)/($G$6-$E$6),$E$6+SQRT(P528*($G$6-$E$6)*($F$6-$E$6)),$G$6-SQRT((1-P528)*($G$6-$E$6)*($G$6-$F$6))))</f>
        <v>0.978155172160384</v>
      </c>
      <c r="C528" s="51" t="n">
        <f aca="false">1+IF($G$7=$E$7,$F$7,IF(Q528&lt;($F$7-$E$7)/($G$7-$E$7),$E$7+SQRT(Q528*($G$7-$E$7)*($F$7-$E$7)),$G$7-SQRT((1-Q528)*($G$7-$E$7)*($G$7-$F$7))))</f>
        <v>0.942960127005185</v>
      </c>
      <c r="D528" s="51" t="n">
        <f aca="false">1+IF($G$8=$E$8,$F$8,IF(R528&lt;($F$8-$E$8)/($G$8-$E$8),$E$8+SQRT(R528*($G$8-$E$8)*($F$8-$E$8)),$G$8-SQRT((1-R528)*($G$8-$E$8)*($G$8-$F$8))))</f>
        <v>1.02621312928233</v>
      </c>
      <c r="E528" s="51" t="n">
        <f aca="false">1+IF($G$9=$E$9,$F$9,IF(S528&lt;($F$9-$E$9)/($G$9-$E$9),$E$9+SQRT(S528*($G$9-$E$9)*($F$9-$E$9)),$G$9-SQRT((1-S528)*($G$9-$E$9)*($G$9-$F$9))))</f>
        <v>1.04786350568296</v>
      </c>
      <c r="F528" s="51" t="n">
        <f aca="false">1+IF($G$10=$E$10,$F$10,IF(T528&lt;($F$10-$E$10)/($G$10-$E$10),$E$10+SQRT(T528*($G$10-$E$10)*($F$10-$E$10)),$G$10-SQRT((1-T528)*($G$10-$E$10)*($G$10-$F$10))))</f>
        <v>1.04578999669916</v>
      </c>
      <c r="G528" s="52" t="n">
        <f aca="false">IF($G$11=$E$11,$F$11,IF(U528&lt;($F$11-$E$11)/($G$11-$E$11),$E$11+SQRT(U528*($G$11-$E$11)*($F$11-$E$11)),$G$11-SQRT((1-U528)*($G$11-$E$11)*($G$11-$F$11))))</f>
        <v>0.096587577467558</v>
      </c>
      <c r="H528" s="53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-2091579993.39832</v>
      </c>
      <c r="I528" s="53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-41293819.6597652</v>
      </c>
      <c r="J528" s="53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218812761.965742</v>
      </c>
      <c r="K528" s="53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531208843.426208</v>
      </c>
      <c r="L528" s="53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649787844.706204</v>
      </c>
      <c r="M528" s="53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825110285.432749</v>
      </c>
      <c r="N528" s="53" t="n">
        <f aca="false">IF(COUNT('Business Case'!B11:G11)=0,"",H528+NPV(G528,I528:M528))</f>
        <v>-574716060.763057</v>
      </c>
      <c r="P528" s="54" t="n">
        <f aca="true">RAND()</f>
        <v>0.352294171771242</v>
      </c>
      <c r="Q528" s="54" t="n">
        <f aca="true">RAND()</f>
        <v>0.291965684476265</v>
      </c>
      <c r="R528" s="54" t="n">
        <f aca="true">RAND()</f>
        <v>0.721824282538511</v>
      </c>
      <c r="S528" s="54" t="n">
        <f aca="true">RAND()</f>
        <v>0.818785730688628</v>
      </c>
      <c r="T528" s="54" t="n">
        <f aca="true">RAND()</f>
        <v>0.524385497639102</v>
      </c>
      <c r="U528" s="54" t="n">
        <f aca="true">RAND()</f>
        <v>0.14465392297026</v>
      </c>
    </row>
    <row r="529" customFormat="false" ht="15" hidden="false" customHeight="false" outlineLevel="0" collapsed="false">
      <c r="A529" s="50" t="n">
        <v>449</v>
      </c>
      <c r="B529" s="51" t="n">
        <f aca="false">1+IF($G$6=$E$6,$F$6,IF(P529&lt;($F$6-$E$6)/($G$6-$E$6),$E$6+SQRT(P529*($G$6-$E$6)*($F$6-$E$6)),$G$6-SQRT((1-P529)*($G$6-$E$6)*($G$6-$F$6))))</f>
        <v>0.977277995930843</v>
      </c>
      <c r="C529" s="51" t="n">
        <f aca="false">1+IF($G$7=$E$7,$F$7,IF(Q529&lt;($F$7-$E$7)/($G$7-$E$7),$E$7+SQRT(Q529*($G$7-$E$7)*($F$7-$E$7)),$G$7-SQRT((1-Q529)*($G$7-$E$7)*($G$7-$F$7))))</f>
        <v>0.963949823310196</v>
      </c>
      <c r="D529" s="51" t="n">
        <f aca="false">1+IF($G$8=$E$8,$F$8,IF(R529&lt;($F$8-$E$8)/($G$8-$E$8),$E$8+SQRT(R529*($G$8-$E$8)*($F$8-$E$8)),$G$8-SQRT((1-R529)*($G$8-$E$8)*($G$8-$F$8))))</f>
        <v>0.97662688618534</v>
      </c>
      <c r="E529" s="51" t="n">
        <f aca="false">1+IF($G$9=$E$9,$F$9,IF(S529&lt;($F$9-$E$9)/($G$9-$E$9),$E$9+SQRT(S529*($G$9-$E$9)*($F$9-$E$9)),$G$9-SQRT((1-S529)*($G$9-$E$9)*($G$9-$F$9))))</f>
        <v>0.984108811267551</v>
      </c>
      <c r="F529" s="51" t="n">
        <f aca="false">1+IF($G$10=$E$10,$F$10,IF(T529&lt;($F$10-$E$10)/($G$10-$E$10),$E$10+SQRT(T529*($G$10-$E$10)*($F$10-$E$10)),$G$10-SQRT((1-T529)*($G$10-$E$10)*($G$10-$F$10))))</f>
        <v>1.10847268506577</v>
      </c>
      <c r="G529" s="52" t="n">
        <f aca="false">IF($G$11=$E$11,$F$11,IF(U529&lt;($F$11-$E$11)/($G$11-$E$11),$E$11+SQRT(U529*($G$11-$E$11)*($F$11-$E$11)),$G$11-SQRT((1-U529)*($G$11-$E$11)*($G$11-$F$11))))</f>
        <v>0.0946272867846012</v>
      </c>
      <c r="H529" s="53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-2216945370.13154</v>
      </c>
      <c r="I529" s="53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-9950350.19023593</v>
      </c>
      <c r="J529" s="53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279722555.054239</v>
      </c>
      <c r="K529" s="53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624819094.552003</v>
      </c>
      <c r="L529" s="53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753933872.27742</v>
      </c>
      <c r="M529" s="53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932998156.819011</v>
      </c>
      <c r="N529" s="53" t="n">
        <f aca="false">IF(COUNT('Business Case'!B11:G11)=0,"",H529+NPV(G529,I529:M529))</f>
        <v>-397395264.674654</v>
      </c>
      <c r="P529" s="54" t="n">
        <f aca="true">RAND()</f>
        <v>0.341746751859751</v>
      </c>
      <c r="Q529" s="54" t="n">
        <f aca="true">RAND()</f>
        <v>0.383993493763493</v>
      </c>
      <c r="R529" s="54" t="n">
        <f aca="true">RAND()</f>
        <v>0.109075548911854</v>
      </c>
      <c r="S529" s="54" t="n">
        <f aca="true">RAND()</f>
        <v>0.155121467478052</v>
      </c>
      <c r="T529" s="54" t="n">
        <f aca="true">RAND()</f>
        <v>0.832455012418605</v>
      </c>
      <c r="U529" s="54" t="n">
        <f aca="true">RAND()</f>
        <v>0.0713726099564821</v>
      </c>
    </row>
    <row r="530" customFormat="false" ht="15" hidden="false" customHeight="false" outlineLevel="0" collapsed="false">
      <c r="A530" s="50" t="n">
        <v>450</v>
      </c>
      <c r="B530" s="51" t="n">
        <f aca="false">1+IF($G$6=$E$6,$F$6,IF(P530&lt;($F$6-$E$6)/($G$6-$E$6),$E$6+SQRT(P530*($G$6-$E$6)*($F$6-$E$6)),$G$6-SQRT((1-P530)*($G$6-$E$6)*($G$6-$F$6))))</f>
        <v>1.02649817981281</v>
      </c>
      <c r="C530" s="51" t="n">
        <f aca="false">1+IF($G$7=$E$7,$F$7,IF(Q530&lt;($F$7-$E$7)/($G$7-$E$7),$E$7+SQRT(Q530*($G$7-$E$7)*($F$7-$E$7)),$G$7-SQRT((1-Q530)*($G$7-$E$7)*($G$7-$F$7))))</f>
        <v>0.895937488775552</v>
      </c>
      <c r="D530" s="51" t="n">
        <f aca="false">1+IF($G$8=$E$8,$F$8,IF(R530&lt;($F$8-$E$8)/($G$8-$E$8),$E$8+SQRT(R530*($G$8-$E$8)*($F$8-$E$8)),$G$8-SQRT((1-R530)*($G$8-$E$8)*($G$8-$F$8))))</f>
        <v>0.980519120999288</v>
      </c>
      <c r="E530" s="51" t="n">
        <f aca="false">1+IF($G$9=$E$9,$F$9,IF(S530&lt;($F$9-$E$9)/($G$9-$E$9),$E$9+SQRT(S530*($G$9-$E$9)*($F$9-$E$9)),$G$9-SQRT((1-S530)*($G$9-$E$9)*($G$9-$F$9))))</f>
        <v>0.989370526984961</v>
      </c>
      <c r="F530" s="51" t="n">
        <f aca="false">1+IF($G$10=$E$10,$F$10,IF(T530&lt;($F$10-$E$10)/($G$10-$E$10),$E$10+SQRT(T530*($G$10-$E$10)*($F$10-$E$10)),$G$10-SQRT((1-T530)*($G$10-$E$10)*($G$10-$F$10))))</f>
        <v>1.00830471251616</v>
      </c>
      <c r="G530" s="52" t="n">
        <f aca="false">IF($G$11=$E$11,$F$11,IF(U530&lt;($F$11-$E$11)/($G$11-$E$11),$E$11+SQRT(U530*($G$11-$E$11)*($F$11-$E$11)),$G$11-SQRT((1-U530)*($G$11-$E$11)*($G$11-$F$11))))</f>
        <v>0.0997453598374571</v>
      </c>
      <c r="H530" s="53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-2016609425.03231</v>
      </c>
      <c r="I530" s="53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14374138.8264872</v>
      </c>
      <c r="J530" s="53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317943355.805235</v>
      </c>
      <c r="K530" s="53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671927808.409791</v>
      </c>
      <c r="L530" s="53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804901626.044962</v>
      </c>
      <c r="M530" s="53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979714058.577369</v>
      </c>
      <c r="N530" s="53" t="n">
        <f aca="false">IF(COUNT('Business Case'!B11:G11)=0,"",H530+NPV(G530,I530:M530))</f>
        <v>-76176198.6610584</v>
      </c>
      <c r="P530" s="54" t="n">
        <f aca="true">RAND()</f>
        <v>0.962021010756807</v>
      </c>
      <c r="Q530" s="54" t="n">
        <f aca="true">RAND()</f>
        <v>0.131485739322273</v>
      </c>
      <c r="R530" s="54" t="n">
        <f aca="true">RAND()</f>
        <v>0.14329488408757</v>
      </c>
      <c r="S530" s="54" t="n">
        <f aca="true">RAND()</f>
        <v>0.20667178600981</v>
      </c>
      <c r="T530" s="54" t="n">
        <f aca="true">RAND()</f>
        <v>0.265058335129723</v>
      </c>
      <c r="U530" s="54" t="n">
        <f aca="true">RAND()</f>
        <v>0.316573461205072</v>
      </c>
    </row>
    <row r="531" customFormat="false" ht="15" hidden="false" customHeight="false" outlineLevel="0" collapsed="false">
      <c r="A531" s="50" t="n">
        <v>451</v>
      </c>
      <c r="B531" s="51" t="n">
        <f aca="false">1+IF($G$6=$E$6,$F$6,IF(P531&lt;($F$6-$E$6)/($G$6-$E$6),$E$6+SQRT(P531*($G$6-$E$6)*($F$6-$E$6)),$G$6-SQRT((1-P531)*($G$6-$E$6)*($G$6-$F$6))))</f>
        <v>1.00107177789394</v>
      </c>
      <c r="C531" s="51" t="n">
        <f aca="false">1+IF($G$7=$E$7,$F$7,IF(Q531&lt;($F$7-$E$7)/($G$7-$E$7),$E$7+SQRT(Q531*($G$7-$E$7)*($F$7-$E$7)),$G$7-SQRT((1-Q531)*($G$7-$E$7)*($G$7-$F$7))))</f>
        <v>0.946382549107262</v>
      </c>
      <c r="D531" s="51" t="n">
        <f aca="false">1+IF($G$8=$E$8,$F$8,IF(R531&lt;($F$8-$E$8)/($G$8-$E$8),$E$8+SQRT(R531*($G$8-$E$8)*($F$8-$E$8)),$G$8-SQRT((1-R531)*($G$8-$E$8)*($G$8-$F$8))))</f>
        <v>1.05537997384616</v>
      </c>
      <c r="E531" s="51" t="n">
        <f aca="false">1+IF($G$9=$E$9,$F$9,IF(S531&lt;($F$9-$E$9)/($G$9-$E$9),$E$9+SQRT(S531*($G$9-$E$9)*($F$9-$E$9)),$G$9-SQRT((1-S531)*($G$9-$E$9)*($G$9-$F$9))))</f>
        <v>0.976963366975022</v>
      </c>
      <c r="F531" s="51" t="n">
        <f aca="false">1+IF($G$10=$E$10,$F$10,IF(T531&lt;($F$10-$E$10)/($G$10-$E$10),$E$10+SQRT(T531*($G$10-$E$10)*($F$10-$E$10)),$G$10-SQRT((1-T531)*($G$10-$E$10)*($G$10-$F$10))))</f>
        <v>1.15575927428207</v>
      </c>
      <c r="G531" s="52" t="n">
        <f aca="false">IF($G$11=$E$11,$F$11,IF(U531&lt;($F$11-$E$11)/($G$11-$E$11),$E$11+SQRT(U531*($G$11-$E$11)*($F$11-$E$11)),$G$11-SQRT((1-U531)*($G$11-$E$11)*($G$11-$F$11))))</f>
        <v>0.0940150254142005</v>
      </c>
      <c r="H531" s="53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-2311518548.56415</v>
      </c>
      <c r="I531" s="53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-38929139.5378579</v>
      </c>
      <c r="J531" s="53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225754892.410715</v>
      </c>
      <c r="K531" s="53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548226888.073391</v>
      </c>
      <c r="L531" s="53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669196934.239165</v>
      </c>
      <c r="M531" s="53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849278129.57854</v>
      </c>
      <c r="N531" s="53" t="n">
        <f aca="false">IF(COUNT('Business Case'!B11:G11)=0,"",H531+NPV(G531,I531:M531))</f>
        <v>-730720390.477368</v>
      </c>
      <c r="P531" s="54" t="n">
        <f aca="true">RAND()</f>
        <v>0.684290317429406</v>
      </c>
      <c r="Q531" s="54" t="n">
        <f aca="true">RAND()</f>
        <v>0.306112152616285</v>
      </c>
      <c r="R531" s="54" t="n">
        <f aca="true">RAND()</f>
        <v>0.941716760786955</v>
      </c>
      <c r="S531" s="54" t="n">
        <f aca="true">RAND()</f>
        <v>0.0969364211506284</v>
      </c>
      <c r="T531" s="54" t="n">
        <f aca="true">RAND()</f>
        <v>0.960855163759025</v>
      </c>
      <c r="U531" s="54" t="n">
        <f aca="true">RAND()</f>
        <v>0.0537347635889209</v>
      </c>
    </row>
    <row r="532" customFormat="false" ht="15" hidden="false" customHeight="false" outlineLevel="0" collapsed="false">
      <c r="A532" s="50" t="n">
        <v>452</v>
      </c>
      <c r="B532" s="51" t="n">
        <f aca="false">1+IF($G$6=$E$6,$F$6,IF(P532&lt;($F$6-$E$6)/($G$6-$E$6),$E$6+SQRT(P532*($G$6-$E$6)*($F$6-$E$6)),$G$6-SQRT((1-P532)*($G$6-$E$6)*($G$6-$F$6))))</f>
        <v>0.998379473958251</v>
      </c>
      <c r="C532" s="51" t="n">
        <f aca="false">1+IF($G$7=$E$7,$F$7,IF(Q532&lt;($F$7-$E$7)/($G$7-$E$7),$E$7+SQRT(Q532*($G$7-$E$7)*($F$7-$E$7)),$G$7-SQRT((1-Q532)*($G$7-$E$7)*($G$7-$F$7))))</f>
        <v>0.962441706804741</v>
      </c>
      <c r="D532" s="51" t="n">
        <f aca="false">1+IF($G$8=$E$8,$F$8,IF(R532&lt;($F$8-$E$8)/($G$8-$E$8),$E$8+SQRT(R532*($G$8-$E$8)*($F$8-$E$8)),$G$8-SQRT((1-R532)*($G$8-$E$8)*($G$8-$F$8))))</f>
        <v>1.00598145365396</v>
      </c>
      <c r="E532" s="51" t="n">
        <f aca="false">1+IF($G$9=$E$9,$F$9,IF(S532&lt;($F$9-$E$9)/($G$9-$E$9),$E$9+SQRT(S532*($G$9-$E$9)*($F$9-$E$9)),$G$9-SQRT((1-S532)*($G$9-$E$9)*($G$9-$F$9))))</f>
        <v>0.984811772562199</v>
      </c>
      <c r="F532" s="51" t="n">
        <f aca="false">1+IF($G$10=$E$10,$F$10,IF(T532&lt;($F$10-$E$10)/($G$10-$E$10),$E$10+SQRT(T532*($G$10-$E$10)*($F$10-$E$10)),$G$10-SQRT((1-T532)*($G$10-$E$10)*($G$10-$F$10))))</f>
        <v>1.00175296970655</v>
      </c>
      <c r="G532" s="52" t="n">
        <f aca="false">IF($G$11=$E$11,$F$11,IF(U532&lt;($F$11-$E$11)/($G$11-$E$11),$E$11+SQRT(U532*($G$11-$E$11)*($F$11-$E$11)),$G$11-SQRT((1-U532)*($G$11-$E$11)*($G$11-$F$11))))</f>
        <v>0.0945233353340035</v>
      </c>
      <c r="H532" s="53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-2003505939.41309</v>
      </c>
      <c r="I532" s="53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1363742.24510914</v>
      </c>
      <c r="J532" s="53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292755140.729695</v>
      </c>
      <c r="K532" s="53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634234187.699609</v>
      </c>
      <c r="L532" s="53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764572737.334789</v>
      </c>
      <c r="M532" s="53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947217196.439873</v>
      </c>
      <c r="N532" s="53" t="n">
        <f aca="false">IF(COUNT('Business Case'!B11:G11)=0,"",H532+NPV(G532,I532:M532))</f>
        <v>-138433868.816564</v>
      </c>
      <c r="P532" s="54" t="n">
        <f aca="true">RAND()</f>
        <v>0.639931451872102</v>
      </c>
      <c r="Q532" s="54" t="n">
        <f aca="true">RAND()</f>
        <v>0.376961544423393</v>
      </c>
      <c r="R532" s="54" t="n">
        <f aca="true">RAND()</f>
        <v>0.473197576617243</v>
      </c>
      <c r="S532" s="54" t="n">
        <f aca="true">RAND()</f>
        <v>0.161581267856307</v>
      </c>
      <c r="T532" s="54" t="n">
        <f aca="true">RAND()</f>
        <v>0.213962299596526</v>
      </c>
      <c r="U532" s="54" t="n">
        <f aca="true">RAND()</f>
        <v>0.0682018751461477</v>
      </c>
    </row>
    <row r="533" customFormat="false" ht="15" hidden="false" customHeight="false" outlineLevel="0" collapsed="false">
      <c r="A533" s="50" t="n">
        <v>453</v>
      </c>
      <c r="B533" s="51" t="n">
        <f aca="false">1+IF($G$6=$E$6,$F$6,IF(P533&lt;($F$6-$E$6)/($G$6-$E$6),$E$6+SQRT(P533*($G$6-$E$6)*($F$6-$E$6)),$G$6-SQRT((1-P533)*($G$6-$E$6)*($G$6-$F$6))))</f>
        <v>1.0068352523474</v>
      </c>
      <c r="C533" s="51" t="n">
        <f aca="false">1+IF($G$7=$E$7,$F$7,IF(Q533&lt;($F$7-$E$7)/($G$7-$E$7),$E$7+SQRT(Q533*($G$7-$E$7)*($F$7-$E$7)),$G$7-SQRT((1-Q533)*($G$7-$E$7)*($G$7-$F$7))))</f>
        <v>0.887721810741352</v>
      </c>
      <c r="D533" s="51" t="n">
        <f aca="false">1+IF($G$8=$E$8,$F$8,IF(R533&lt;($F$8-$E$8)/($G$8-$E$8),$E$8+SQRT(R533*($G$8-$E$8)*($F$8-$E$8)),$G$8-SQRT((1-R533)*($G$8-$E$8)*($G$8-$F$8))))</f>
        <v>1.04863151503041</v>
      </c>
      <c r="E533" s="51" t="n">
        <f aca="false">1+IF($G$9=$E$9,$F$9,IF(S533&lt;($F$9-$E$9)/($G$9-$E$9),$E$9+SQRT(S533*($G$9-$E$9)*($F$9-$E$9)),$G$9-SQRT((1-S533)*($G$9-$E$9)*($G$9-$F$9))))</f>
        <v>0.996964779303155</v>
      </c>
      <c r="F533" s="51" t="n">
        <f aca="false">1+IF($G$10=$E$10,$F$10,IF(T533&lt;($F$10-$E$10)/($G$10-$E$10),$E$10+SQRT(T533*($G$10-$E$10)*($F$10-$E$10)),$G$10-SQRT((1-T533)*($G$10-$E$10)*($G$10-$F$10))))</f>
        <v>0.974203044838792</v>
      </c>
      <c r="G533" s="52" t="n">
        <f aca="false">IF($G$11=$E$11,$F$11,IF(U533&lt;($F$11-$E$11)/($G$11-$E$11),$E$11+SQRT(U533*($G$11-$E$11)*($F$11-$E$11)),$G$11-SQRT((1-U533)*($G$11-$E$11)*($G$11-$F$11))))</f>
        <v>0.110844222596088</v>
      </c>
      <c r="H533" s="53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-1948406089.67758</v>
      </c>
      <c r="I533" s="53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-29987482.5089216</v>
      </c>
      <c r="J533" s="53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225547784.638079</v>
      </c>
      <c r="K533" s="53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529793204.027018</v>
      </c>
      <c r="L533" s="53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645860995.446107</v>
      </c>
      <c r="M533" s="53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815752525.148265</v>
      </c>
      <c r="N533" s="53" t="n">
        <f aca="false">IF(COUNT('Business Case'!B11:G11)=0,"",H533+NPV(G533,I533:M533))</f>
        <v>-499692695.782166</v>
      </c>
      <c r="P533" s="54" t="n">
        <f aca="true">RAND()</f>
        <v>0.770854065237338</v>
      </c>
      <c r="Q533" s="54" t="n">
        <f aca="true">RAND()</f>
        <v>0.109930229710593</v>
      </c>
      <c r="R533" s="54" t="n">
        <f aca="true">RAND()</f>
        <v>0.905386360645455</v>
      </c>
      <c r="S533" s="54" t="n">
        <f aca="true">RAND()</f>
        <v>0.294092065999209</v>
      </c>
      <c r="T533" s="54" t="n">
        <f aca="true">RAND()</f>
        <v>0.0468629903574845</v>
      </c>
      <c r="U533" s="54" t="n">
        <f aca="true">RAND()</f>
        <v>0.860286233550032</v>
      </c>
    </row>
    <row r="534" customFormat="false" ht="15" hidden="false" customHeight="false" outlineLevel="0" collapsed="false">
      <c r="A534" s="50" t="n">
        <v>454</v>
      </c>
      <c r="B534" s="51" t="n">
        <f aca="false">1+IF($G$6=$E$6,$F$6,IF(P534&lt;($F$6-$E$6)/($G$6-$E$6),$E$6+SQRT(P534*($G$6-$E$6)*($F$6-$E$6)),$G$6-SQRT((1-P534)*($G$6-$E$6)*($G$6-$F$6))))</f>
        <v>0.964756579405314</v>
      </c>
      <c r="C534" s="51" t="n">
        <f aca="false">1+IF($G$7=$E$7,$F$7,IF(Q534&lt;($F$7-$E$7)/($G$7-$E$7),$E$7+SQRT(Q534*($G$7-$E$7)*($F$7-$E$7)),$G$7-SQRT((1-Q534)*($G$7-$E$7)*($G$7-$F$7))))</f>
        <v>1.04646194026895</v>
      </c>
      <c r="D534" s="51" t="n">
        <f aca="false">1+IF($G$8=$E$8,$F$8,IF(R534&lt;($F$8-$E$8)/($G$8-$E$8),$E$8+SQRT(R534*($G$8-$E$8)*($F$8-$E$8)),$G$8-SQRT((1-R534)*($G$8-$E$8)*($G$8-$F$8))))</f>
        <v>1.00186008675805</v>
      </c>
      <c r="E534" s="51" t="n">
        <f aca="false">1+IF($G$9=$E$9,$F$9,IF(S534&lt;($F$9-$E$9)/($G$9-$E$9),$E$9+SQRT(S534*($G$9-$E$9)*($F$9-$E$9)),$G$9-SQRT((1-S534)*($G$9-$E$9)*($G$9-$F$9))))</f>
        <v>0.993701761019982</v>
      </c>
      <c r="F534" s="51" t="n">
        <f aca="false">1+IF($G$10=$E$10,$F$10,IF(T534&lt;($F$10-$E$10)/($G$10-$E$10),$E$10+SQRT(T534*($G$10-$E$10)*($F$10-$E$10)),$G$10-SQRT((1-T534)*($G$10-$E$10)*($G$10-$F$10))))</f>
        <v>1.10664895015928</v>
      </c>
      <c r="G534" s="52" t="n">
        <f aca="false">IF($G$11=$E$11,$F$11,IF(U534&lt;($F$11-$E$11)/($G$11-$E$11),$E$11+SQRT(U534*($G$11-$E$11)*($F$11-$E$11)),$G$11-SQRT((1-U534)*($G$11-$E$11)*($G$11-$F$11))))</f>
        <v>0.0967437322990775</v>
      </c>
      <c r="H534" s="53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-2213297900.31856</v>
      </c>
      <c r="I534" s="53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-14087657.2995269</v>
      </c>
      <c r="J534" s="53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276130652.049729</v>
      </c>
      <c r="K534" s="53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621681408.906949</v>
      </c>
      <c r="L534" s="53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753311966.167244</v>
      </c>
      <c r="M534" s="53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945213130.625228</v>
      </c>
      <c r="N534" s="53" t="n">
        <f aca="false">IF(COUNT('Business Case'!B11:G11)=0,"",H534+NPV(G534,I534:M534))</f>
        <v>-408999936.576386</v>
      </c>
      <c r="P534" s="54" t="n">
        <f aca="true">RAND()</f>
        <v>0.208661604173354</v>
      </c>
      <c r="Q534" s="54" t="n">
        <f aca="true">RAND()</f>
        <v>0.795807051183418</v>
      </c>
      <c r="R534" s="54" t="n">
        <f aca="true">RAND()</f>
        <v>0.412899419090438</v>
      </c>
      <c r="S534" s="54" t="n">
        <f aca="true">RAND()</f>
        <v>0.254645855499679</v>
      </c>
      <c r="T534" s="54" t="n">
        <f aca="true">RAND()</f>
        <v>0.825711629872699</v>
      </c>
      <c r="U534" s="54" t="n">
        <f aca="true">RAND()</f>
        <v>0.151593084405404</v>
      </c>
    </row>
    <row r="535" customFormat="false" ht="15" hidden="false" customHeight="false" outlineLevel="0" collapsed="false">
      <c r="A535" s="50" t="n">
        <v>455</v>
      </c>
      <c r="B535" s="51" t="n">
        <f aca="false">1+IF($G$6=$E$6,$F$6,IF(P535&lt;($F$6-$E$6)/($G$6-$E$6),$E$6+SQRT(P535*($G$6-$E$6)*($F$6-$E$6)),$G$6-SQRT((1-P535)*($G$6-$E$6)*($G$6-$F$6))))</f>
        <v>1.01585275814737</v>
      </c>
      <c r="C535" s="51" t="n">
        <f aca="false">1+IF($G$7=$E$7,$F$7,IF(Q535&lt;($F$7-$E$7)/($G$7-$E$7),$E$7+SQRT(Q535*($G$7-$E$7)*($F$7-$E$7)),$G$7-SQRT((1-Q535)*($G$7-$E$7)*($G$7-$F$7))))</f>
        <v>0.976247477293379</v>
      </c>
      <c r="D535" s="51" t="n">
        <f aca="false">1+IF($G$8=$E$8,$F$8,IF(R535&lt;($F$8-$E$8)/($G$8-$E$8),$E$8+SQRT(R535*($G$8-$E$8)*($F$8-$E$8)),$G$8-SQRT((1-R535)*($G$8-$E$8)*($G$8-$F$8))))</f>
        <v>1.03666339573781</v>
      </c>
      <c r="E535" s="51" t="n">
        <f aca="false">1+IF($G$9=$E$9,$F$9,IF(S535&lt;($F$9-$E$9)/($G$9-$E$9),$E$9+SQRT(S535*($G$9-$E$9)*($F$9-$E$9)),$G$9-SQRT((1-S535)*($G$9-$E$9)*($G$9-$F$9))))</f>
        <v>1.0906130840388</v>
      </c>
      <c r="F535" s="51" t="n">
        <f aca="false">1+IF($G$10=$E$10,$F$10,IF(T535&lt;($F$10-$E$10)/($G$10-$E$10),$E$10+SQRT(T535*($G$10-$E$10)*($F$10-$E$10)),$G$10-SQRT((1-T535)*($G$10-$E$10)*($G$10-$F$10))))</f>
        <v>0.990483391189589</v>
      </c>
      <c r="G535" s="52" t="n">
        <f aca="false">IF($G$11=$E$11,$F$11,IF(U535&lt;($F$11-$E$11)/($G$11-$E$11),$E$11+SQRT(U535*($G$11-$E$11)*($F$11-$E$11)),$G$11-SQRT((1-U535)*($G$11-$E$11)*($G$11-$F$11))))</f>
        <v>0.0986340480578452</v>
      </c>
      <c r="H535" s="53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-1980966782.37918</v>
      </c>
      <c r="I535" s="53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-11334897.2113512</v>
      </c>
      <c r="J535" s="53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282874681.462812</v>
      </c>
      <c r="K535" s="53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626608429.696456</v>
      </c>
      <c r="L535" s="53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758952260.065336</v>
      </c>
      <c r="M535" s="53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947459099.524881</v>
      </c>
      <c r="N535" s="53" t="n">
        <f aca="false">IF(COUNT('Business Case'!B11:G11)=0,"",H535+NPV(G535,I535:M535))</f>
        <v>-171461962.36068</v>
      </c>
      <c r="P535" s="54" t="n">
        <f aca="true">RAND()</f>
        <v>0.878523064773028</v>
      </c>
      <c r="Q535" s="54" t="n">
        <f aca="true">RAND()</f>
        <v>0.443759617889715</v>
      </c>
      <c r="R535" s="54" t="n">
        <f aca="true">RAND()</f>
        <v>0.819417185675233</v>
      </c>
      <c r="S535" s="54" t="n">
        <f aca="true">RAND()</f>
        <v>0.994125720582485</v>
      </c>
      <c r="T535" s="54" t="n">
        <f aca="true">RAND()</f>
        <v>0.131112396976744</v>
      </c>
      <c r="U535" s="54" t="n">
        <f aca="true">RAND()</f>
        <v>0.248489286217271</v>
      </c>
    </row>
    <row r="536" customFormat="false" ht="15" hidden="false" customHeight="false" outlineLevel="0" collapsed="false">
      <c r="A536" s="50" t="n">
        <v>456</v>
      </c>
      <c r="B536" s="51" t="n">
        <f aca="false">1+IF($G$6=$E$6,$F$6,IF(P536&lt;($F$6-$E$6)/($G$6-$E$6),$E$6+SQRT(P536*($G$6-$E$6)*($F$6-$E$6)),$G$6-SQRT((1-P536)*($G$6-$E$6)*($G$6-$F$6))))</f>
        <v>0.993553321453577</v>
      </c>
      <c r="C536" s="51" t="n">
        <f aca="false">1+IF($G$7=$E$7,$F$7,IF(Q536&lt;($F$7-$E$7)/($G$7-$E$7),$E$7+SQRT(Q536*($G$7-$E$7)*($F$7-$E$7)),$G$7-SQRT((1-Q536)*($G$7-$E$7)*($G$7-$F$7))))</f>
        <v>1.05774758266251</v>
      </c>
      <c r="D536" s="51" t="n">
        <f aca="false">1+IF($G$8=$E$8,$F$8,IF(R536&lt;($F$8-$E$8)/($G$8-$E$8),$E$8+SQRT(R536*($G$8-$E$8)*($F$8-$E$8)),$G$8-SQRT((1-R536)*($G$8-$E$8)*($G$8-$F$8))))</f>
        <v>1.01857069257238</v>
      </c>
      <c r="E536" s="51" t="n">
        <f aca="false">1+IF($G$9=$E$9,$F$9,IF(S536&lt;($F$9-$E$9)/($G$9-$E$9),$E$9+SQRT(S536*($G$9-$E$9)*($F$9-$E$9)),$G$9-SQRT((1-S536)*($G$9-$E$9)*($G$9-$F$9))))</f>
        <v>0.95690892355691</v>
      </c>
      <c r="F536" s="51" t="n">
        <f aca="false">1+IF($G$10=$E$10,$F$10,IF(T536&lt;($F$10-$E$10)/($G$10-$E$10),$E$10+SQRT(T536*($G$10-$E$10)*($F$10-$E$10)),$G$10-SQRT((1-T536)*($G$10-$E$10)*($G$10-$F$10))))</f>
        <v>1.07287884641908</v>
      </c>
      <c r="G536" s="52" t="n">
        <f aca="false">IF($G$11=$E$11,$F$11,IF(U536&lt;($F$11-$E$11)/($G$11-$E$11),$E$11+SQRT(U536*($G$11-$E$11)*($F$11-$E$11)),$G$11-SQRT((1-U536)*($G$11-$E$11)*($G$11-$F$11))))</f>
        <v>0.0994158484031994</v>
      </c>
      <c r="H536" s="53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-2145757692.83817</v>
      </c>
      <c r="I536" s="53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11407895.568974</v>
      </c>
      <c r="J536" s="53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320656264.578526</v>
      </c>
      <c r="K536" s="53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683548575.909031</v>
      </c>
      <c r="L536" s="53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822951458.8248</v>
      </c>
      <c r="M536" s="53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1022711971.67735</v>
      </c>
      <c r="N536" s="53" t="n">
        <f aca="false">IF(COUNT('Business Case'!B11:G11)=0,"",H536+NPV(G536,I536:M536))</f>
        <v>-155720319.417923</v>
      </c>
      <c r="P536" s="54" t="n">
        <f aca="true">RAND()</f>
        <v>0.56355115592221</v>
      </c>
      <c r="Q536" s="54" t="n">
        <f aca="true">RAND()</f>
        <v>0.837895076102659</v>
      </c>
      <c r="R536" s="54" t="n">
        <f aca="true">RAND()</f>
        <v>0.637157710477242</v>
      </c>
      <c r="S536" s="54" t="n">
        <f aca="true">RAND()</f>
        <v>0.00636442996202967</v>
      </c>
      <c r="T536" s="54" t="n">
        <f aca="true">RAND()</f>
        <v>0.676804246245148</v>
      </c>
      <c r="U536" s="54" t="n">
        <f aca="true">RAND()</f>
        <v>0.295527337173444</v>
      </c>
    </row>
    <row r="537" customFormat="false" ht="15" hidden="false" customHeight="false" outlineLevel="0" collapsed="false">
      <c r="A537" s="50" t="n">
        <v>457</v>
      </c>
      <c r="B537" s="51" t="n">
        <f aca="false">1+IF($G$6=$E$6,$F$6,IF(P537&lt;($F$6-$E$6)/($G$6-$E$6),$E$6+SQRT(P537*($G$6-$E$6)*($F$6-$E$6)),$G$6-SQRT((1-P537)*($G$6-$E$6)*($G$6-$F$6))))</f>
        <v>1.0061754297467</v>
      </c>
      <c r="C537" s="51" t="n">
        <f aca="false">1+IF($G$7=$E$7,$F$7,IF(Q537&lt;($F$7-$E$7)/($G$7-$E$7),$E$7+SQRT(Q537*($G$7-$E$7)*($F$7-$E$7)),$G$7-SQRT((1-Q537)*($G$7-$E$7)*($G$7-$F$7))))</f>
        <v>0.990082782086423</v>
      </c>
      <c r="D537" s="51" t="n">
        <f aca="false">1+IF($G$8=$E$8,$F$8,IF(R537&lt;($F$8-$E$8)/($G$8-$E$8),$E$8+SQRT(R537*($G$8-$E$8)*($F$8-$E$8)),$G$8-SQRT((1-R537)*($G$8-$E$8)*($G$8-$F$8))))</f>
        <v>0.971302060566038</v>
      </c>
      <c r="E537" s="51" t="n">
        <f aca="false">1+IF($G$9=$E$9,$F$9,IF(S537&lt;($F$9-$E$9)/($G$9-$E$9),$E$9+SQRT(S537*($G$9-$E$9)*($F$9-$E$9)),$G$9-SQRT((1-S537)*($G$9-$E$9)*($G$9-$F$9))))</f>
        <v>0.997028526833146</v>
      </c>
      <c r="F537" s="51" t="n">
        <f aca="false">1+IF($G$10=$E$10,$F$10,IF(T537&lt;($F$10-$E$10)/($G$10-$E$10),$E$10+SQRT(T537*($G$10-$E$10)*($F$10-$E$10)),$G$10-SQRT((1-T537)*($G$10-$E$10)*($G$10-$F$10))))</f>
        <v>1.07631919396727</v>
      </c>
      <c r="G537" s="52" t="n">
        <f aca="false">IF($G$11=$E$11,$F$11,IF(U537&lt;($F$11-$E$11)/($G$11-$E$11),$E$11+SQRT(U537*($G$11-$E$11)*($F$11-$E$11)),$G$11-SQRT((1-U537)*($G$11-$E$11)*($G$11-$F$11))))</f>
        <v>0.0983406170855548</v>
      </c>
      <c r="H537" s="53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-2152638387.93453</v>
      </c>
      <c r="I537" s="53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22606993.8295716</v>
      </c>
      <c r="J537" s="53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346266214.431575</v>
      </c>
      <c r="K537" s="53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723741394.731942</v>
      </c>
      <c r="L537" s="53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866056368.839297</v>
      </c>
      <c r="M537" s="53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1055413488.65941</v>
      </c>
      <c r="N537" s="53" t="n">
        <f aca="false">IF(COUNT('Business Case'!B11:G11)=0,"",H537+NPV(G537,I537:M537))</f>
        <v>-43388750.450901</v>
      </c>
      <c r="P537" s="54" t="n">
        <f aca="true">RAND()</f>
        <v>0.761645509829022</v>
      </c>
      <c r="Q537" s="54" t="n">
        <f aca="true">RAND()</f>
        <v>0.516163772081638</v>
      </c>
      <c r="R537" s="54" t="n">
        <f aca="true">RAND()</f>
        <v>0.0698119668244827</v>
      </c>
      <c r="S537" s="54" t="n">
        <f aca="true">RAND()</f>
        <v>0.294890978146128</v>
      </c>
      <c r="T537" s="54" t="n">
        <f aca="true">RAND()</f>
        <v>0.694061164381868</v>
      </c>
      <c r="U537" s="54" t="n">
        <f aca="true">RAND()</f>
        <v>0.231886311226162</v>
      </c>
    </row>
    <row r="538" customFormat="false" ht="15" hidden="false" customHeight="false" outlineLevel="0" collapsed="false">
      <c r="A538" s="50" t="n">
        <v>458</v>
      </c>
      <c r="B538" s="51" t="n">
        <f aca="false">1+IF($G$6=$E$6,$F$6,IF(P538&lt;($F$6-$E$6)/($G$6-$E$6),$E$6+SQRT(P538*($G$6-$E$6)*($F$6-$E$6)),$G$6-SQRT((1-P538)*($G$6-$E$6)*($G$6-$F$6))))</f>
        <v>0.925717685531156</v>
      </c>
      <c r="C538" s="51" t="n">
        <f aca="false">1+IF($G$7=$E$7,$F$7,IF(Q538&lt;($F$7-$E$7)/($G$7-$E$7),$E$7+SQRT(Q538*($G$7-$E$7)*($F$7-$E$7)),$G$7-SQRT((1-Q538)*($G$7-$E$7)*($G$7-$F$7))))</f>
        <v>0.950677837146181</v>
      </c>
      <c r="D538" s="51" t="n">
        <f aca="false">1+IF($G$8=$E$8,$F$8,IF(R538&lt;($F$8-$E$8)/($G$8-$E$8),$E$8+SQRT(R538*($G$8-$E$8)*($F$8-$E$8)),$G$8-SQRT((1-R538)*($G$8-$E$8)*($G$8-$F$8))))</f>
        <v>1.04521482989537</v>
      </c>
      <c r="E538" s="51" t="n">
        <f aca="false">1+IF($G$9=$E$9,$F$9,IF(S538&lt;($F$9-$E$9)/($G$9-$E$9),$E$9+SQRT(S538*($G$9-$E$9)*($F$9-$E$9)),$G$9-SQRT((1-S538)*($G$9-$E$9)*($G$9-$F$9))))</f>
        <v>0.953970290946608</v>
      </c>
      <c r="F538" s="51" t="n">
        <f aca="false">1+IF($G$10=$E$10,$F$10,IF(T538&lt;($F$10-$E$10)/($G$10-$E$10),$E$10+SQRT(T538*($G$10-$E$10)*($F$10-$E$10)),$G$10-SQRT((1-T538)*($G$10-$E$10)*($G$10-$F$10))))</f>
        <v>1.16169932225318</v>
      </c>
      <c r="G538" s="52" t="n">
        <f aca="false">IF($G$11=$E$11,$F$11,IF(U538&lt;($F$11-$E$11)/($G$11-$E$11),$E$11+SQRT(U538*($G$11-$E$11)*($F$11-$E$11)),$G$11-SQRT((1-U538)*($G$11-$E$11)*($G$11-$F$11))))</f>
        <v>0.107907538837742</v>
      </c>
      <c r="H538" s="53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-2323398644.50635</v>
      </c>
      <c r="I538" s="53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-85290605.4454369</v>
      </c>
      <c r="J538" s="53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126865570.149731</v>
      </c>
      <c r="K538" s="53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397106711.857558</v>
      </c>
      <c r="L538" s="53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498240286.017734</v>
      </c>
      <c r="M538" s="53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665521955.307559</v>
      </c>
      <c r="N538" s="53" t="n">
        <f aca="false">IF(COUNT('Business Case'!B11:G11)=0,"",H538+NPV(G538,I538:M538))</f>
        <v>-1275625101.09833</v>
      </c>
      <c r="P538" s="54" t="n">
        <f aca="true">RAND()</f>
        <v>0.00340540914929091</v>
      </c>
      <c r="Q538" s="54" t="n">
        <f aca="true">RAND()</f>
        <v>0.324340151529299</v>
      </c>
      <c r="R538" s="54" t="n">
        <f aca="true">RAND()</f>
        <v>0.883653071229985</v>
      </c>
      <c r="S538" s="54" t="n">
        <f aca="true">RAND()</f>
        <v>0.00210176136009535</v>
      </c>
      <c r="T538" s="54" t="n">
        <f aca="true">RAND()</f>
        <v>0.970661161682678</v>
      </c>
      <c r="U538" s="54" t="n">
        <f aca="true">RAND()</f>
        <v>0.756287305065457</v>
      </c>
    </row>
    <row r="539" customFormat="false" ht="15" hidden="false" customHeight="false" outlineLevel="0" collapsed="false">
      <c r="A539" s="50" t="n">
        <v>459</v>
      </c>
      <c r="B539" s="51" t="n">
        <f aca="false">1+IF($G$6=$E$6,$F$6,IF(P539&lt;($F$6-$E$6)/($G$6-$E$6),$E$6+SQRT(P539*($G$6-$E$6)*($F$6-$E$6)),$G$6-SQRT((1-P539)*($G$6-$E$6)*($G$6-$F$6))))</f>
        <v>0.939992878951947</v>
      </c>
      <c r="C539" s="51" t="n">
        <f aca="false">1+IF($G$7=$E$7,$F$7,IF(Q539&lt;($F$7-$E$7)/($G$7-$E$7),$E$7+SQRT(Q539*($G$7-$E$7)*($F$7-$E$7)),$G$7-SQRT((1-Q539)*($G$7-$E$7)*($G$7-$F$7))))</f>
        <v>1.07340337005938</v>
      </c>
      <c r="D539" s="51" t="n">
        <f aca="false">1+IF($G$8=$E$8,$F$8,IF(R539&lt;($F$8-$E$8)/($G$8-$E$8),$E$8+SQRT(R539*($G$8-$E$8)*($F$8-$E$8)),$G$8-SQRT((1-R539)*($G$8-$E$8)*($G$8-$F$8))))</f>
        <v>1.0117512508641</v>
      </c>
      <c r="E539" s="51" t="n">
        <f aca="false">1+IF($G$9=$E$9,$F$9,IF(S539&lt;($F$9-$E$9)/($G$9-$E$9),$E$9+SQRT(S539*($G$9-$E$9)*($F$9-$E$9)),$G$9-SQRT((1-S539)*($G$9-$E$9)*($G$9-$F$9))))</f>
        <v>0.974741755880334</v>
      </c>
      <c r="F539" s="51" t="n">
        <f aca="false">1+IF($G$10=$E$10,$F$10,IF(T539&lt;($F$10-$E$10)/($G$10-$E$10),$E$10+SQRT(T539*($G$10-$E$10)*($F$10-$E$10)),$G$10-SQRT((1-T539)*($G$10-$E$10)*($G$10-$F$10))))</f>
        <v>0.976400539263579</v>
      </c>
      <c r="G539" s="52" t="n">
        <f aca="false">IF($G$11=$E$11,$F$11,IF(U539&lt;($F$11-$E$11)/($G$11-$E$11),$E$11+SQRT(U539*($G$11-$E$11)*($F$11-$E$11)),$G$11-SQRT((1-U539)*($G$11-$E$11)*($G$11-$F$11))))</f>
        <v>0.0958983200905806</v>
      </c>
      <c r="H539" s="53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-1952801078.52716</v>
      </c>
      <c r="I539" s="53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-18071672.8166885</v>
      </c>
      <c r="J539" s="53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252411106.588448</v>
      </c>
      <c r="K539" s="53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571713912.956763</v>
      </c>
      <c r="L539" s="53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696745586.497998</v>
      </c>
      <c r="M539" s="53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888534695.398704</v>
      </c>
      <c r="N539" s="53" t="n">
        <f aca="false">IF(COUNT('Business Case'!B11:G11)=0,"",H539+NPV(G539,I539:M539))</f>
        <v>-279581039.713184</v>
      </c>
      <c r="P539" s="54" t="n">
        <f aca="true">RAND()</f>
        <v>0.041637000915332</v>
      </c>
      <c r="Q539" s="54" t="n">
        <f aca="true">RAND()</f>
        <v>0.888246786318839</v>
      </c>
      <c r="R539" s="54" t="n">
        <f aca="true">RAND()</f>
        <v>0.55212579244092</v>
      </c>
      <c r="S539" s="54" t="n">
        <f aca="true">RAND()</f>
        <v>0.0816205978722723</v>
      </c>
      <c r="T539" s="54" t="n">
        <f aca="true">RAND()</f>
        <v>0.0557590778726227</v>
      </c>
      <c r="U539" s="54" t="n">
        <f aca="true">RAND()</f>
        <v>0.115967266303154</v>
      </c>
    </row>
    <row r="540" customFormat="false" ht="15" hidden="false" customHeight="false" outlineLevel="0" collapsed="false">
      <c r="A540" s="50" t="n">
        <v>460</v>
      </c>
      <c r="B540" s="51" t="n">
        <f aca="false">1+IF($G$6=$E$6,$F$6,IF(P540&lt;($F$6-$E$6)/($G$6-$E$6),$E$6+SQRT(P540*($G$6-$E$6)*($F$6-$E$6)),$G$6-SQRT((1-P540)*($G$6-$E$6)*($G$6-$F$6))))</f>
        <v>0.967341174787719</v>
      </c>
      <c r="C540" s="51" t="n">
        <f aca="false">1+IF($G$7=$E$7,$F$7,IF(Q540&lt;($F$7-$E$7)/($G$7-$E$7),$E$7+SQRT(Q540*($G$7-$E$7)*($F$7-$E$7)),$G$7-SQRT((1-Q540)*($G$7-$E$7)*($G$7-$F$7))))</f>
        <v>0.974322992728424</v>
      </c>
      <c r="D540" s="51" t="n">
        <f aca="false">1+IF($G$8=$E$8,$F$8,IF(R540&lt;($F$8-$E$8)/($G$8-$E$8),$E$8+SQRT(R540*($G$8-$E$8)*($F$8-$E$8)),$G$8-SQRT((1-R540)*($G$8-$E$8)*($G$8-$F$8))))</f>
        <v>1.02574137879572</v>
      </c>
      <c r="E540" s="51" t="n">
        <f aca="false">1+IF($G$9=$E$9,$F$9,IF(S540&lt;($F$9-$E$9)/($G$9-$E$9),$E$9+SQRT(S540*($G$9-$E$9)*($F$9-$E$9)),$G$9-SQRT((1-S540)*($G$9-$E$9)*($G$9-$F$9))))</f>
        <v>1.00442696627698</v>
      </c>
      <c r="F540" s="51" t="n">
        <f aca="false">1+IF($G$10=$E$10,$F$10,IF(T540&lt;($F$10-$E$10)/($G$10-$E$10),$E$10+SQRT(T540*($G$10-$E$10)*($F$10-$E$10)),$G$10-SQRT((1-T540)*($G$10-$E$10)*($G$10-$F$10))))</f>
        <v>0.997318314770404</v>
      </c>
      <c r="G540" s="52" t="n">
        <f aca="false">IF($G$11=$E$11,$F$11,IF(U540&lt;($F$11-$E$11)/($G$11-$E$11),$E$11+SQRT(U540*($G$11-$E$11)*($F$11-$E$11)),$G$11-SQRT((1-U540)*($G$11-$E$11)*($G$11-$F$11))))</f>
        <v>0.10471551344606</v>
      </c>
      <c r="H540" s="53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-1994636629.54081</v>
      </c>
      <c r="I540" s="53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-31057671.0380623</v>
      </c>
      <c r="J540" s="53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229305346.483004</v>
      </c>
      <c r="K540" s="53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539534279.74259</v>
      </c>
      <c r="L540" s="53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658894847.234613</v>
      </c>
      <c r="M540" s="53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838045769.65212</v>
      </c>
      <c r="N540" s="53" t="n">
        <f aca="false">IF(COUNT('Business Case'!B11:G11)=0,"",H540+NPV(G540,I540:M540))</f>
        <v>-482916676.225867</v>
      </c>
      <c r="P540" s="54" t="n">
        <f aca="true">RAND()</f>
        <v>0.233456961487638</v>
      </c>
      <c r="Q540" s="54" t="n">
        <f aca="true">RAND()</f>
        <v>0.434121511339914</v>
      </c>
      <c r="R540" s="54" t="n">
        <f aca="true">RAND()</f>
        <v>0.716923271635662</v>
      </c>
      <c r="S540" s="54" t="n">
        <f aca="true">RAND()</f>
        <v>0.391053014998529</v>
      </c>
      <c r="T540" s="54" t="n">
        <f aca="true">RAND()</f>
        <v>0.179121833016885</v>
      </c>
      <c r="U540" s="54" t="n">
        <f aca="true">RAND()</f>
        <v>0.610640784637371</v>
      </c>
    </row>
    <row r="541" customFormat="false" ht="15" hidden="false" customHeight="false" outlineLevel="0" collapsed="false">
      <c r="A541" s="50" t="n">
        <v>461</v>
      </c>
      <c r="B541" s="51" t="n">
        <f aca="false">1+IF($G$6=$E$6,$F$6,IF(P541&lt;($F$6-$E$6)/($G$6-$E$6),$E$6+SQRT(P541*($G$6-$E$6)*($F$6-$E$6)),$G$6-SQRT((1-P541)*($G$6-$E$6)*($G$6-$F$6))))</f>
        <v>1.02860324029388</v>
      </c>
      <c r="C541" s="51" t="n">
        <f aca="false">1+IF($G$7=$E$7,$F$7,IF(Q541&lt;($F$7-$E$7)/($G$7-$E$7),$E$7+SQRT(Q541*($G$7-$E$7)*($F$7-$E$7)),$G$7-SQRT((1-Q541)*($G$7-$E$7)*($G$7-$F$7))))</f>
        <v>1.05579548642746</v>
      </c>
      <c r="D541" s="51" t="n">
        <f aca="false">1+IF($G$8=$E$8,$F$8,IF(R541&lt;($F$8-$E$8)/($G$8-$E$8),$E$8+SQRT(R541*($G$8-$E$8)*($F$8-$E$8)),$G$8-SQRT((1-R541)*($G$8-$E$8)*($G$8-$F$8))))</f>
        <v>1.05427774439135</v>
      </c>
      <c r="E541" s="51" t="n">
        <f aca="false">1+IF($G$9=$E$9,$F$9,IF(S541&lt;($F$9-$E$9)/($G$9-$E$9),$E$9+SQRT(S541*($G$9-$E$9)*($F$9-$E$9)),$G$9-SQRT((1-S541)*($G$9-$E$9)*($G$9-$F$9))))</f>
        <v>0.996954354558649</v>
      </c>
      <c r="F541" s="51" t="n">
        <f aca="false">1+IF($G$10=$E$10,$F$10,IF(T541&lt;($F$10-$E$10)/($G$10-$E$10),$E$10+SQRT(T541*($G$10-$E$10)*($F$10-$E$10)),$G$10-SQRT((1-T541)*($G$10-$E$10)*($G$10-$F$10))))</f>
        <v>1.05296736313025</v>
      </c>
      <c r="G541" s="52" t="n">
        <f aca="false">IF($G$11=$E$11,$F$11,IF(U541&lt;($F$11-$E$11)/($G$11-$E$11),$E$11+SQRT(U541*($G$11-$E$11)*($F$11-$E$11)),$G$11-SQRT((1-U541)*($G$11-$E$11)*($G$11-$F$11))))</f>
        <v>0.11428680193458</v>
      </c>
      <c r="H541" s="53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-2105934726.26051</v>
      </c>
      <c r="I541" s="53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16327194.1853784</v>
      </c>
      <c r="J541" s="53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336015996.994874</v>
      </c>
      <c r="K541" s="53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708353167.960883</v>
      </c>
      <c r="L541" s="53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852448077.625949</v>
      </c>
      <c r="M541" s="53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1058873942.29974</v>
      </c>
      <c r="N541" s="53" t="n">
        <f aca="false">IF(COUNT('Business Case'!B11:G11)=0,"",H541+NPV(G541,I541:M541))</f>
        <v>-139333561.792158</v>
      </c>
      <c r="P541" s="54" t="n">
        <f aca="true">RAND()</f>
        <v>0.972940389208511</v>
      </c>
      <c r="Q541" s="54" t="n">
        <f aca="true">RAND()</f>
        <v>0.830962088048771</v>
      </c>
      <c r="R541" s="54" t="n">
        <f aca="true">RAND()</f>
        <v>0.936381304461845</v>
      </c>
      <c r="S541" s="54" t="n">
        <f aca="true">RAND()</f>
        <v>0.293961521602579</v>
      </c>
      <c r="T541" s="54" t="n">
        <f aca="true">RAND()</f>
        <v>0.567628073902586</v>
      </c>
      <c r="U541" s="54" t="n">
        <f aca="true">RAND()</f>
        <v>0.945598946442132</v>
      </c>
    </row>
    <row r="542" customFormat="false" ht="15" hidden="false" customHeight="false" outlineLevel="0" collapsed="false">
      <c r="A542" s="50" t="n">
        <v>462</v>
      </c>
      <c r="B542" s="51" t="n">
        <f aca="false">1+IF($G$6=$E$6,$F$6,IF(P542&lt;($F$6-$E$6)/($G$6-$E$6),$E$6+SQRT(P542*($G$6-$E$6)*($F$6-$E$6)),$G$6-SQRT((1-P542)*($G$6-$E$6)*($G$6-$F$6))))</f>
        <v>1.02629693242883</v>
      </c>
      <c r="C542" s="51" t="n">
        <f aca="false">1+IF($G$7=$E$7,$F$7,IF(Q542&lt;($F$7-$E$7)/($G$7-$E$7),$E$7+SQRT(Q542*($G$7-$E$7)*($F$7-$E$7)),$G$7-SQRT((1-Q542)*($G$7-$E$7)*($G$7-$F$7))))</f>
        <v>1.07751955508454</v>
      </c>
      <c r="D542" s="51" t="n">
        <f aca="false">1+IF($G$8=$E$8,$F$8,IF(R542&lt;($F$8-$E$8)/($G$8-$E$8),$E$8+SQRT(R542*($G$8-$E$8)*($F$8-$E$8)),$G$8-SQRT((1-R542)*($G$8-$E$8)*($G$8-$F$8))))</f>
        <v>1.04280615258642</v>
      </c>
      <c r="E542" s="51" t="n">
        <f aca="false">1+IF($G$9=$E$9,$F$9,IF(S542&lt;($F$9-$E$9)/($G$9-$E$9),$E$9+SQRT(S542*($G$9-$E$9)*($F$9-$E$9)),$G$9-SQRT((1-S542)*($G$9-$E$9)*($G$9-$F$9))))</f>
        <v>1.00314313329721</v>
      </c>
      <c r="F542" s="51" t="n">
        <f aca="false">1+IF($G$10=$E$10,$F$10,IF(T542&lt;($F$10-$E$10)/($G$10-$E$10),$E$10+SQRT(T542*($G$10-$E$10)*($F$10-$E$10)),$G$10-SQRT((1-T542)*($G$10-$E$10)*($G$10-$F$10))))</f>
        <v>1.03865039003407</v>
      </c>
      <c r="G542" s="52" t="n">
        <f aca="false">IF($G$11=$E$11,$F$11,IF(U542&lt;($F$11-$E$11)/($G$11-$E$11),$E$11+SQRT(U542*($G$11-$E$11)*($F$11-$E$11)),$G$11-SQRT((1-U542)*($G$11-$E$11)*($G$11-$F$11))))</f>
        <v>0.0938921136370496</v>
      </c>
      <c r="H542" s="53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-2077300780.06815</v>
      </c>
      <c r="I542" s="53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26719514.0304132</v>
      </c>
      <c r="J542" s="53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357278544.545653</v>
      </c>
      <c r="K542" s="53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739770094.562595</v>
      </c>
      <c r="L542" s="53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888174787.352045</v>
      </c>
      <c r="M542" s="53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1098375708.41608</v>
      </c>
      <c r="N542" s="53" t="n">
        <f aca="false">IF(COUNT('Business Case'!B11:G11)=0,"",H542+NPV(G542,I542:M542))</f>
        <v>132423024.839508</v>
      </c>
      <c r="P542" s="54" t="n">
        <f aca="true">RAND()</f>
        <v>0.960880403987512</v>
      </c>
      <c r="Q542" s="54" t="n">
        <f aca="true">RAND()</f>
        <v>0.899934954378222</v>
      </c>
      <c r="R542" s="54" t="n">
        <f aca="true">RAND()</f>
        <v>0.86698247255533</v>
      </c>
      <c r="S542" s="54" t="n">
        <f aca="true">RAND()</f>
        <v>0.374583158167872</v>
      </c>
      <c r="T542" s="54" t="n">
        <f aca="true">RAND()</f>
        <v>0.479326067276863</v>
      </c>
      <c r="U542" s="54" t="n">
        <f aca="true">RAND()</f>
        <v>0.050495161879025</v>
      </c>
    </row>
    <row r="543" customFormat="false" ht="15" hidden="false" customHeight="false" outlineLevel="0" collapsed="false">
      <c r="A543" s="50" t="n">
        <v>463</v>
      </c>
      <c r="B543" s="51" t="n">
        <f aca="false">1+IF($G$6=$E$6,$F$6,IF(P543&lt;($F$6-$E$6)/($G$6-$E$6),$E$6+SQRT(P543*($G$6-$E$6)*($F$6-$E$6)),$G$6-SQRT((1-P543)*($G$6-$E$6)*($G$6-$F$6))))</f>
        <v>0.954649331073223</v>
      </c>
      <c r="C543" s="51" t="n">
        <f aca="false">1+IF($G$7=$E$7,$F$7,IF(Q543&lt;($F$7-$E$7)/($G$7-$E$7),$E$7+SQRT(Q543*($G$7-$E$7)*($F$7-$E$7)),$G$7-SQRT((1-Q543)*($G$7-$E$7)*($G$7-$F$7))))</f>
        <v>0.999656029338004</v>
      </c>
      <c r="D543" s="51" t="n">
        <f aca="false">1+IF($G$8=$E$8,$F$8,IF(R543&lt;($F$8-$E$8)/($G$8-$E$8),$E$8+SQRT(R543*($G$8-$E$8)*($F$8-$E$8)),$G$8-SQRT((1-R543)*($G$8-$E$8)*($G$8-$F$8))))</f>
        <v>0.980723204114916</v>
      </c>
      <c r="E543" s="51" t="n">
        <f aca="false">1+IF($G$9=$E$9,$F$9,IF(S543&lt;($F$9-$E$9)/($G$9-$E$9),$E$9+SQRT(S543*($G$9-$E$9)*($F$9-$E$9)),$G$9-SQRT((1-S543)*($G$9-$E$9)*($G$9-$F$9))))</f>
        <v>1.03885977011027</v>
      </c>
      <c r="F543" s="51" t="n">
        <f aca="false">1+IF($G$10=$E$10,$F$10,IF(T543&lt;($F$10-$E$10)/($G$10-$E$10),$E$10+SQRT(T543*($G$10-$E$10)*($F$10-$E$10)),$G$10-SQRT((1-T543)*($G$10-$E$10)*($G$10-$F$10))))</f>
        <v>1.07828418552881</v>
      </c>
      <c r="G543" s="52" t="n">
        <f aca="false">IF($G$11=$E$11,$F$11,IF(U543&lt;($F$11-$E$11)/($G$11-$E$11),$E$11+SQRT(U543*($G$11-$E$11)*($F$11-$E$11)),$G$11-SQRT((1-U543)*($G$11-$E$11)*($G$11-$F$11))))</f>
        <v>0.113143126526703</v>
      </c>
      <c r="H543" s="53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-2156568371.05762</v>
      </c>
      <c r="I543" s="53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-25247830.8544092</v>
      </c>
      <c r="J543" s="53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254530614.705153</v>
      </c>
      <c r="K543" s="53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588223269.541156</v>
      </c>
      <c r="L543" s="53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714464083.76195</v>
      </c>
      <c r="M543" s="53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895861411.783786</v>
      </c>
      <c r="N543" s="53" t="n">
        <f aca="false">IF(COUNT('Business Case'!B11:G11)=0,"",H543+NPV(G543,I543:M543))</f>
        <v>-557828642.123768</v>
      </c>
      <c r="P543" s="54" t="n">
        <f aca="true">RAND()</f>
        <v>0.125060014981438</v>
      </c>
      <c r="Q543" s="54" t="n">
        <f aca="true">RAND()</f>
        <v>0.569464715014541</v>
      </c>
      <c r="R543" s="54" t="n">
        <f aca="true">RAND()</f>
        <v>0.145217734013355</v>
      </c>
      <c r="S543" s="54" t="n">
        <f aca="true">RAND()</f>
        <v>0.750791485935406</v>
      </c>
      <c r="T543" s="54" t="n">
        <f aca="true">RAND()</f>
        <v>0.703705210152292</v>
      </c>
      <c r="U543" s="54" t="n">
        <f aca="true">RAND()</f>
        <v>0.921638810285333</v>
      </c>
    </row>
    <row r="544" customFormat="false" ht="15" hidden="false" customHeight="false" outlineLevel="0" collapsed="false">
      <c r="A544" s="50" t="n">
        <v>464</v>
      </c>
      <c r="B544" s="51" t="n">
        <f aca="false">1+IF($G$6=$E$6,$F$6,IF(P544&lt;($F$6-$E$6)/($G$6-$E$6),$E$6+SQRT(P544*($G$6-$E$6)*($F$6-$E$6)),$G$6-SQRT((1-P544)*($G$6-$E$6)*($G$6-$F$6))))</f>
        <v>0.954010783282036</v>
      </c>
      <c r="C544" s="51" t="n">
        <f aca="false">1+IF($G$7=$E$7,$F$7,IF(Q544&lt;($F$7-$E$7)/($G$7-$E$7),$E$7+SQRT(Q544*($G$7-$E$7)*($F$7-$E$7)),$G$7-SQRT((1-Q544)*($G$7-$E$7)*($G$7-$F$7))))</f>
        <v>0.910156461506623</v>
      </c>
      <c r="D544" s="51" t="n">
        <f aca="false">1+IF($G$8=$E$8,$F$8,IF(R544&lt;($F$8-$E$8)/($G$8-$E$8),$E$8+SQRT(R544*($G$8-$E$8)*($F$8-$E$8)),$G$8-SQRT((1-R544)*($G$8-$E$8)*($G$8-$F$8))))</f>
        <v>1.00301765356961</v>
      </c>
      <c r="E544" s="51" t="n">
        <f aca="false">1+IF($G$9=$E$9,$F$9,IF(S544&lt;($F$9-$E$9)/($G$9-$E$9),$E$9+SQRT(S544*($G$9-$E$9)*($F$9-$E$9)),$G$9-SQRT((1-S544)*($G$9-$E$9)*($G$9-$F$9))))</f>
        <v>1.07060227734753</v>
      </c>
      <c r="F544" s="51" t="n">
        <f aca="false">1+IF($G$10=$E$10,$F$10,IF(T544&lt;($F$10-$E$10)/($G$10-$E$10),$E$10+SQRT(T544*($G$10-$E$10)*($F$10-$E$10)),$G$10-SQRT((1-T544)*($G$10-$E$10)*($G$10-$F$10))))</f>
        <v>1.04929335054489</v>
      </c>
      <c r="G544" s="52" t="n">
        <f aca="false">IF($G$11=$E$11,$F$11,IF(U544&lt;($F$11-$E$11)/($G$11-$E$11),$E$11+SQRT(U544*($G$11-$E$11)*($F$11-$E$11)),$G$11-SQRT((1-U544)*($G$11-$E$11)*($G$11-$F$11))))</f>
        <v>0.106448911905622</v>
      </c>
      <c r="H544" s="53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-2098586701.08977</v>
      </c>
      <c r="I544" s="53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-58315443.0466549</v>
      </c>
      <c r="J544" s="53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185550717.042457</v>
      </c>
      <c r="K544" s="53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481881544.658813</v>
      </c>
      <c r="L544" s="53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593178680.850156</v>
      </c>
      <c r="M544" s="53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758224969.739172</v>
      </c>
      <c r="N544" s="53" t="n">
        <f aca="false">IF(COUNT('Business Case'!B11:G11)=0,"",H544+NPV(G544,I544:M544))</f>
        <v>-790952799.458303</v>
      </c>
      <c r="P544" s="54" t="n">
        <f aca="true">RAND()</f>
        <v>0.120493060360165</v>
      </c>
      <c r="Q544" s="54" t="n">
        <f aca="true">RAND()</f>
        <v>0.173349228738002</v>
      </c>
      <c r="R544" s="54" t="n">
        <f aca="true">RAND()</f>
        <v>0.430165224814514</v>
      </c>
      <c r="S544" s="54" t="n">
        <f aca="true">RAND()</f>
        <v>0.942384926856559</v>
      </c>
      <c r="T544" s="54" t="n">
        <f aca="true">RAND()</f>
        <v>0.545750116200273</v>
      </c>
      <c r="U544" s="54" t="n">
        <f aca="true">RAND()</f>
        <v>0.693946685764025</v>
      </c>
    </row>
    <row r="545" customFormat="false" ht="15" hidden="false" customHeight="false" outlineLevel="0" collapsed="false">
      <c r="A545" s="50" t="n">
        <v>465</v>
      </c>
      <c r="B545" s="51" t="n">
        <f aca="false">1+IF($G$6=$E$6,$F$6,IF(P545&lt;($F$6-$E$6)/($G$6-$E$6),$E$6+SQRT(P545*($G$6-$E$6)*($F$6-$E$6)),$G$6-SQRT((1-P545)*($G$6-$E$6)*($G$6-$F$6))))</f>
        <v>1.00527078717198</v>
      </c>
      <c r="C545" s="51" t="n">
        <f aca="false">1+IF($G$7=$E$7,$F$7,IF(Q545&lt;($F$7-$E$7)/($G$7-$E$7),$E$7+SQRT(Q545*($G$7-$E$7)*($F$7-$E$7)),$G$7-SQRT((1-Q545)*($G$7-$E$7)*($G$7-$F$7))))</f>
        <v>1.06824318160287</v>
      </c>
      <c r="D545" s="51" t="n">
        <f aca="false">1+IF($G$8=$E$8,$F$8,IF(R545&lt;($F$8-$E$8)/($G$8-$E$8),$E$8+SQRT(R545*($G$8-$E$8)*($F$8-$E$8)),$G$8-SQRT((1-R545)*($G$8-$E$8)*($G$8-$F$8))))</f>
        <v>1.04359787534145</v>
      </c>
      <c r="E545" s="51" t="n">
        <f aca="false">1+IF($G$9=$E$9,$F$9,IF(S545&lt;($F$9-$E$9)/($G$9-$E$9),$E$9+SQRT(S545*($G$9-$E$9)*($F$9-$E$9)),$G$9-SQRT((1-S545)*($G$9-$E$9)*($G$9-$F$9))))</f>
        <v>1.01348342121013</v>
      </c>
      <c r="F545" s="51" t="n">
        <f aca="false">1+IF($G$10=$E$10,$F$10,IF(T545&lt;($F$10-$E$10)/($G$10-$E$10),$E$10+SQRT(T545*($G$10-$E$10)*($F$10-$E$10)),$G$10-SQRT((1-T545)*($G$10-$E$10)*($G$10-$F$10))))</f>
        <v>1.05389407281942</v>
      </c>
      <c r="G545" s="52" t="n">
        <f aca="false">IF($G$11=$E$11,$F$11,IF(U545&lt;($F$11-$E$11)/($G$11-$E$11),$E$11+SQRT(U545*($G$11-$E$11)*($F$11-$E$11)),$G$11-SQRT((1-U545)*($G$11-$E$11)*($G$11-$F$11))))</f>
        <v>0.117106927541112</v>
      </c>
      <c r="H545" s="53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-2107788145.63885</v>
      </c>
      <c r="I545" s="53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3706721.4416129</v>
      </c>
      <c r="J545" s="53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312589803.406171</v>
      </c>
      <c r="K545" s="53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674167589.0117</v>
      </c>
      <c r="L545" s="53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814241690.163168</v>
      </c>
      <c r="M545" s="53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1018363596.22788</v>
      </c>
      <c r="N545" s="53" t="n">
        <f aca="false">IF(COUNT('Business Case'!B11:G11)=0,"",H545+NPV(G545,I545:M545))</f>
        <v>-262170987.639498</v>
      </c>
      <c r="P545" s="54" t="n">
        <f aca="true">RAND()</f>
        <v>0.748725370072029</v>
      </c>
      <c r="Q545" s="54" t="n">
        <f aca="true">RAND()</f>
        <v>0.872682336106254</v>
      </c>
      <c r="R545" s="54" t="n">
        <f aca="true">RAND()</f>
        <v>0.872585126956075</v>
      </c>
      <c r="S545" s="54" t="n">
        <f aca="true">RAND()</f>
        <v>0.500992106299699</v>
      </c>
      <c r="T545" s="54" t="n">
        <f aca="true">RAND()</f>
        <v>0.573061160854088</v>
      </c>
      <c r="U545" s="54" t="n">
        <f aca="true">RAND()</f>
        <v>0.986050219579377</v>
      </c>
    </row>
    <row r="546" customFormat="false" ht="15" hidden="false" customHeight="false" outlineLevel="0" collapsed="false">
      <c r="A546" s="50" t="n">
        <v>466</v>
      </c>
      <c r="B546" s="51" t="n">
        <f aca="false">1+IF($G$6=$E$6,$F$6,IF(P546&lt;($F$6-$E$6)/($G$6-$E$6),$E$6+SQRT(P546*($G$6-$E$6)*($F$6-$E$6)),$G$6-SQRT((1-P546)*($G$6-$E$6)*($G$6-$F$6))))</f>
        <v>0.932039304343205</v>
      </c>
      <c r="C546" s="51" t="n">
        <f aca="false">1+IF($G$7=$E$7,$F$7,IF(Q546&lt;($F$7-$E$7)/($G$7-$E$7),$E$7+SQRT(Q546*($G$7-$E$7)*($F$7-$E$7)),$G$7-SQRT((1-Q546)*($G$7-$E$7)*($G$7-$F$7))))</f>
        <v>0.878894179904159</v>
      </c>
      <c r="D546" s="51" t="n">
        <f aca="false">1+IF($G$8=$E$8,$F$8,IF(R546&lt;($F$8-$E$8)/($G$8-$E$8),$E$8+SQRT(R546*($G$8-$E$8)*($F$8-$E$8)),$G$8-SQRT((1-R546)*($G$8-$E$8)*($G$8-$F$8))))</f>
        <v>1.00108546392269</v>
      </c>
      <c r="E546" s="51" t="n">
        <f aca="false">1+IF($G$9=$E$9,$F$9,IF(S546&lt;($F$9-$E$9)/($G$9-$E$9),$E$9+SQRT(S546*($G$9-$E$9)*($F$9-$E$9)),$G$9-SQRT((1-S546)*($G$9-$E$9)*($G$9-$F$9))))</f>
        <v>0.999492332017235</v>
      </c>
      <c r="F546" s="51" t="n">
        <f aca="false">1+IF($G$10=$E$10,$F$10,IF(T546&lt;($F$10-$E$10)/($G$10-$E$10),$E$10+SQRT(T546*($G$10-$E$10)*($F$10-$E$10)),$G$10-SQRT((1-T546)*($G$10-$E$10)*($G$10-$F$10))))</f>
        <v>1.08799719277095</v>
      </c>
      <c r="G546" s="52" t="n">
        <f aca="false">IF($G$11=$E$11,$F$11,IF(U546&lt;($F$11-$E$11)/($G$11-$E$11),$E$11+SQRT(U546*($G$11-$E$11)*($F$11-$E$11)),$G$11-SQRT((1-U546)*($G$11-$E$11)*($G$11-$F$11))))</f>
        <v>0.102555783429481</v>
      </c>
      <c r="H546" s="53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-2175994385.5419</v>
      </c>
      <c r="I546" s="53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-72850640.5111992</v>
      </c>
      <c r="J546" s="53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147691705.481859</v>
      </c>
      <c r="K546" s="53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422633911.113466</v>
      </c>
      <c r="L546" s="53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524458331.520693</v>
      </c>
      <c r="M546" s="53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680165009.439837</v>
      </c>
      <c r="N546" s="53" t="n">
        <f aca="false">IF(COUNT('Business Case'!B11:G11)=0,"",H546+NPV(G546,I546:M546))</f>
        <v>-1032887717.7472</v>
      </c>
      <c r="P546" s="54" t="n">
        <f aca="true">RAND()</f>
        <v>0.0150984217779504</v>
      </c>
      <c r="Q546" s="54" t="n">
        <f aca="true">RAND()</f>
        <v>0.0889184517535687</v>
      </c>
      <c r="R546" s="54" t="n">
        <f aca="true">RAND()</f>
        <v>0.401201538048427</v>
      </c>
      <c r="S546" s="54" t="n">
        <f aca="true">RAND()</f>
        <v>0.326598790467236</v>
      </c>
      <c r="T546" s="54" t="n">
        <f aca="true">RAND()</f>
        <v>0.749107423456248</v>
      </c>
      <c r="U546" s="54" t="n">
        <f aca="true">RAND()</f>
        <v>0.492832180401385</v>
      </c>
    </row>
    <row r="547" customFormat="false" ht="15" hidden="false" customHeight="false" outlineLevel="0" collapsed="false">
      <c r="A547" s="50" t="n">
        <v>467</v>
      </c>
      <c r="B547" s="51" t="n">
        <f aca="false">1+IF($G$6=$E$6,$F$6,IF(P547&lt;($F$6-$E$6)/($G$6-$E$6),$E$6+SQRT(P547*($G$6-$E$6)*($F$6-$E$6)),$G$6-SQRT((1-P547)*($G$6-$E$6)*($G$6-$F$6))))</f>
        <v>1.00943329708828</v>
      </c>
      <c r="C547" s="51" t="n">
        <f aca="false">1+IF($G$7=$E$7,$F$7,IF(Q547&lt;($F$7-$E$7)/($G$7-$E$7),$E$7+SQRT(Q547*($G$7-$E$7)*($F$7-$E$7)),$G$7-SQRT((1-Q547)*($G$7-$E$7)*($G$7-$F$7))))</f>
        <v>1.11694312254315</v>
      </c>
      <c r="D547" s="51" t="n">
        <f aca="false">1+IF($G$8=$E$8,$F$8,IF(R547&lt;($F$8-$E$8)/($G$8-$E$8),$E$8+SQRT(R547*($G$8-$E$8)*($F$8-$E$8)),$G$8-SQRT((1-R547)*($G$8-$E$8)*($G$8-$F$8))))</f>
        <v>1.01954977194375</v>
      </c>
      <c r="E547" s="51" t="n">
        <f aca="false">1+IF($G$9=$E$9,$F$9,IF(S547&lt;($F$9-$E$9)/($G$9-$E$9),$E$9+SQRT(S547*($G$9-$E$9)*($F$9-$E$9)),$G$9-SQRT((1-S547)*($G$9-$E$9)*($G$9-$F$9))))</f>
        <v>1.05961241971199</v>
      </c>
      <c r="F547" s="51" t="n">
        <f aca="false">1+IF($G$10=$E$10,$F$10,IF(T547&lt;($F$10-$E$10)/($G$10-$E$10),$E$10+SQRT(T547*($G$10-$E$10)*($F$10-$E$10)),$G$10-SQRT((1-T547)*($G$10-$E$10)*($G$10-$F$10))))</f>
        <v>1.04963294340163</v>
      </c>
      <c r="G547" s="52" t="n">
        <f aca="false">IF($G$11=$E$11,$F$11,IF(U547&lt;($F$11-$E$11)/($G$11-$E$11),$E$11+SQRT(U547*($G$11-$E$11)*($F$11-$E$11)),$G$11-SQRT((1-U547)*($G$11-$E$11)*($G$11-$F$11))))</f>
        <v>0.0981668838953301</v>
      </c>
      <c r="H547" s="53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-2099265886.80326</v>
      </c>
      <c r="I547" s="53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26434431.9427344</v>
      </c>
      <c r="J547" s="53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366957585.676199</v>
      </c>
      <c r="K547" s="53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759962386.579744</v>
      </c>
      <c r="L547" s="53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912435798.735915</v>
      </c>
      <c r="M547" s="53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1126747117.0835</v>
      </c>
      <c r="N547" s="53" t="n">
        <f aca="false">IF(COUNT('Business Case'!B11:G11)=0,"",H547+NPV(G547,I547:M547))</f>
        <v>135782184.182587</v>
      </c>
      <c r="P547" s="54" t="n">
        <f aca="true">RAND()</f>
        <v>0.805349306897277</v>
      </c>
      <c r="Q547" s="54" t="n">
        <f aca="true">RAND()</f>
        <v>0.979185578148622</v>
      </c>
      <c r="R547" s="54" t="n">
        <f aca="true">RAND()</f>
        <v>0.648631723841111</v>
      </c>
      <c r="S547" s="54" t="n">
        <f aca="true">RAND()</f>
        <v>0.89125622389861</v>
      </c>
      <c r="T547" s="54" t="n">
        <f aca="true">RAND()</f>
        <v>0.547794965798864</v>
      </c>
      <c r="U547" s="54" t="n">
        <f aca="true">RAND()</f>
        <v>0.222326641866006</v>
      </c>
    </row>
    <row r="548" customFormat="false" ht="15" hidden="false" customHeight="false" outlineLevel="0" collapsed="false">
      <c r="A548" s="50" t="n">
        <v>468</v>
      </c>
      <c r="B548" s="51" t="n">
        <f aca="false">1+IF($G$6=$E$6,$F$6,IF(P548&lt;($F$6-$E$6)/($G$6-$E$6),$E$6+SQRT(P548*($G$6-$E$6)*($F$6-$E$6)),$G$6-SQRT((1-P548)*($G$6-$E$6)*($G$6-$F$6))))</f>
        <v>0.96552450522606</v>
      </c>
      <c r="C548" s="51" t="n">
        <f aca="false">1+IF($G$7=$E$7,$F$7,IF(Q548&lt;($F$7-$E$7)/($G$7-$E$7),$E$7+SQRT(Q548*($G$7-$E$7)*($F$7-$E$7)),$G$7-SQRT((1-Q548)*($G$7-$E$7)*($G$7-$F$7))))</f>
        <v>1.04580279412938</v>
      </c>
      <c r="D548" s="51" t="n">
        <f aca="false">1+IF($G$8=$E$8,$F$8,IF(R548&lt;($F$8-$E$8)/($G$8-$E$8),$E$8+SQRT(R548*($G$8-$E$8)*($F$8-$E$8)),$G$8-SQRT((1-R548)*($G$8-$E$8)*($G$8-$F$8))))</f>
        <v>0.977166481597509</v>
      </c>
      <c r="E548" s="51" t="n">
        <f aca="false">1+IF($G$9=$E$9,$F$9,IF(S548&lt;($F$9-$E$9)/($G$9-$E$9),$E$9+SQRT(S548*($G$9-$E$9)*($F$9-$E$9)),$G$9-SQRT((1-S548)*($G$9-$E$9)*($G$9-$F$9))))</f>
        <v>1.0504254996017</v>
      </c>
      <c r="F548" s="51" t="n">
        <f aca="false">1+IF($G$10=$E$10,$F$10,IF(T548&lt;($F$10-$E$10)/($G$10-$E$10),$E$10+SQRT(T548*($G$10-$E$10)*($F$10-$E$10)),$G$10-SQRT((1-T548)*($G$10-$E$10)*($G$10-$F$10))))</f>
        <v>1.04065937481707</v>
      </c>
      <c r="G548" s="52" t="n">
        <f aca="false">IF($G$11=$E$11,$F$11,IF(U548&lt;($F$11-$E$11)/($G$11-$E$11),$E$11+SQRT(U548*($G$11-$E$11)*($F$11-$E$11)),$G$11-SQRT((1-U548)*($G$11-$E$11)*($G$11-$F$11))))</f>
        <v>0.0947543247704441</v>
      </c>
      <c r="H548" s="53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-2081318749.63414</v>
      </c>
      <c r="I548" s="53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-1868338.83980739</v>
      </c>
      <c r="J548" s="53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302045113.848417</v>
      </c>
      <c r="K548" s="53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657991535.277496</v>
      </c>
      <c r="L548" s="53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794192918.175546</v>
      </c>
      <c r="M548" s="53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986125860.853078</v>
      </c>
      <c r="N548" s="53" t="n">
        <f aca="false">IF(COUNT('Business Case'!B11:G11)=0,"",H548+NPV(G548,I548:M548))</f>
        <v>-149470265.233662</v>
      </c>
      <c r="P548" s="54" t="n">
        <f aca="true">RAND()</f>
        <v>0.215883393341412</v>
      </c>
      <c r="Q548" s="54" t="n">
        <f aca="true">RAND()</f>
        <v>0.793198900738218</v>
      </c>
      <c r="R548" s="54" t="n">
        <f aca="true">RAND()</f>
        <v>0.113541188059662</v>
      </c>
      <c r="S548" s="54" t="n">
        <f aca="true">RAND()</f>
        <v>0.8361579273506</v>
      </c>
      <c r="T548" s="54" t="n">
        <f aca="true">RAND()</f>
        <v>0.49221130332626</v>
      </c>
      <c r="U548" s="54" t="n">
        <f aca="true">RAND()</f>
        <v>0.0753453467428607</v>
      </c>
    </row>
    <row r="549" customFormat="false" ht="15" hidden="false" customHeight="false" outlineLevel="0" collapsed="false">
      <c r="A549" s="50" t="n">
        <v>469</v>
      </c>
      <c r="B549" s="51" t="n">
        <f aca="false">1+IF($G$6=$E$6,$F$6,IF(P549&lt;($F$6-$E$6)/($G$6-$E$6),$E$6+SQRT(P549*($G$6-$E$6)*($F$6-$E$6)),$G$6-SQRT((1-P549)*($G$6-$E$6)*($G$6-$F$6))))</f>
        <v>0.989455301576522</v>
      </c>
      <c r="C549" s="51" t="n">
        <f aca="false">1+IF($G$7=$E$7,$F$7,IF(Q549&lt;($F$7-$E$7)/($G$7-$E$7),$E$7+SQRT(Q549*($G$7-$E$7)*($F$7-$E$7)),$G$7-SQRT((1-Q549)*($G$7-$E$7)*($G$7-$F$7))))</f>
        <v>0.973955655709396</v>
      </c>
      <c r="D549" s="51" t="n">
        <f aca="false">1+IF($G$8=$E$8,$F$8,IF(R549&lt;($F$8-$E$8)/($G$8-$E$8),$E$8+SQRT(R549*($G$8-$E$8)*($F$8-$E$8)),$G$8-SQRT((1-R549)*($G$8-$E$8)*($G$8-$F$8))))</f>
        <v>1.00369622305954</v>
      </c>
      <c r="E549" s="51" t="n">
        <f aca="false">1+IF($G$9=$E$9,$F$9,IF(S549&lt;($F$9-$E$9)/($G$9-$E$9),$E$9+SQRT(S549*($G$9-$E$9)*($F$9-$E$9)),$G$9-SQRT((1-S549)*($G$9-$E$9)*($G$9-$F$9))))</f>
        <v>0.985024999200867</v>
      </c>
      <c r="F549" s="51" t="n">
        <f aca="false">1+IF($G$10=$E$10,$F$10,IF(T549&lt;($F$10-$E$10)/($G$10-$E$10),$E$10+SQRT(T549*($G$10-$E$10)*($F$10-$E$10)),$G$10-SQRT((1-T549)*($G$10-$E$10)*($G$10-$F$10))))</f>
        <v>1.05558222490683</v>
      </c>
      <c r="G549" s="52" t="n">
        <f aca="false">IF($G$11=$E$11,$F$11,IF(U549&lt;($F$11-$E$11)/($G$11-$E$11),$E$11+SQRT(U549*($G$11-$E$11)*($F$11-$E$11)),$G$11-SQRT((1-U549)*($G$11-$E$11)*($G$11-$F$11))))</f>
        <v>0.101386436484921</v>
      </c>
      <c r="H549" s="53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-2111164449.81366</v>
      </c>
      <c r="I549" s="53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-6688626.49877164</v>
      </c>
      <c r="J549" s="53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282208985.211765</v>
      </c>
      <c r="K549" s="53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623885708.167644</v>
      </c>
      <c r="L549" s="53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753489885.959331</v>
      </c>
      <c r="M549" s="53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936667242.344293</v>
      </c>
      <c r="N549" s="53" t="n">
        <f aca="false">IF(COUNT('Business Case'!B11:G11)=0,"",H549+NPV(G549,I549:M549))</f>
        <v>-327624431.729426</v>
      </c>
      <c r="P549" s="54" t="n">
        <f aca="true">RAND()</f>
        <v>0.502504053863086</v>
      </c>
      <c r="Q549" s="54" t="n">
        <f aca="true">RAND()</f>
        <v>0.432293859332655</v>
      </c>
      <c r="R549" s="54" t="n">
        <f aca="true">RAND()</f>
        <v>0.440166694675033</v>
      </c>
      <c r="S549" s="54" t="n">
        <f aca="true">RAND()</f>
        <v>0.163566742536094</v>
      </c>
      <c r="T549" s="54" t="n">
        <f aca="true">RAND()</f>
        <v>0.582870124742769</v>
      </c>
      <c r="U549" s="54" t="n">
        <f aca="true">RAND()</f>
        <v>0.422558755450172</v>
      </c>
    </row>
    <row r="550" customFormat="false" ht="15" hidden="false" customHeight="false" outlineLevel="0" collapsed="false">
      <c r="A550" s="50" t="n">
        <v>470</v>
      </c>
      <c r="B550" s="51" t="n">
        <f aca="false">1+IF($G$6=$E$6,$F$6,IF(P550&lt;($F$6-$E$6)/($G$6-$E$6),$E$6+SQRT(P550*($G$6-$E$6)*($F$6-$E$6)),$G$6-SQRT((1-P550)*($G$6-$E$6)*($G$6-$F$6))))</f>
        <v>1.01470829004838</v>
      </c>
      <c r="C550" s="51" t="n">
        <f aca="false">1+IF($G$7=$E$7,$F$7,IF(Q550&lt;($F$7-$E$7)/($G$7-$E$7),$E$7+SQRT(Q550*($G$7-$E$7)*($F$7-$E$7)),$G$7-SQRT((1-Q550)*($G$7-$E$7)*($G$7-$F$7))))</f>
        <v>0.974606462013898</v>
      </c>
      <c r="D550" s="51" t="n">
        <f aca="false">1+IF($G$8=$E$8,$F$8,IF(R550&lt;($F$8-$E$8)/($G$8-$E$8),$E$8+SQRT(R550*($G$8-$E$8)*($F$8-$E$8)),$G$8-SQRT((1-R550)*($G$8-$E$8)*($G$8-$F$8))))</f>
        <v>1.06883675597445</v>
      </c>
      <c r="E550" s="51" t="n">
        <f aca="false">1+IF($G$9=$E$9,$F$9,IF(S550&lt;($F$9-$E$9)/($G$9-$E$9),$E$9+SQRT(S550*($G$9-$E$9)*($F$9-$E$9)),$G$9-SQRT((1-S550)*($G$9-$E$9)*($G$9-$F$9))))</f>
        <v>1.06832378124443</v>
      </c>
      <c r="F550" s="51" t="n">
        <f aca="false">1+IF($G$10=$E$10,$F$10,IF(T550&lt;($F$10-$E$10)/($G$10-$E$10),$E$10+SQRT(T550*($G$10-$E$10)*($F$10-$E$10)),$G$10-SQRT((1-T550)*($G$10-$E$10)*($G$10-$F$10))))</f>
        <v>0.992827390499929</v>
      </c>
      <c r="G550" s="52" t="n">
        <f aca="false">IF($G$11=$E$11,$F$11,IF(U550&lt;($F$11-$E$11)/($G$11-$E$11),$E$11+SQRT(U550*($G$11-$E$11)*($F$11-$E$11)),$G$11-SQRT((1-U550)*($G$11-$E$11)*($G$11-$F$11))))</f>
        <v>0.104751280731348</v>
      </c>
      <c r="H550" s="53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-1985654780.99986</v>
      </c>
      <c r="I550" s="53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-25715614.1042081</v>
      </c>
      <c r="J550" s="53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251033867.27358</v>
      </c>
      <c r="K550" s="53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577424718.176364</v>
      </c>
      <c r="L550" s="53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703852355.128324</v>
      </c>
      <c r="M550" s="53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891830309.17149</v>
      </c>
      <c r="N550" s="53" t="n">
        <f aca="false">IF(COUNT('Business Case'!B11:G11)=0,"",H550+NPV(G550,I550:M550))</f>
        <v>-360518199.079662</v>
      </c>
      <c r="P550" s="54" t="n">
        <f aca="true">RAND()</f>
        <v>0.866735293275669</v>
      </c>
      <c r="Q550" s="54" t="n">
        <f aca="true">RAND()</f>
        <v>0.435534522528727</v>
      </c>
      <c r="R550" s="54" t="n">
        <f aca="true">RAND()</f>
        <v>0.988017498348661</v>
      </c>
      <c r="S550" s="54" t="n">
        <f aca="true">RAND()</f>
        <v>0.933107811023279</v>
      </c>
      <c r="T550" s="54" t="n">
        <f aca="true">RAND()</f>
        <v>0.146734830162675</v>
      </c>
      <c r="U550" s="54" t="n">
        <f aca="true">RAND()</f>
        <v>0.612460934443087</v>
      </c>
    </row>
    <row r="551" customFormat="false" ht="15" hidden="false" customHeight="false" outlineLevel="0" collapsed="false">
      <c r="A551" s="50" t="n">
        <v>471</v>
      </c>
      <c r="B551" s="51" t="n">
        <f aca="false">1+IF($G$6=$E$6,$F$6,IF(P551&lt;($F$6-$E$6)/($G$6-$E$6),$E$6+SQRT(P551*($G$6-$E$6)*($F$6-$E$6)),$G$6-SQRT((1-P551)*($G$6-$E$6)*($G$6-$F$6))))</f>
        <v>1.02428384936932</v>
      </c>
      <c r="C551" s="51" t="n">
        <f aca="false">1+IF($G$7=$E$7,$F$7,IF(Q551&lt;($F$7-$E$7)/($G$7-$E$7),$E$7+SQRT(Q551*($G$7-$E$7)*($F$7-$E$7)),$G$7-SQRT((1-Q551)*($G$7-$E$7)*($G$7-$F$7))))</f>
        <v>1.0858382201774</v>
      </c>
      <c r="D551" s="51" t="n">
        <f aca="false">1+IF($G$8=$E$8,$F$8,IF(R551&lt;($F$8-$E$8)/($G$8-$E$8),$E$8+SQRT(R551*($G$8-$E$8)*($F$8-$E$8)),$G$8-SQRT((1-R551)*($G$8-$E$8)*($G$8-$F$8))))</f>
        <v>1.02221591464412</v>
      </c>
      <c r="E551" s="51" t="n">
        <f aca="false">1+IF($G$9=$E$9,$F$9,IF(S551&lt;($F$9-$E$9)/($G$9-$E$9),$E$9+SQRT(S551*($G$9-$E$9)*($F$9-$E$9)),$G$9-SQRT((1-S551)*($G$9-$E$9)*($G$9-$F$9))))</f>
        <v>0.979139933112763</v>
      </c>
      <c r="F551" s="51" t="n">
        <f aca="false">1+IF($G$10=$E$10,$F$10,IF(T551&lt;($F$10-$E$10)/($G$10-$E$10),$E$10+SQRT(T551*($G$10-$E$10)*($F$10-$E$10)),$G$10-SQRT((1-T551)*($G$10-$E$10)*($G$10-$F$10))))</f>
        <v>1.0064107059515</v>
      </c>
      <c r="G551" s="52" t="n">
        <f aca="false">IF($G$11=$E$11,$F$11,IF(U551&lt;($F$11-$E$11)/($G$11-$E$11),$E$11+SQRT(U551*($G$11-$E$11)*($F$11-$E$11)),$G$11-SQRT((1-U551)*($G$11-$E$11)*($G$11-$F$11))))</f>
        <v>0.111393726667225</v>
      </c>
      <c r="H551" s="53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-2012821411.903</v>
      </c>
      <c r="I551" s="53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45234397.0651756</v>
      </c>
      <c r="J551" s="53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388000350.867517</v>
      </c>
      <c r="K551" s="53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781086839.967433</v>
      </c>
      <c r="L551" s="53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933780016.337134</v>
      </c>
      <c r="M551" s="53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1145188237.73286</v>
      </c>
      <c r="N551" s="53" t="n">
        <f aca="false">IF(COUNT('Business Case'!B11:G11)=0,"",H551+NPV(G551,I551:M551))</f>
        <v>198370692.832614</v>
      </c>
      <c r="P551" s="54" t="n">
        <f aca="true">RAND()</f>
        <v>0.948542210282041</v>
      </c>
      <c r="Q551" s="54" t="n">
        <f aca="true">RAND()</f>
        <v>0.921586019238035</v>
      </c>
      <c r="R551" s="54" t="n">
        <f aca="true">RAND()</f>
        <v>0.678942257652325</v>
      </c>
      <c r="S551" s="54" t="n">
        <f aca="true">RAND()</f>
        <v>0.113218093575503</v>
      </c>
      <c r="T551" s="54" t="n">
        <f aca="true">RAND()</f>
        <v>0.250463704596066</v>
      </c>
      <c r="U551" s="54" t="n">
        <f aca="true">RAND()</f>
        <v>0.876553432202602</v>
      </c>
    </row>
    <row r="552" customFormat="false" ht="15" hidden="false" customHeight="false" outlineLevel="0" collapsed="false">
      <c r="A552" s="50" t="n">
        <v>472</v>
      </c>
      <c r="B552" s="51" t="n">
        <f aca="false">1+IF($G$6=$E$6,$F$6,IF(P552&lt;($F$6-$E$6)/($G$6-$E$6),$E$6+SQRT(P552*($G$6-$E$6)*($F$6-$E$6)),$G$6-SQRT((1-P552)*($G$6-$E$6)*($G$6-$F$6))))</f>
        <v>1.03270159273013</v>
      </c>
      <c r="C552" s="51" t="n">
        <f aca="false">1+IF($G$7=$E$7,$F$7,IF(Q552&lt;($F$7-$E$7)/($G$7-$E$7),$E$7+SQRT(Q552*($G$7-$E$7)*($F$7-$E$7)),$G$7-SQRT((1-Q552)*($G$7-$E$7)*($G$7-$F$7))))</f>
        <v>0.971953414167892</v>
      </c>
      <c r="D552" s="51" t="n">
        <f aca="false">1+IF($G$8=$E$8,$F$8,IF(R552&lt;($F$8-$E$8)/($G$8-$E$8),$E$8+SQRT(R552*($G$8-$E$8)*($F$8-$E$8)),$G$8-SQRT((1-R552)*($G$8-$E$8)*($G$8-$F$8))))</f>
        <v>0.981752122205798</v>
      </c>
      <c r="E552" s="51" t="n">
        <f aca="false">1+IF($G$9=$E$9,$F$9,IF(S552&lt;($F$9-$E$9)/($G$9-$E$9),$E$9+SQRT(S552*($G$9-$E$9)*($F$9-$E$9)),$G$9-SQRT((1-S552)*($G$9-$E$9)*($G$9-$F$9))))</f>
        <v>1.01097759067976</v>
      </c>
      <c r="F552" s="51" t="n">
        <f aca="false">1+IF($G$10=$E$10,$F$10,IF(T552&lt;($F$10-$E$10)/($G$10-$E$10),$E$10+SQRT(T552*($G$10-$E$10)*($F$10-$E$10)),$G$10-SQRT((1-T552)*($G$10-$E$10)*($G$10-$F$10))))</f>
        <v>1.01937575148513</v>
      </c>
      <c r="G552" s="52" t="n">
        <f aca="false">IF($G$11=$E$11,$F$11,IF(U552&lt;($F$11-$E$11)/($G$11-$E$11),$E$11+SQRT(U552*($G$11-$E$11)*($F$11-$E$11)),$G$11-SQRT((1-U552)*($G$11-$E$11)*($G$11-$F$11))))</f>
        <v>0.0963821872836686</v>
      </c>
      <c r="H552" s="53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-2038751502.97026</v>
      </c>
      <c r="I552" s="53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35918266.9886291</v>
      </c>
      <c r="J552" s="53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369568892.087488</v>
      </c>
      <c r="K552" s="53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754188304.760604</v>
      </c>
      <c r="L552" s="53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900094359.504927</v>
      </c>
      <c r="M552" s="53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1090884847.91746</v>
      </c>
      <c r="N552" s="53" t="n">
        <f aca="false">IF(COUNT('Business Case'!B11:G11)=0,"",H552+NPV(G552,I552:M552))</f>
        <v>185252246.502738</v>
      </c>
      <c r="P552" s="54" t="n">
        <f aca="true">RAND()</f>
        <v>0.988902760692321</v>
      </c>
      <c r="Q552" s="54" t="n">
        <f aca="true">RAND()</f>
        <v>0.42239966634278</v>
      </c>
      <c r="R552" s="54" t="n">
        <f aca="true">RAND()</f>
        <v>0.155107271472608</v>
      </c>
      <c r="S552" s="54" t="n">
        <f aca="true">RAND()</f>
        <v>0.471667375921254</v>
      </c>
      <c r="T552" s="54" t="n">
        <f aca="true">RAND()</f>
        <v>0.347497616968763</v>
      </c>
      <c r="U552" s="54" t="n">
        <f aca="true">RAND()</f>
        <v>0.135774381746071</v>
      </c>
    </row>
    <row r="553" customFormat="false" ht="15" hidden="false" customHeight="false" outlineLevel="0" collapsed="false">
      <c r="A553" s="50" t="n">
        <v>473</v>
      </c>
      <c r="B553" s="51" t="n">
        <f aca="false">1+IF($G$6=$E$6,$F$6,IF(P553&lt;($F$6-$E$6)/($G$6-$E$6),$E$6+SQRT(P553*($G$6-$E$6)*($F$6-$E$6)),$G$6-SQRT((1-P553)*($G$6-$E$6)*($G$6-$F$6))))</f>
        <v>0.978550481971201</v>
      </c>
      <c r="C553" s="51" t="n">
        <f aca="false">1+IF($G$7=$E$7,$F$7,IF(Q553&lt;($F$7-$E$7)/($G$7-$E$7),$E$7+SQRT(Q553*($G$7-$E$7)*($F$7-$E$7)),$G$7-SQRT((1-Q553)*($G$7-$E$7)*($G$7-$F$7))))</f>
        <v>0.876374352108293</v>
      </c>
      <c r="D553" s="51" t="n">
        <f aca="false">1+IF($G$8=$E$8,$F$8,IF(R553&lt;($F$8-$E$8)/($G$8-$E$8),$E$8+SQRT(R553*($G$8-$E$8)*($F$8-$E$8)),$G$8-SQRT((1-R553)*($G$8-$E$8)*($G$8-$F$8))))</f>
        <v>1.04075204572445</v>
      </c>
      <c r="E553" s="51" t="n">
        <f aca="false">1+IF($G$9=$E$9,$F$9,IF(S553&lt;($F$9-$E$9)/($G$9-$E$9),$E$9+SQRT(S553*($G$9-$E$9)*($F$9-$E$9)),$G$9-SQRT((1-S553)*($G$9-$E$9)*($G$9-$F$9))))</f>
        <v>1.01857168740466</v>
      </c>
      <c r="F553" s="51" t="n">
        <f aca="false">1+IF($G$10=$E$10,$F$10,IF(T553&lt;($F$10-$E$10)/($G$10-$E$10),$E$10+SQRT(T553*($G$10-$E$10)*($F$10-$E$10)),$G$10-SQRT((1-T553)*($G$10-$E$10)*($G$10-$F$10))))</f>
        <v>1.12456761720493</v>
      </c>
      <c r="G553" s="52" t="n">
        <f aca="false">IF($G$11=$E$11,$F$11,IF(U553&lt;($F$11-$E$11)/($G$11-$E$11),$E$11+SQRT(U553*($G$11-$E$11)*($F$11-$E$11)),$G$11-SQRT((1-U553)*($G$11-$E$11)*($G$11-$F$11))))</f>
        <v>0.101442966209575</v>
      </c>
      <c r="H553" s="53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-2249135234.40986</v>
      </c>
      <c r="I553" s="53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-66253781.7839886</v>
      </c>
      <c r="J553" s="53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169246860.175739</v>
      </c>
      <c r="K553" s="53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460975882.995714</v>
      </c>
      <c r="L553" s="53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569113942.365144</v>
      </c>
      <c r="M553" s="53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732122091.970842</v>
      </c>
      <c r="N553" s="53" t="n">
        <f aca="false">IF(COUNT('Business Case'!B11:G11)=0,"",H553+NPV(G553,I553:M553))</f>
        <v>-986501435.716672</v>
      </c>
      <c r="P553" s="54" t="n">
        <f aca="true">RAND()</f>
        <v>0.357099889485414</v>
      </c>
      <c r="Q553" s="54" t="n">
        <f aca="true">RAND()</f>
        <v>0.0833291665708786</v>
      </c>
      <c r="R553" s="54" t="n">
        <f aca="true">RAND()</f>
        <v>0.851884431267692</v>
      </c>
      <c r="S553" s="54" t="n">
        <f aca="true">RAND()</f>
        <v>0.557961993858374</v>
      </c>
      <c r="T553" s="54" t="n">
        <f aca="true">RAND()</f>
        <v>0.886199112517153</v>
      </c>
      <c r="U553" s="54" t="n">
        <f aca="true">RAND()</f>
        <v>0.426060828168346</v>
      </c>
    </row>
    <row r="554" customFormat="false" ht="15" hidden="false" customHeight="false" outlineLevel="0" collapsed="false">
      <c r="A554" s="50" t="n">
        <v>474</v>
      </c>
      <c r="B554" s="51" t="n">
        <f aca="false">1+IF($G$6=$E$6,$F$6,IF(P554&lt;($F$6-$E$6)/($G$6-$E$6),$E$6+SQRT(P554*($G$6-$E$6)*($F$6-$E$6)),$G$6-SQRT((1-P554)*($G$6-$E$6)*($G$6-$F$6))))</f>
        <v>0.96966221861764</v>
      </c>
      <c r="C554" s="51" t="n">
        <f aca="false">1+IF($G$7=$E$7,$F$7,IF(Q554&lt;($F$7-$E$7)/($G$7-$E$7),$E$7+SQRT(Q554*($G$7-$E$7)*($F$7-$E$7)),$G$7-SQRT((1-Q554)*($G$7-$E$7)*($G$7-$F$7))))</f>
        <v>0.826712182622069</v>
      </c>
      <c r="D554" s="51" t="n">
        <f aca="false">1+IF($G$8=$E$8,$F$8,IF(R554&lt;($F$8-$E$8)/($G$8-$E$8),$E$8+SQRT(R554*($G$8-$E$8)*($F$8-$E$8)),$G$8-SQRT((1-R554)*($G$8-$E$8)*($G$8-$F$8))))</f>
        <v>1.02901800487711</v>
      </c>
      <c r="E554" s="51" t="n">
        <f aca="false">1+IF($G$9=$E$9,$F$9,IF(S554&lt;($F$9-$E$9)/($G$9-$E$9),$E$9+SQRT(S554*($G$9-$E$9)*($F$9-$E$9)),$G$9-SQRT((1-S554)*($G$9-$E$9)*($G$9-$F$9))))</f>
        <v>0.988235393789939</v>
      </c>
      <c r="F554" s="51" t="n">
        <f aca="false">1+IF($G$10=$E$10,$F$10,IF(T554&lt;($F$10-$E$10)/($G$10-$E$10),$E$10+SQRT(T554*($G$10-$E$10)*($F$10-$E$10)),$G$10-SQRT((1-T554)*($G$10-$E$10)*($G$10-$F$10))))</f>
        <v>1.0035182822103</v>
      </c>
      <c r="G554" s="52" t="n">
        <f aca="false">IF($G$11=$E$11,$F$11,IF(U554&lt;($F$11-$E$11)/($G$11-$E$11),$E$11+SQRT(U554*($G$11-$E$11)*($F$11-$E$11)),$G$11-SQRT((1-U554)*($G$11-$E$11)*($G$11-$F$11))))</f>
        <v>0.115016195387514</v>
      </c>
      <c r="H554" s="53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-2007036564.4206</v>
      </c>
      <c r="I554" s="53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-61332734.0447937</v>
      </c>
      <c r="J554" s="53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159770013.673603</v>
      </c>
      <c r="K554" s="53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431048675.502515</v>
      </c>
      <c r="L554" s="53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532453978.438801</v>
      </c>
      <c r="M554" s="53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684828107.104648</v>
      </c>
      <c r="N554" s="53" t="n">
        <f aca="false">IF(COUNT('Business Case'!B11:G11)=0,"",H554+NPV(G554,I554:M554))</f>
        <v>-880762445.520269</v>
      </c>
      <c r="P554" s="54" t="n">
        <f aca="true">RAND()</f>
        <v>0.25690999562774</v>
      </c>
      <c r="Q554" s="54" t="n">
        <f aca="true">RAND()</f>
        <v>0.0101934385776398</v>
      </c>
      <c r="R554" s="54" t="n">
        <f aca="true">RAND()</f>
        <v>0.750080401277847</v>
      </c>
      <c r="S554" s="54" t="n">
        <f aca="true">RAND()</f>
        <v>0.194926045102898</v>
      </c>
      <c r="T554" s="54" t="n">
        <f aca="true">RAND()</f>
        <v>0.227898691488191</v>
      </c>
      <c r="U554" s="54" t="n">
        <f aca="true">RAND()</f>
        <v>0.95860281930761</v>
      </c>
    </row>
    <row r="555" customFormat="false" ht="15" hidden="false" customHeight="false" outlineLevel="0" collapsed="false">
      <c r="A555" s="50" t="n">
        <v>475</v>
      </c>
      <c r="B555" s="51" t="n">
        <f aca="false">1+IF($G$6=$E$6,$F$6,IF(P555&lt;($F$6-$E$6)/($G$6-$E$6),$E$6+SQRT(P555*($G$6-$E$6)*($F$6-$E$6)),$G$6-SQRT((1-P555)*($G$6-$E$6)*($G$6-$F$6))))</f>
        <v>0.972788012578834</v>
      </c>
      <c r="C555" s="51" t="n">
        <f aca="false">1+IF($G$7=$E$7,$F$7,IF(Q555&lt;($F$7-$E$7)/($G$7-$E$7),$E$7+SQRT(Q555*($G$7-$E$7)*($F$7-$E$7)),$G$7-SQRT((1-Q555)*($G$7-$E$7)*($G$7-$F$7))))</f>
        <v>1.07745927086764</v>
      </c>
      <c r="D555" s="51" t="n">
        <f aca="false">1+IF($G$8=$E$8,$F$8,IF(R555&lt;($F$8-$E$8)/($G$8-$E$8),$E$8+SQRT(R555*($G$8-$E$8)*($F$8-$E$8)),$G$8-SQRT((1-R555)*($G$8-$E$8)*($G$8-$F$8))))</f>
        <v>1.00214444394744</v>
      </c>
      <c r="E555" s="51" t="n">
        <f aca="false">1+IF($G$9=$E$9,$F$9,IF(S555&lt;($F$9-$E$9)/($G$9-$E$9),$E$9+SQRT(S555*($G$9-$E$9)*($F$9-$E$9)),$G$9-SQRT((1-S555)*($G$9-$E$9)*($G$9-$F$9))))</f>
        <v>0.995894336819266</v>
      </c>
      <c r="F555" s="51" t="n">
        <f aca="false">1+IF($G$10=$E$10,$F$10,IF(T555&lt;($F$10-$E$10)/($G$10-$E$10),$E$10+SQRT(T555*($G$10-$E$10)*($F$10-$E$10)),$G$10-SQRT((1-T555)*($G$10-$E$10)*($G$10-$F$10))))</f>
        <v>1.01095200554131</v>
      </c>
      <c r="G555" s="52" t="n">
        <f aca="false">IF($G$11=$E$11,$F$11,IF(U555&lt;($F$11-$E$11)/($G$11-$E$11),$E$11+SQRT(U555*($G$11-$E$11)*($F$11-$E$11)),$G$11-SQRT((1-U555)*($G$11-$E$11)*($G$11-$F$11))))</f>
        <v>0.101622623763551</v>
      </c>
      <c r="H555" s="53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-2021904011.08263</v>
      </c>
      <c r="I555" s="53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8698993.81197825</v>
      </c>
      <c r="J555" s="53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314444912.622331</v>
      </c>
      <c r="K555" s="53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670738431.70975</v>
      </c>
      <c r="L555" s="53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808877437.812231</v>
      </c>
      <c r="M555" s="53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1008107786.89022</v>
      </c>
      <c r="N555" s="53" t="n">
        <f aca="false">IF(COUNT('Business Case'!B11:G11)=0,"",H555+NPV(G555,I555:M555))</f>
        <v>-82602932.6849501</v>
      </c>
      <c r="P555" s="54" t="n">
        <f aca="true">RAND()</f>
        <v>0.290268153335743</v>
      </c>
      <c r="Q555" s="54" t="n">
        <f aca="true">RAND()</f>
        <v>0.899768430798971</v>
      </c>
      <c r="R555" s="54" t="n">
        <f aca="true">RAND()</f>
        <v>0.417164653052596</v>
      </c>
      <c r="S555" s="54" t="n">
        <f aca="true">RAND()</f>
        <v>0.280838686944034</v>
      </c>
      <c r="T555" s="54" t="n">
        <f aca="true">RAND()</f>
        <v>0.285217115822965</v>
      </c>
      <c r="U555" s="54" t="n">
        <f aca="true">RAND()</f>
        <v>0.437120071106678</v>
      </c>
    </row>
    <row r="556" customFormat="false" ht="15" hidden="false" customHeight="false" outlineLevel="0" collapsed="false">
      <c r="A556" s="50" t="n">
        <v>476</v>
      </c>
      <c r="B556" s="51" t="n">
        <f aca="false">1+IF($G$6=$E$6,$F$6,IF(P556&lt;($F$6-$E$6)/($G$6-$E$6),$E$6+SQRT(P556*($G$6-$E$6)*($F$6-$E$6)),$G$6-SQRT((1-P556)*($G$6-$E$6)*($G$6-$F$6))))</f>
        <v>0.952271491075471</v>
      </c>
      <c r="C556" s="51" t="n">
        <f aca="false">1+IF($G$7=$E$7,$F$7,IF(Q556&lt;($F$7-$E$7)/($G$7-$E$7),$E$7+SQRT(Q556*($G$7-$E$7)*($F$7-$E$7)),$G$7-SQRT((1-Q556)*($G$7-$E$7)*($G$7-$F$7))))</f>
        <v>1.0062239029407</v>
      </c>
      <c r="D556" s="51" t="n">
        <f aca="false">1+IF($G$8=$E$8,$F$8,IF(R556&lt;($F$8-$E$8)/($G$8-$E$8),$E$8+SQRT(R556*($G$8-$E$8)*($F$8-$E$8)),$G$8-SQRT((1-R556)*($G$8-$E$8)*($G$8-$F$8))))</f>
        <v>0.980208384353339</v>
      </c>
      <c r="E556" s="51" t="n">
        <f aca="false">1+IF($G$9=$E$9,$F$9,IF(S556&lt;($F$9-$E$9)/($G$9-$E$9),$E$9+SQRT(S556*($G$9-$E$9)*($F$9-$E$9)),$G$9-SQRT((1-S556)*($G$9-$E$9)*($G$9-$F$9))))</f>
        <v>1.08536147206553</v>
      </c>
      <c r="F556" s="51" t="n">
        <f aca="false">1+IF($G$10=$E$10,$F$10,IF(T556&lt;($F$10-$E$10)/($G$10-$E$10),$E$10+SQRT(T556*($G$10-$E$10)*($F$10-$E$10)),$G$10-SQRT((1-T556)*($G$10-$E$10)*($G$10-$F$10))))</f>
        <v>1.11188844262734</v>
      </c>
      <c r="G556" s="52" t="n">
        <f aca="false">IF($G$11=$E$11,$F$11,IF(U556&lt;($F$11-$E$11)/($G$11-$E$11),$E$11+SQRT(U556*($G$11-$E$11)*($F$11-$E$11)),$G$11-SQRT((1-U556)*($G$11-$E$11)*($G$11-$F$11))))</f>
        <v>0.110431897354103</v>
      </c>
      <c r="H556" s="53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-2223776885.25469</v>
      </c>
      <c r="I556" s="53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-35278177.196112</v>
      </c>
      <c r="J556" s="53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244643892.957677</v>
      </c>
      <c r="K556" s="53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580160385.242833</v>
      </c>
      <c r="L556" s="53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706583076.467061</v>
      </c>
      <c r="M556" s="53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888717416.251706</v>
      </c>
      <c r="N556" s="53" t="n">
        <f aca="false">IF(COUNT('Business Case'!B11:G11)=0,"",H556+NPV(G556,I556:M556))</f>
        <v>-642319031.97094</v>
      </c>
      <c r="P556" s="54" t="n">
        <f aca="true">RAND()</f>
        <v>0.108484285024399</v>
      </c>
      <c r="Q556" s="54" t="n">
        <f aca="true">RAND()</f>
        <v>0.606255884083693</v>
      </c>
      <c r="R556" s="54" t="n">
        <f aca="true">RAND()</f>
        <v>0.140391766959852</v>
      </c>
      <c r="S556" s="54" t="n">
        <f aca="true">RAND()</f>
        <v>0.985714233327441</v>
      </c>
      <c r="T556" s="54" t="n">
        <f aca="true">RAND()</f>
        <v>0.844727069147302</v>
      </c>
      <c r="U556" s="54" t="n">
        <f aca="true">RAND()</f>
        <v>0.847419019595954</v>
      </c>
    </row>
    <row r="557" customFormat="false" ht="15" hidden="false" customHeight="false" outlineLevel="0" collapsed="false">
      <c r="A557" s="50" t="n">
        <v>477</v>
      </c>
      <c r="B557" s="51" t="n">
        <f aca="false">1+IF($G$6=$E$6,$F$6,IF(P557&lt;($F$6-$E$6)/($G$6-$E$6),$E$6+SQRT(P557*($G$6-$E$6)*($F$6-$E$6)),$G$6-SQRT((1-P557)*($G$6-$E$6)*($G$6-$F$6))))</f>
        <v>1.01478016390756</v>
      </c>
      <c r="C557" s="51" t="n">
        <f aca="false">1+IF($G$7=$E$7,$F$7,IF(Q557&lt;($F$7-$E$7)/($G$7-$E$7),$E$7+SQRT(Q557*($G$7-$E$7)*($F$7-$E$7)),$G$7-SQRT((1-Q557)*($G$7-$E$7)*($G$7-$F$7))))</f>
        <v>1.12737951479703</v>
      </c>
      <c r="D557" s="51" t="n">
        <f aca="false">1+IF($G$8=$E$8,$F$8,IF(R557&lt;($F$8-$E$8)/($G$8-$E$8),$E$8+SQRT(R557*($G$8-$E$8)*($F$8-$E$8)),$G$8-SQRT((1-R557)*($G$8-$E$8)*($G$8-$F$8))))</f>
        <v>0.997633094027819</v>
      </c>
      <c r="E557" s="51" t="n">
        <f aca="false">1+IF($G$9=$E$9,$F$9,IF(S557&lt;($F$9-$E$9)/($G$9-$E$9),$E$9+SQRT(S557*($G$9-$E$9)*($F$9-$E$9)),$G$9-SQRT((1-S557)*($G$9-$E$9)*($G$9-$F$9))))</f>
        <v>1.04067350322562</v>
      </c>
      <c r="F557" s="51" t="n">
        <f aca="false">1+IF($G$10=$E$10,$F$10,IF(T557&lt;($F$10-$E$10)/($G$10-$E$10),$E$10+SQRT(T557*($G$10-$E$10)*($F$10-$E$10)),$G$10-SQRT((1-T557)*($G$10-$E$10)*($G$10-$F$10))))</f>
        <v>0.971075081156816</v>
      </c>
      <c r="G557" s="52" t="n">
        <f aca="false">IF($G$11=$E$11,$F$11,IF(U557&lt;($F$11-$E$11)/($G$11-$E$11),$E$11+SQRT(U557*($G$11-$E$11)*($F$11-$E$11)),$G$11-SQRT((1-U557)*($G$11-$E$11)*($G$11-$F$11))))</f>
        <v>0.0997860159234413</v>
      </c>
      <c r="H557" s="53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-1942150162.31363</v>
      </c>
      <c r="I557" s="53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56892521.2157383</v>
      </c>
      <c r="J557" s="53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418183479.105042</v>
      </c>
      <c r="K557" s="53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828028191.052187</v>
      </c>
      <c r="L557" s="53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987996614.614756</v>
      </c>
      <c r="M557" s="53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1205456188.07849</v>
      </c>
      <c r="N557" s="53" t="n">
        <f aca="false">IF(COUNT('Business Case'!B11:G11)=0,"",H557+NPV(G557,I557:M557))</f>
        <v>502356321.807801</v>
      </c>
      <c r="P557" s="54" t="n">
        <f aca="true">RAND()</f>
        <v>0.867491639056349</v>
      </c>
      <c r="Q557" s="54" t="n">
        <f aca="true">RAND()</f>
        <v>0.990253593317756</v>
      </c>
      <c r="R557" s="54" t="n">
        <f aca="true">RAND()</f>
        <v>0.349063330255854</v>
      </c>
      <c r="S557" s="54" t="n">
        <f aca="true">RAND()</f>
        <v>0.765357785365263</v>
      </c>
      <c r="T557" s="54" t="n">
        <f aca="true">RAND()</f>
        <v>0.0355327236613119</v>
      </c>
      <c r="U557" s="54" t="n">
        <f aca="true">RAND()</f>
        <v>0.319220358846153</v>
      </c>
    </row>
    <row r="558" customFormat="false" ht="15" hidden="false" customHeight="false" outlineLevel="0" collapsed="false">
      <c r="A558" s="50" t="n">
        <v>478</v>
      </c>
      <c r="B558" s="51" t="n">
        <f aca="false">1+IF($G$6=$E$6,$F$6,IF(P558&lt;($F$6-$E$6)/($G$6-$E$6),$E$6+SQRT(P558*($G$6-$E$6)*($F$6-$E$6)),$G$6-SQRT((1-P558)*($G$6-$E$6)*($G$6-$F$6))))</f>
        <v>0.972796162857755</v>
      </c>
      <c r="C558" s="51" t="n">
        <f aca="false">1+IF($G$7=$E$7,$F$7,IF(Q558&lt;($F$7-$E$7)/($G$7-$E$7),$E$7+SQRT(Q558*($G$7-$E$7)*($F$7-$E$7)),$G$7-SQRT((1-Q558)*($G$7-$E$7)*($G$7-$F$7))))</f>
        <v>0.935182157743983</v>
      </c>
      <c r="D558" s="51" t="n">
        <f aca="false">1+IF($G$8=$E$8,$F$8,IF(R558&lt;($F$8-$E$8)/($G$8-$E$8),$E$8+SQRT(R558*($G$8-$E$8)*($F$8-$E$8)),$G$8-SQRT((1-R558)*($G$8-$E$8)*($G$8-$F$8))))</f>
        <v>1.02431651733124</v>
      </c>
      <c r="E558" s="51" t="n">
        <f aca="false">1+IF($G$9=$E$9,$F$9,IF(S558&lt;($F$9-$E$9)/($G$9-$E$9),$E$9+SQRT(S558*($G$9-$E$9)*($F$9-$E$9)),$G$9-SQRT((1-S558)*($G$9-$E$9)*($G$9-$F$9))))</f>
        <v>1.02369461875799</v>
      </c>
      <c r="F558" s="51" t="n">
        <f aca="false">1+IF($G$10=$E$10,$F$10,IF(T558&lt;($F$10-$E$10)/($G$10-$E$10),$E$10+SQRT(T558*($G$10-$E$10)*($F$10-$E$10)),$G$10-SQRT((1-T558)*($G$10-$E$10)*($G$10-$F$10))))</f>
        <v>1.07183643080701</v>
      </c>
      <c r="G558" s="52" t="n">
        <f aca="false">IF($G$11=$E$11,$F$11,IF(U558&lt;($F$11-$E$11)/($G$11-$E$11),$E$11+SQRT(U558*($G$11-$E$11)*($F$11-$E$11)),$G$11-SQRT((1-U558)*($G$11-$E$11)*($G$11-$F$11))))</f>
        <v>0.106225753652191</v>
      </c>
      <c r="H558" s="53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-2143672861.61401</v>
      </c>
      <c r="I558" s="53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-45149841.4085915</v>
      </c>
      <c r="J558" s="53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209614340.353136</v>
      </c>
      <c r="K558" s="53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517970343.655215</v>
      </c>
      <c r="L558" s="53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634332407.777278</v>
      </c>
      <c r="M558" s="53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807256093.885461</v>
      </c>
      <c r="N558" s="53" t="n">
        <f aca="false">IF(COUNT('Business Case'!B11:G11)=0,"",H558+NPV(G558,I558:M558))</f>
        <v>-719689516.317824</v>
      </c>
      <c r="P558" s="54" t="n">
        <f aca="true">RAND()</f>
        <v>0.290357792969016</v>
      </c>
      <c r="Q558" s="54" t="n">
        <f aca="true">RAND()</f>
        <v>0.261060225318843</v>
      </c>
      <c r="R558" s="54" t="n">
        <f aca="true">RAND()</f>
        <v>0.701860553642116</v>
      </c>
      <c r="S558" s="54" t="n">
        <f aca="true">RAND()</f>
        <v>0.611832586234141</v>
      </c>
      <c r="T558" s="54" t="n">
        <f aca="true">RAND()</f>
        <v>0.671481990634258</v>
      </c>
      <c r="U558" s="54" t="n">
        <f aca="true">RAND()</f>
        <v>0.683783562583139</v>
      </c>
    </row>
    <row r="559" customFormat="false" ht="15" hidden="false" customHeight="false" outlineLevel="0" collapsed="false">
      <c r="A559" s="50" t="n">
        <v>479</v>
      </c>
      <c r="B559" s="51" t="n">
        <f aca="false">1+IF($G$6=$E$6,$F$6,IF(P559&lt;($F$6-$E$6)/($G$6-$E$6),$E$6+SQRT(P559*($G$6-$E$6)*($F$6-$E$6)),$G$6-SQRT((1-P559)*($G$6-$E$6)*($G$6-$F$6))))</f>
        <v>0.992840121018376</v>
      </c>
      <c r="C559" s="51" t="n">
        <f aca="false">1+IF($G$7=$E$7,$F$7,IF(Q559&lt;($F$7-$E$7)/($G$7-$E$7),$E$7+SQRT(Q559*($G$7-$E$7)*($F$7-$E$7)),$G$7-SQRT((1-Q559)*($G$7-$E$7)*($G$7-$F$7))))</f>
        <v>1.02047499416281</v>
      </c>
      <c r="D559" s="51" t="n">
        <f aca="false">1+IF($G$8=$E$8,$F$8,IF(R559&lt;($F$8-$E$8)/($G$8-$E$8),$E$8+SQRT(R559*($G$8-$E$8)*($F$8-$E$8)),$G$8-SQRT((1-R559)*($G$8-$E$8)*($G$8-$F$8))))</f>
        <v>1.01187306271259</v>
      </c>
      <c r="E559" s="51" t="n">
        <f aca="false">1+IF($G$9=$E$9,$F$9,IF(S559&lt;($F$9-$E$9)/($G$9-$E$9),$E$9+SQRT(S559*($G$9-$E$9)*($F$9-$E$9)),$G$9-SQRT((1-S559)*($G$9-$E$9)*($G$9-$F$9))))</f>
        <v>0.986401126744742</v>
      </c>
      <c r="F559" s="51" t="n">
        <f aca="false">1+IF($G$10=$E$10,$F$10,IF(T559&lt;($F$10-$E$10)/($G$10-$E$10),$E$10+SQRT(T559*($G$10-$E$10)*($F$10-$E$10)),$G$10-SQRT((1-T559)*($G$10-$E$10)*($G$10-$F$10))))</f>
        <v>1.13981890656223</v>
      </c>
      <c r="G559" s="52" t="n">
        <f aca="false">IF($G$11=$E$11,$F$11,IF(U559&lt;($F$11-$E$11)/($G$11-$E$11),$E$11+SQRT(U559*($G$11-$E$11)*($F$11-$E$11)),$G$11-SQRT((1-U559)*($G$11-$E$11)*($G$11-$F$11))))</f>
        <v>0.0973090931869545</v>
      </c>
      <c r="H559" s="53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-2279637813.12447</v>
      </c>
      <c r="I559" s="53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-5516888.95704325</v>
      </c>
      <c r="J559" s="53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295737008.87101</v>
      </c>
      <c r="K559" s="53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653981852.027175</v>
      </c>
      <c r="L559" s="53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789414921.907041</v>
      </c>
      <c r="M559" s="53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981997993.561534</v>
      </c>
      <c r="N559" s="53" t="n">
        <f aca="false">IF(COUNT('Business Case'!B11:G11)=0,"",H559+NPV(G559,I559:M559))</f>
        <v>-382338708.977862</v>
      </c>
      <c r="P559" s="54" t="n">
        <f aca="true">RAND()</f>
        <v>0.552675336455386</v>
      </c>
      <c r="Q559" s="54" t="n">
        <f aca="true">RAND()</f>
        <v>0.680443292626192</v>
      </c>
      <c r="R559" s="54" t="n">
        <f aca="true">RAND()</f>
        <v>0.553723116907459</v>
      </c>
      <c r="S559" s="54" t="n">
        <f aca="true">RAND()</f>
        <v>0.176672270438231</v>
      </c>
      <c r="T559" s="54" t="n">
        <f aca="true">RAND()</f>
        <v>0.9275647198527</v>
      </c>
      <c r="U559" s="54" t="n">
        <f aca="true">RAND()</f>
        <v>0.17807614405195</v>
      </c>
    </row>
    <row r="560" customFormat="false" ht="15" hidden="false" customHeight="false" outlineLevel="0" collapsed="false">
      <c r="A560" s="50" t="n">
        <v>480</v>
      </c>
      <c r="B560" s="51" t="n">
        <f aca="false">1+IF($G$6=$E$6,$F$6,IF(P560&lt;($F$6-$E$6)/($G$6-$E$6),$E$6+SQRT(P560*($G$6-$E$6)*($F$6-$E$6)),$G$6-SQRT((1-P560)*($G$6-$E$6)*($G$6-$F$6))))</f>
        <v>1.0047616927654</v>
      </c>
      <c r="C560" s="51" t="n">
        <f aca="false">1+IF($G$7=$E$7,$F$7,IF(Q560&lt;($F$7-$E$7)/($G$7-$E$7),$E$7+SQRT(Q560*($G$7-$E$7)*($F$7-$E$7)),$G$7-SQRT((1-Q560)*($G$7-$E$7)*($G$7-$F$7))))</f>
        <v>0.945812873551462</v>
      </c>
      <c r="D560" s="51" t="n">
        <f aca="false">1+IF($G$8=$E$8,$F$8,IF(R560&lt;($F$8-$E$8)/($G$8-$E$8),$E$8+SQRT(R560*($G$8-$E$8)*($F$8-$E$8)),$G$8-SQRT((1-R560)*($G$8-$E$8)*($G$8-$F$8))))</f>
        <v>1.0162948142703</v>
      </c>
      <c r="E560" s="51" t="n">
        <f aca="false">1+IF($G$9=$E$9,$F$9,IF(S560&lt;($F$9-$E$9)/($G$9-$E$9),$E$9+SQRT(S560*($G$9-$E$9)*($F$9-$E$9)),$G$9-SQRT((1-S560)*($G$9-$E$9)*($G$9-$F$9))))</f>
        <v>1.00288200200731</v>
      </c>
      <c r="F560" s="51" t="n">
        <f aca="false">1+IF($G$10=$E$10,$F$10,IF(T560&lt;($F$10-$E$10)/($G$10-$E$10),$E$10+SQRT(T560*($G$10-$E$10)*($F$10-$E$10)),$G$10-SQRT((1-T560)*($G$10-$E$10)*($G$10-$F$10))))</f>
        <v>0.997962759709907</v>
      </c>
      <c r="G560" s="52" t="n">
        <f aca="false">IF($G$11=$E$11,$F$11,IF(U560&lt;($F$11-$E$11)/($G$11-$E$11),$E$11+SQRT(U560*($G$11-$E$11)*($F$11-$E$11)),$G$11-SQRT((1-U560)*($G$11-$E$11)*($G$11-$F$11))))</f>
        <v>0.11334457265174</v>
      </c>
      <c r="H560" s="53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-1995925519.41981</v>
      </c>
      <c r="I560" s="53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-5362992.04747933</v>
      </c>
      <c r="J560" s="53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280944522.195634</v>
      </c>
      <c r="K560" s="53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617150174.424242</v>
      </c>
      <c r="L560" s="53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745428952.261388</v>
      </c>
      <c r="M560" s="53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926065120.919984</v>
      </c>
      <c r="N560" s="53" t="n">
        <f aca="false">IF(COUNT('Business Case'!B11:G11)=0,"",H560+NPV(G560,I560:M560))</f>
        <v>-300356875.662037</v>
      </c>
      <c r="P560" s="54" t="n">
        <f aca="true">RAND()</f>
        <v>0.741304521508348</v>
      </c>
      <c r="Q560" s="54" t="n">
        <f aca="true">RAND()</f>
        <v>0.303734201333351</v>
      </c>
      <c r="R560" s="54" t="n">
        <f aca="true">RAND()</f>
        <v>0.609773972225467</v>
      </c>
      <c r="S560" s="54" t="n">
        <f aca="true">RAND()</f>
        <v>0.371206297726075</v>
      </c>
      <c r="T560" s="54" t="n">
        <f aca="true">RAND()</f>
        <v>0.184034105519225</v>
      </c>
      <c r="U560" s="54" t="n">
        <f aca="true">RAND()</f>
        <v>0.926175478020052</v>
      </c>
    </row>
    <row r="561" customFormat="false" ht="15" hidden="false" customHeight="false" outlineLevel="0" collapsed="false">
      <c r="A561" s="50" t="n">
        <v>481</v>
      </c>
      <c r="B561" s="51" t="n">
        <f aca="false">1+IF($G$6=$E$6,$F$6,IF(P561&lt;($F$6-$E$6)/($G$6-$E$6),$E$6+SQRT(P561*($G$6-$E$6)*($F$6-$E$6)),$G$6-SQRT((1-P561)*($G$6-$E$6)*($G$6-$F$6))))</f>
        <v>0.997461908110833</v>
      </c>
      <c r="C561" s="51" t="n">
        <f aca="false">1+IF($G$7=$E$7,$F$7,IF(Q561&lt;($F$7-$E$7)/($G$7-$E$7),$E$7+SQRT(Q561*($G$7-$E$7)*($F$7-$E$7)),$G$7-SQRT((1-Q561)*($G$7-$E$7)*($G$7-$F$7))))</f>
        <v>0.960661951835628</v>
      </c>
      <c r="D561" s="51" t="n">
        <f aca="false">1+IF($G$8=$E$8,$F$8,IF(R561&lt;($F$8-$E$8)/($G$8-$E$8),$E$8+SQRT(R561*($G$8-$E$8)*($F$8-$E$8)),$G$8-SQRT((1-R561)*($G$8-$E$8)*($G$8-$F$8))))</f>
        <v>1.02532369465053</v>
      </c>
      <c r="E561" s="51" t="n">
        <f aca="false">1+IF($G$9=$E$9,$F$9,IF(S561&lt;($F$9-$E$9)/($G$9-$E$9),$E$9+SQRT(S561*($G$9-$E$9)*($F$9-$E$9)),$G$9-SQRT((1-S561)*($G$9-$E$9)*($G$9-$F$9))))</f>
        <v>0.981387455891827</v>
      </c>
      <c r="F561" s="51" t="n">
        <f aca="false">1+IF($G$10=$E$10,$F$10,IF(T561&lt;($F$10-$E$10)/($G$10-$E$10),$E$10+SQRT(T561*($G$10-$E$10)*($F$10-$E$10)),$G$10-SQRT((1-T561)*($G$10-$E$10)*($G$10-$F$10))))</f>
        <v>1.02358859836025</v>
      </c>
      <c r="G561" s="52" t="n">
        <f aca="false">IF($G$11=$E$11,$F$11,IF(U561&lt;($F$11-$E$11)/($G$11-$E$11),$E$11+SQRT(U561*($G$11-$E$11)*($F$11-$E$11)),$G$11-SQRT((1-U561)*($G$11-$E$11)*($G$11-$F$11))))</f>
        <v>0.105351090954826</v>
      </c>
      <c r="H561" s="53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-2047177196.7205</v>
      </c>
      <c r="I561" s="53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-10968072.8264804</v>
      </c>
      <c r="J561" s="53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269650327.201745</v>
      </c>
      <c r="K561" s="53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601448157.147982</v>
      </c>
      <c r="L561" s="53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728103835.017965</v>
      </c>
      <c r="M561" s="53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910242996.584462</v>
      </c>
      <c r="N561" s="53" t="n">
        <f aca="false">IF(COUNT('Business Case'!B11:G11)=0,"",H561+NPV(G561,I561:M561))</f>
        <v>-351670011.663709</v>
      </c>
      <c r="P561" s="54" t="n">
        <f aca="true">RAND()</f>
        <v>0.625036167517825</v>
      </c>
      <c r="Q561" s="54" t="n">
        <f aca="true">RAND()</f>
        <v>0.368746610966195</v>
      </c>
      <c r="R561" s="54" t="n">
        <f aca="true">RAND()</f>
        <v>0.712548233974235</v>
      </c>
      <c r="S561" s="54" t="n">
        <f aca="true">RAND()</f>
        <v>0.131356318314852</v>
      </c>
      <c r="T561" s="54" t="n">
        <f aca="true">RAND()</f>
        <v>0.377580347429971</v>
      </c>
      <c r="U561" s="54" t="n">
        <f aca="true">RAND()</f>
        <v>0.642349106310347</v>
      </c>
    </row>
    <row r="562" customFormat="false" ht="15" hidden="false" customHeight="false" outlineLevel="0" collapsed="false">
      <c r="A562" s="50" t="n">
        <v>482</v>
      </c>
      <c r="B562" s="51" t="n">
        <f aca="false">1+IF($G$6=$E$6,$F$6,IF(P562&lt;($F$6-$E$6)/($G$6-$E$6),$E$6+SQRT(P562*($G$6-$E$6)*($F$6-$E$6)),$G$6-SQRT((1-P562)*($G$6-$E$6)*($G$6-$F$6))))</f>
        <v>1.00332712015201</v>
      </c>
      <c r="C562" s="51" t="n">
        <f aca="false">1+IF($G$7=$E$7,$F$7,IF(Q562&lt;($F$7-$E$7)/($G$7-$E$7),$E$7+SQRT(Q562*($G$7-$E$7)*($F$7-$E$7)),$G$7-SQRT((1-Q562)*($G$7-$E$7)*($G$7-$F$7))))</f>
        <v>1.05453684000475</v>
      </c>
      <c r="D562" s="51" t="n">
        <f aca="false">1+IF($G$8=$E$8,$F$8,IF(R562&lt;($F$8-$E$8)/($G$8-$E$8),$E$8+SQRT(R562*($G$8-$E$8)*($F$8-$E$8)),$G$8-SQRT((1-R562)*($G$8-$E$8)*($G$8-$F$8))))</f>
        <v>0.991890913891583</v>
      </c>
      <c r="E562" s="51" t="n">
        <f aca="false">1+IF($G$9=$E$9,$F$9,IF(S562&lt;($F$9-$E$9)/($G$9-$E$9),$E$9+SQRT(S562*($G$9-$E$9)*($F$9-$E$9)),$G$9-SQRT((1-S562)*($G$9-$E$9)*($G$9-$F$9))))</f>
        <v>1.00366994568677</v>
      </c>
      <c r="F562" s="51" t="n">
        <f aca="false">1+IF($G$10=$E$10,$F$10,IF(T562&lt;($F$10-$E$10)/($G$10-$E$10),$E$10+SQRT(T562*($G$10-$E$10)*($F$10-$E$10)),$G$10-SQRT((1-T562)*($G$10-$E$10)*($G$10-$F$10))))</f>
        <v>0.98832299325227</v>
      </c>
      <c r="G562" s="52" t="n">
        <f aca="false">IF($G$11=$E$11,$F$11,IF(U562&lt;($F$11-$E$11)/($G$11-$E$11),$E$11+SQRT(U562*($G$11-$E$11)*($F$11-$E$11)),$G$11-SQRT((1-U562)*($G$11-$E$11)*($G$11-$F$11))))</f>
        <v>0.102542070384167</v>
      </c>
      <c r="H562" s="53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-1976645986.50454</v>
      </c>
      <c r="I562" s="53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34751228.7376289</v>
      </c>
      <c r="J562" s="53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365905697.17178</v>
      </c>
      <c r="K562" s="53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746476315.268544</v>
      </c>
      <c r="L562" s="53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893427187.476351</v>
      </c>
      <c r="M562" s="53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1094540459.15669</v>
      </c>
      <c r="N562" s="53" t="n">
        <f aca="false">IF(COUNT('Business Case'!B11:G11)=0,"",H562+NPV(G562,I562:M562))</f>
        <v>189289206.19112</v>
      </c>
      <c r="P562" s="54" t="n">
        <f aca="true">RAND()</f>
        <v>0.719812475761411</v>
      </c>
      <c r="Q562" s="54" t="n">
        <f aca="true">RAND()</f>
        <v>0.826414953975655</v>
      </c>
      <c r="R562" s="54" t="n">
        <f aca="true">RAND()</f>
        <v>0.26997671794954</v>
      </c>
      <c r="S562" s="54" t="n">
        <f aca="true">RAND()</f>
        <v>0.38136804240063</v>
      </c>
      <c r="T562" s="54" t="n">
        <f aca="true">RAND()</f>
        <v>0.117492144945081</v>
      </c>
      <c r="U562" s="54" t="n">
        <f aca="true">RAND()</f>
        <v>0.492034489214394</v>
      </c>
    </row>
    <row r="563" customFormat="false" ht="15" hidden="false" customHeight="false" outlineLevel="0" collapsed="false">
      <c r="A563" s="50" t="n">
        <v>483</v>
      </c>
      <c r="B563" s="51" t="n">
        <f aca="false">1+IF($G$6=$E$6,$F$6,IF(P563&lt;($F$6-$E$6)/($G$6-$E$6),$E$6+SQRT(P563*($G$6-$E$6)*($F$6-$E$6)),$G$6-SQRT((1-P563)*($G$6-$E$6)*($G$6-$F$6))))</f>
        <v>1.00795999637739</v>
      </c>
      <c r="C563" s="51" t="n">
        <f aca="false">1+IF($G$7=$E$7,$F$7,IF(Q563&lt;($F$7-$E$7)/($G$7-$E$7),$E$7+SQRT(Q563*($G$7-$E$7)*($F$7-$E$7)),$G$7-SQRT((1-Q563)*($G$7-$E$7)*($G$7-$F$7))))</f>
        <v>1.00262503868335</v>
      </c>
      <c r="D563" s="51" t="n">
        <f aca="false">1+IF($G$8=$E$8,$F$8,IF(R563&lt;($F$8-$E$8)/($G$8-$E$8),$E$8+SQRT(R563*($G$8-$E$8)*($F$8-$E$8)),$G$8-SQRT((1-R563)*($G$8-$E$8)*($G$8-$F$8))))</f>
        <v>1.02563774999707</v>
      </c>
      <c r="E563" s="51" t="n">
        <f aca="false">1+IF($G$9=$E$9,$F$9,IF(S563&lt;($F$9-$E$9)/($G$9-$E$9),$E$9+SQRT(S563*($G$9-$E$9)*($F$9-$E$9)),$G$9-SQRT((1-S563)*($G$9-$E$9)*($G$9-$F$9))))</f>
        <v>1.02055526951568</v>
      </c>
      <c r="F563" s="51" t="n">
        <f aca="false">1+IF($G$10=$E$10,$F$10,IF(T563&lt;($F$10-$E$10)/($G$10-$E$10),$E$10+SQRT(T563*($G$10-$E$10)*($F$10-$E$10)),$G$10-SQRT((1-T563)*($G$10-$E$10)*($G$10-$F$10))))</f>
        <v>1.06832484313556</v>
      </c>
      <c r="G563" s="52" t="n">
        <f aca="false">IF($G$11=$E$11,$F$11,IF(U563&lt;($F$11-$E$11)/($G$11-$E$11),$E$11+SQRT(U563*($G$11-$E$11)*($F$11-$E$11)),$G$11-SQRT((1-U563)*($G$11-$E$11)*($G$11-$F$11))))</f>
        <v>0.110729855133096</v>
      </c>
      <c r="H563" s="53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-2136649686.27112</v>
      </c>
      <c r="I563" s="53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-3008973.51842213</v>
      </c>
      <c r="J563" s="53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298327308.03166</v>
      </c>
      <c r="K563" s="53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653079831.73852</v>
      </c>
      <c r="L563" s="53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788451799.875093</v>
      </c>
      <c r="M563" s="53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980547775.117761</v>
      </c>
      <c r="N563" s="53" t="n">
        <f aca="false">IF(COUNT('Business Case'!B11:G11)=0,"",H563+NPV(G563,I563:M563))</f>
        <v>-322950140.454898</v>
      </c>
      <c r="P563" s="54" t="n">
        <f aca="true">RAND()</f>
        <v>0.786132951638189</v>
      </c>
      <c r="Q563" s="54" t="n">
        <f aca="true">RAND()</f>
        <v>0.586297538607913</v>
      </c>
      <c r="R563" s="54" t="n">
        <f aca="true">RAND()</f>
        <v>0.715840939867227</v>
      </c>
      <c r="S563" s="54" t="n">
        <f aca="true">RAND()</f>
        <v>0.579235653218296</v>
      </c>
      <c r="T563" s="54" t="n">
        <f aca="true">RAND()</f>
        <v>0.653233061294493</v>
      </c>
      <c r="U563" s="54" t="n">
        <f aca="true">RAND()</f>
        <v>0.856774023577694</v>
      </c>
    </row>
    <row r="564" customFormat="false" ht="15" hidden="false" customHeight="false" outlineLevel="0" collapsed="false">
      <c r="A564" s="50" t="n">
        <v>484</v>
      </c>
      <c r="B564" s="51" t="n">
        <f aca="false">1+IF($G$6=$E$6,$F$6,IF(P564&lt;($F$6-$E$6)/($G$6-$E$6),$E$6+SQRT(P564*($G$6-$E$6)*($F$6-$E$6)),$G$6-SQRT((1-P564)*($G$6-$E$6)*($G$6-$F$6))))</f>
        <v>1.01079596304395</v>
      </c>
      <c r="C564" s="51" t="n">
        <f aca="false">1+IF($G$7=$E$7,$F$7,IF(Q564&lt;($F$7-$E$7)/($G$7-$E$7),$E$7+SQRT(Q564*($G$7-$E$7)*($F$7-$E$7)),$G$7-SQRT((1-Q564)*($G$7-$E$7)*($G$7-$F$7))))</f>
        <v>0.896551293485946</v>
      </c>
      <c r="D564" s="51" t="n">
        <f aca="false">1+IF($G$8=$E$8,$F$8,IF(R564&lt;($F$8-$E$8)/($G$8-$E$8),$E$8+SQRT(R564*($G$8-$E$8)*($F$8-$E$8)),$G$8-SQRT((1-R564)*($G$8-$E$8)*($G$8-$F$8))))</f>
        <v>1.00520086754926</v>
      </c>
      <c r="E564" s="51" t="n">
        <f aca="false">1+IF($G$9=$E$9,$F$9,IF(S564&lt;($F$9-$E$9)/($G$9-$E$9),$E$9+SQRT(S564*($G$9-$E$9)*($F$9-$E$9)),$G$9-SQRT((1-S564)*($G$9-$E$9)*($G$9-$F$9))))</f>
        <v>1.00585094707785</v>
      </c>
      <c r="F564" s="51" t="n">
        <f aca="false">1+IF($G$10=$E$10,$F$10,IF(T564&lt;($F$10-$E$10)/($G$10-$E$10),$E$10+SQRT(T564*($G$10-$E$10)*($F$10-$E$10)),$G$10-SQRT((1-T564)*($G$10-$E$10)*($G$10-$F$10))))</f>
        <v>1.09202199802984</v>
      </c>
      <c r="G564" s="52" t="n">
        <f aca="false">IF($G$11=$E$11,$F$11,IF(U564&lt;($F$11-$E$11)/($G$11-$E$11),$E$11+SQRT(U564*($G$11-$E$11)*($F$11-$E$11)),$G$11-SQRT((1-U564)*($G$11-$E$11)*($G$11-$F$11))))</f>
        <v>0.0983231990813015</v>
      </c>
      <c r="H564" s="53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-2184043996.05968</v>
      </c>
      <c r="I564" s="53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-18294762.1844442</v>
      </c>
      <c r="J564" s="53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262623665.502174</v>
      </c>
      <c r="K564" s="53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598143193.090284</v>
      </c>
      <c r="L564" s="53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723101992.581562</v>
      </c>
      <c r="M564" s="53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895358272.358122</v>
      </c>
      <c r="N564" s="53" t="n">
        <f aca="false">IF(COUNT('Business Case'!B11:G11)=0,"",H564+NPV(G564,I564:M564))</f>
        <v>-474422991.519146</v>
      </c>
      <c r="P564" s="54" t="n">
        <f aca="true">RAND()</f>
        <v>0.822317546972823</v>
      </c>
      <c r="Q564" s="54" t="n">
        <f aca="true">RAND()</f>
        <v>0.133173603911562</v>
      </c>
      <c r="R564" s="54" t="n">
        <f aca="true">RAND()</f>
        <v>0.462027863905515</v>
      </c>
      <c r="S564" s="54" t="n">
        <f aca="true">RAND()</f>
        <v>0.409063722257518</v>
      </c>
      <c r="T564" s="54" t="n">
        <f aca="true">RAND()</f>
        <v>0.766815021810648</v>
      </c>
      <c r="U564" s="54" t="n">
        <f aca="true">RAND()</f>
        <v>0.230918809823262</v>
      </c>
    </row>
    <row r="565" customFormat="false" ht="15" hidden="false" customHeight="false" outlineLevel="0" collapsed="false">
      <c r="A565" s="50" t="n">
        <v>485</v>
      </c>
      <c r="B565" s="51" t="n">
        <f aca="false">1+IF($G$6=$E$6,$F$6,IF(P565&lt;($F$6-$E$6)/($G$6-$E$6),$E$6+SQRT(P565*($G$6-$E$6)*($F$6-$E$6)),$G$6-SQRT((1-P565)*($G$6-$E$6)*($G$6-$F$6))))</f>
        <v>0.99944734659002</v>
      </c>
      <c r="C565" s="51" t="n">
        <f aca="false">1+IF($G$7=$E$7,$F$7,IF(Q565&lt;($F$7-$E$7)/($G$7-$E$7),$E$7+SQRT(Q565*($G$7-$E$7)*($F$7-$E$7)),$G$7-SQRT((1-Q565)*($G$7-$E$7)*($G$7-$F$7))))</f>
        <v>0.976756470506523</v>
      </c>
      <c r="D565" s="51" t="n">
        <f aca="false">1+IF($G$8=$E$8,$F$8,IF(R565&lt;($F$8-$E$8)/($G$8-$E$8),$E$8+SQRT(R565*($G$8-$E$8)*($F$8-$E$8)),$G$8-SQRT((1-R565)*($G$8-$E$8)*($G$8-$F$8))))</f>
        <v>0.996064797923344</v>
      </c>
      <c r="E565" s="51" t="n">
        <f aca="false">1+IF($G$9=$E$9,$F$9,IF(S565&lt;($F$9-$E$9)/($G$9-$E$9),$E$9+SQRT(S565*($G$9-$E$9)*($F$9-$E$9)),$G$9-SQRT((1-S565)*($G$9-$E$9)*($G$9-$F$9))))</f>
        <v>1.00037970268541</v>
      </c>
      <c r="F565" s="51" t="n">
        <f aca="false">1+IF($G$10=$E$10,$F$10,IF(T565&lt;($F$10-$E$10)/($G$10-$E$10),$E$10+SQRT(T565*($G$10-$E$10)*($F$10-$E$10)),$G$10-SQRT((1-T565)*($G$10-$E$10)*($G$10-$F$10))))</f>
        <v>1.15512002054505</v>
      </c>
      <c r="G565" s="52" t="n">
        <f aca="false">IF($G$11=$E$11,$F$11,IF(U565&lt;($F$11-$E$11)/($G$11-$E$11),$E$11+SQRT(U565*($G$11-$E$11)*($F$11-$E$11)),$G$11-SQRT((1-U565)*($G$11-$E$11)*($G$11-$F$11))))</f>
        <v>0.101727475778287</v>
      </c>
      <c r="H565" s="53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-2310240041.0901</v>
      </c>
      <c r="I565" s="53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-6834821.23599882</v>
      </c>
      <c r="J565" s="53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294703425.099383</v>
      </c>
      <c r="K565" s="53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653997672.462018</v>
      </c>
      <c r="L565" s="53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788248469.103818</v>
      </c>
      <c r="M565" s="53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973807732.352187</v>
      </c>
      <c r="N565" s="53" t="n">
        <f aca="false">IF(COUNT('Business Case'!B11:G11)=0,"",H565+NPV(G565,I565:M565))</f>
        <v>-449651992.449233</v>
      </c>
      <c r="P565" s="54" t="n">
        <f aca="true">RAND()</f>
        <v>0.657487591686955</v>
      </c>
      <c r="Q565" s="54" t="n">
        <f aca="true">RAND()</f>
        <v>0.446326426656046</v>
      </c>
      <c r="R565" s="54" t="n">
        <f aca="true">RAND()</f>
        <v>0.326456247341305</v>
      </c>
      <c r="S565" s="54" t="n">
        <f aca="true">RAND()</f>
        <v>0.338386424196892</v>
      </c>
      <c r="T565" s="54" t="n">
        <f aca="true">RAND()</f>
        <v>0.959715748882468</v>
      </c>
      <c r="U565" s="54" t="n">
        <f aca="true">RAND()</f>
        <v>0.443524764278211</v>
      </c>
    </row>
    <row r="566" customFormat="false" ht="15" hidden="false" customHeight="false" outlineLevel="0" collapsed="false">
      <c r="A566" s="50" t="n">
        <v>486</v>
      </c>
      <c r="B566" s="51" t="n">
        <f aca="false">1+IF($G$6=$E$6,$F$6,IF(P566&lt;($F$6-$E$6)/($G$6-$E$6),$E$6+SQRT(P566*($G$6-$E$6)*($F$6-$E$6)),$G$6-SQRT((1-P566)*($G$6-$E$6)*($G$6-$F$6))))</f>
        <v>0.987649772490418</v>
      </c>
      <c r="C566" s="51" t="n">
        <f aca="false">1+IF($G$7=$E$7,$F$7,IF(Q566&lt;($F$7-$E$7)/($G$7-$E$7),$E$7+SQRT(Q566*($G$7-$E$7)*($F$7-$E$7)),$G$7-SQRT((1-Q566)*($G$7-$E$7)*($G$7-$F$7))))</f>
        <v>0.879522396999409</v>
      </c>
      <c r="D566" s="51" t="n">
        <f aca="false">1+IF($G$8=$E$8,$F$8,IF(R566&lt;($F$8-$E$8)/($G$8-$E$8),$E$8+SQRT(R566*($G$8-$E$8)*($F$8-$E$8)),$G$8-SQRT((1-R566)*($G$8-$E$8)*($G$8-$F$8))))</f>
        <v>0.974021773855779</v>
      </c>
      <c r="E566" s="51" t="n">
        <f aca="false">1+IF($G$9=$E$9,$F$9,IF(S566&lt;($F$9-$E$9)/($G$9-$E$9),$E$9+SQRT(S566*($G$9-$E$9)*($F$9-$E$9)),$G$9-SQRT((1-S566)*($G$9-$E$9)*($G$9-$F$9))))</f>
        <v>1.00171123410398</v>
      </c>
      <c r="F566" s="51" t="n">
        <f aca="false">1+IF($G$10=$E$10,$F$10,IF(T566&lt;($F$10-$E$10)/($G$10-$E$10),$E$10+SQRT(T566*($G$10-$E$10)*($F$10-$E$10)),$G$10-SQRT((1-T566)*($G$10-$E$10)*($G$10-$F$10))))</f>
        <v>0.987098937652182</v>
      </c>
      <c r="G566" s="52" t="n">
        <f aca="false">IF($G$11=$E$11,$F$11,IF(U566&lt;($F$11-$E$11)/($G$11-$E$11),$E$11+SQRT(U566*($G$11-$E$11)*($F$11-$E$11)),$G$11-SQRT((1-U566)*($G$11-$E$11)*($G$11-$F$11))))</f>
        <v>0.106536273356273</v>
      </c>
      <c r="H566" s="53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-1974197875.30436</v>
      </c>
      <c r="I566" s="53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-13237945.3217898</v>
      </c>
      <c r="J566" s="53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259708679.951405</v>
      </c>
      <c r="K566" s="53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582010252.107208</v>
      </c>
      <c r="L566" s="53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703013353.42506</v>
      </c>
      <c r="M566" s="53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868128264.339055</v>
      </c>
      <c r="N566" s="53" t="n">
        <f aca="false">IF(COUNT('Business Case'!B11:G11)=0,"",H566+NPV(G566,I566:M566))</f>
        <v>-352256220.113452</v>
      </c>
      <c r="P566" s="54" t="n">
        <f aca="true">RAND()</f>
        <v>0.476717887292224</v>
      </c>
      <c r="Q566" s="54" t="n">
        <f aca="true">RAND()</f>
        <v>0.0903401660647372</v>
      </c>
      <c r="R566" s="54" t="n">
        <f aca="true">RAND()</f>
        <v>0.0887762491043392</v>
      </c>
      <c r="S566" s="54" t="n">
        <f aca="true">RAND()</f>
        <v>0.355954566575768</v>
      </c>
      <c r="T566" s="54" t="n">
        <f aca="true">RAND()</f>
        <v>0.110106493993638</v>
      </c>
      <c r="U566" s="54" t="n">
        <f aca="true">RAND()</f>
        <v>0.697880108105001</v>
      </c>
    </row>
    <row r="567" customFormat="false" ht="15" hidden="false" customHeight="false" outlineLevel="0" collapsed="false">
      <c r="A567" s="50" t="n">
        <v>487</v>
      </c>
      <c r="B567" s="51" t="n">
        <f aca="false">1+IF($G$6=$E$6,$F$6,IF(P567&lt;($F$6-$E$6)/($G$6-$E$6),$E$6+SQRT(P567*($G$6-$E$6)*($F$6-$E$6)),$G$6-SQRT((1-P567)*($G$6-$E$6)*($G$6-$F$6))))</f>
        <v>1.0054648403112</v>
      </c>
      <c r="C567" s="51" t="n">
        <f aca="false">1+IF($G$7=$E$7,$F$7,IF(Q567&lt;($F$7-$E$7)/($G$7-$E$7),$E$7+SQRT(Q567*($G$7-$E$7)*($F$7-$E$7)),$G$7-SQRT((1-Q567)*($G$7-$E$7)*($G$7-$F$7))))</f>
        <v>1.11169474936231</v>
      </c>
      <c r="D567" s="51" t="n">
        <f aca="false">1+IF($G$8=$E$8,$F$8,IF(R567&lt;($F$8-$E$8)/($G$8-$E$8),$E$8+SQRT(R567*($G$8-$E$8)*($F$8-$E$8)),$G$8-SQRT((1-R567)*($G$8-$E$8)*($G$8-$F$8))))</f>
        <v>0.971201576001306</v>
      </c>
      <c r="E567" s="51" t="n">
        <f aca="false">1+IF($G$9=$E$9,$F$9,IF(S567&lt;($F$9-$E$9)/($G$9-$E$9),$E$9+SQRT(S567*($G$9-$E$9)*($F$9-$E$9)),$G$9-SQRT((1-S567)*($G$9-$E$9)*($G$9-$F$9))))</f>
        <v>1.06317510544043</v>
      </c>
      <c r="F567" s="51" t="n">
        <f aca="false">1+IF($G$10=$E$10,$F$10,IF(T567&lt;($F$10-$E$10)/($G$10-$E$10),$E$10+SQRT(T567*($G$10-$E$10)*($F$10-$E$10)),$G$10-SQRT((1-T567)*($G$10-$E$10)*($G$10-$F$10))))</f>
        <v>0.95982998163087</v>
      </c>
      <c r="G567" s="52" t="n">
        <f aca="false">IF($G$11=$E$11,$F$11,IF(U567&lt;($F$11-$E$11)/($G$11-$E$11),$E$11+SQRT(U567*($G$11-$E$11)*($F$11-$E$11)),$G$11-SQRT((1-U567)*($G$11-$E$11)*($G$11-$F$11))))</f>
        <v>0.111815877689955</v>
      </c>
      <c r="H567" s="53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-1919659963.26174</v>
      </c>
      <c r="I567" s="53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57712773.690717</v>
      </c>
      <c r="J567" s="53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420537241.49017</v>
      </c>
      <c r="K567" s="53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831353208.371167</v>
      </c>
      <c r="L567" s="53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990924828.272332</v>
      </c>
      <c r="M567" s="53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1203390546.76307</v>
      </c>
      <c r="N567" s="53" t="n">
        <f aca="false">IF(COUNT('Business Case'!B11:G11)=0,"",H567+NPV(G567,I567:M567))</f>
        <v>434196399.075038</v>
      </c>
      <c r="P567" s="54" t="n">
        <f aca="true">RAND()</f>
        <v>0.751525571931053</v>
      </c>
      <c r="Q567" s="54" t="n">
        <f aca="true">RAND()</f>
        <v>0.972051576639691</v>
      </c>
      <c r="R567" s="54" t="n">
        <f aca="true">RAND()</f>
        <v>0.0691548961444843</v>
      </c>
      <c r="S567" s="54" t="n">
        <f aca="true">RAND()</f>
        <v>0.909595142711747</v>
      </c>
      <c r="T567" s="54" t="n">
        <f aca="true">RAND()</f>
        <v>0.00773028310905935</v>
      </c>
      <c r="U567" s="54" t="n">
        <f aca="true">RAND()</f>
        <v>0.888366903357038</v>
      </c>
    </row>
    <row r="568" customFormat="false" ht="15" hidden="false" customHeight="false" outlineLevel="0" collapsed="false">
      <c r="A568" s="50" t="n">
        <v>488</v>
      </c>
      <c r="B568" s="51" t="n">
        <f aca="false">1+IF($G$6=$E$6,$F$6,IF(P568&lt;($F$6-$E$6)/($G$6-$E$6),$E$6+SQRT(P568*($G$6-$E$6)*($F$6-$E$6)),$G$6-SQRT((1-P568)*($G$6-$E$6)*($G$6-$F$6))))</f>
        <v>0.9765504440417</v>
      </c>
      <c r="C568" s="51" t="n">
        <f aca="false">1+IF($G$7=$E$7,$F$7,IF(Q568&lt;($F$7-$E$7)/($G$7-$E$7),$E$7+SQRT(Q568*($G$7-$E$7)*($F$7-$E$7)),$G$7-SQRT((1-Q568)*($G$7-$E$7)*($G$7-$F$7))))</f>
        <v>0.997380271799571</v>
      </c>
      <c r="D568" s="51" t="n">
        <f aca="false">1+IF($G$8=$E$8,$F$8,IF(R568&lt;($F$8-$E$8)/($G$8-$E$8),$E$8+SQRT(R568*($G$8-$E$8)*($F$8-$E$8)),$G$8-SQRT((1-R568)*($G$8-$E$8)*($G$8-$F$8))))</f>
        <v>0.994792856305465</v>
      </c>
      <c r="E568" s="51" t="n">
        <f aca="false">1+IF($G$9=$E$9,$F$9,IF(S568&lt;($F$9-$E$9)/($G$9-$E$9),$E$9+SQRT(S568*($G$9-$E$9)*($F$9-$E$9)),$G$9-SQRT((1-S568)*($G$9-$E$9)*($G$9-$F$9))))</f>
        <v>1.01498382404743</v>
      </c>
      <c r="F568" s="51" t="n">
        <f aca="false">1+IF($G$10=$E$10,$F$10,IF(T568&lt;($F$10-$E$10)/($G$10-$E$10),$E$10+SQRT(T568*($G$10-$E$10)*($F$10-$E$10)),$G$10-SQRT((1-T568)*($G$10-$E$10)*($G$10-$F$10))))</f>
        <v>1.00604402234215</v>
      </c>
      <c r="G568" s="52" t="n">
        <f aca="false">IF($G$11=$E$11,$F$11,IF(U568&lt;($F$11-$E$11)/($G$11-$E$11),$E$11+SQRT(U568*($G$11-$E$11)*($F$11-$E$11)),$G$11-SQRT((1-U568)*($G$11-$E$11)*($G$11-$F$11))))</f>
        <v>0.10007489359248</v>
      </c>
      <c r="H568" s="53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-2012088044.68429</v>
      </c>
      <c r="I568" s="53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-5577409.84761435</v>
      </c>
      <c r="J568" s="53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284272035.234785</v>
      </c>
      <c r="K568" s="53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624423681.434292</v>
      </c>
      <c r="L568" s="53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754701331.739262</v>
      </c>
      <c r="M568" s="53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939837759.098864</v>
      </c>
      <c r="N568" s="53" t="n">
        <f aca="false">IF(COUNT('Business Case'!B11:G11)=0,"",H568+NPV(G568,I568:M568))</f>
        <v>-214514061.222472</v>
      </c>
      <c r="P568" s="54" t="n">
        <f aca="true">RAND()</f>
        <v>0.333120075136821</v>
      </c>
      <c r="Q568" s="54" t="n">
        <f aca="true">RAND()</f>
        <v>0.556556738509606</v>
      </c>
      <c r="R568" s="54" t="n">
        <f aca="true">RAND()</f>
        <v>0.308676919384935</v>
      </c>
      <c r="S568" s="54" t="n">
        <f aca="true">RAND()</f>
        <v>0.518149988426732</v>
      </c>
      <c r="T568" s="54" t="n">
        <f aca="true">RAND()</f>
        <v>0.247621574615731</v>
      </c>
      <c r="U568" s="54" t="n">
        <f aca="true">RAND()</f>
        <v>0.338316891081662</v>
      </c>
    </row>
    <row r="569" customFormat="false" ht="15" hidden="false" customHeight="false" outlineLevel="0" collapsed="false">
      <c r="A569" s="50" t="n">
        <v>489</v>
      </c>
      <c r="B569" s="51" t="n">
        <f aca="false">1+IF($G$6=$E$6,$F$6,IF(P569&lt;($F$6-$E$6)/($G$6-$E$6),$E$6+SQRT(P569*($G$6-$E$6)*($F$6-$E$6)),$G$6-SQRT((1-P569)*($G$6-$E$6)*($G$6-$F$6))))</f>
        <v>0.943412898915203</v>
      </c>
      <c r="C569" s="51" t="n">
        <f aca="false">1+IF($G$7=$E$7,$F$7,IF(Q569&lt;($F$7-$E$7)/($G$7-$E$7),$E$7+SQRT(Q569*($G$7-$E$7)*($F$7-$E$7)),$G$7-SQRT((1-Q569)*($G$7-$E$7)*($G$7-$F$7))))</f>
        <v>0.927967092595822</v>
      </c>
      <c r="D569" s="51" t="n">
        <f aca="false">1+IF($G$8=$E$8,$F$8,IF(R569&lt;($F$8-$E$8)/($G$8-$E$8),$E$8+SQRT(R569*($G$8-$E$8)*($F$8-$E$8)),$G$8-SQRT((1-R569)*($G$8-$E$8)*($G$8-$F$8))))</f>
        <v>0.992438892592293</v>
      </c>
      <c r="E569" s="51" t="n">
        <f aca="false">1+IF($G$9=$E$9,$F$9,IF(S569&lt;($F$9-$E$9)/($G$9-$E$9),$E$9+SQRT(S569*($G$9-$E$9)*($F$9-$E$9)),$G$9-SQRT((1-S569)*($G$9-$E$9)*($G$9-$F$9))))</f>
        <v>0.997770497933345</v>
      </c>
      <c r="F569" s="51" t="n">
        <f aca="false">1+IF($G$10=$E$10,$F$10,IF(T569&lt;($F$10-$E$10)/($G$10-$E$10),$E$10+SQRT(T569*($G$10-$E$10)*($F$10-$E$10)),$G$10-SQRT((1-T569)*($G$10-$E$10)*($G$10-$F$10))))</f>
        <v>0.990336422784454</v>
      </c>
      <c r="G569" s="52" t="n">
        <f aca="false">IF($G$11=$E$11,$F$11,IF(U569&lt;($F$11-$E$11)/($G$11-$E$11),$E$11+SQRT(U569*($G$11-$E$11)*($F$11-$E$11)),$G$11-SQRT((1-U569)*($G$11-$E$11)*($G$11-$F$11))))</f>
        <v>0.114082879221103</v>
      </c>
      <c r="H569" s="53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-1980672845.56891</v>
      </c>
      <c r="I569" s="53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-40691701.870178</v>
      </c>
      <c r="J569" s="53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204916848.860258</v>
      </c>
      <c r="K569" s="53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500042220.729916</v>
      </c>
      <c r="L569" s="53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612167501.317425</v>
      </c>
      <c r="M569" s="53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778574201.542929</v>
      </c>
      <c r="N569" s="53" t="n">
        <f aca="false">IF(COUNT('Business Case'!B11:G11)=0,"",H569+NPV(G569,I569:M569))</f>
        <v>-639461950.432622</v>
      </c>
      <c r="P569" s="54" t="n">
        <f aca="true">RAND()</f>
        <v>0.0571003995430728</v>
      </c>
      <c r="Q569" s="54" t="n">
        <f aca="true">RAND()</f>
        <v>0.233936811248968</v>
      </c>
      <c r="R569" s="54" t="n">
        <f aca="true">RAND()</f>
        <v>0.277086092993878</v>
      </c>
      <c r="S569" s="54" t="n">
        <f aca="true">RAND()</f>
        <v>0.304269396373298</v>
      </c>
      <c r="T569" s="54" t="n">
        <f aca="true">RAND()</f>
        <v>0.130162160243696</v>
      </c>
      <c r="U569" s="54" t="n">
        <f aca="true">RAND()</f>
        <v>0.941646136146577</v>
      </c>
    </row>
    <row r="570" customFormat="false" ht="15" hidden="false" customHeight="false" outlineLevel="0" collapsed="false">
      <c r="A570" s="50" t="n">
        <v>490</v>
      </c>
      <c r="B570" s="51" t="n">
        <f aca="false">1+IF($G$6=$E$6,$F$6,IF(P570&lt;($F$6-$E$6)/($G$6-$E$6),$E$6+SQRT(P570*($G$6-$E$6)*($F$6-$E$6)),$G$6-SQRT((1-P570)*($G$6-$E$6)*($G$6-$F$6))))</f>
        <v>0.958061896145432</v>
      </c>
      <c r="C570" s="51" t="n">
        <f aca="false">1+IF($G$7=$E$7,$F$7,IF(Q570&lt;($F$7-$E$7)/($G$7-$E$7),$E$7+SQRT(Q570*($G$7-$E$7)*($F$7-$E$7)),$G$7-SQRT((1-Q570)*($G$7-$E$7)*($G$7-$F$7))))</f>
        <v>1.01501254230613</v>
      </c>
      <c r="D570" s="51" t="n">
        <f aca="false">1+IF($G$8=$E$8,$F$8,IF(R570&lt;($F$8-$E$8)/($G$8-$E$8),$E$8+SQRT(R570*($G$8-$E$8)*($F$8-$E$8)),$G$8-SQRT((1-R570)*($G$8-$E$8)*($G$8-$F$8))))</f>
        <v>1.024490561831</v>
      </c>
      <c r="E570" s="51" t="n">
        <f aca="false">1+IF($G$9=$E$9,$F$9,IF(S570&lt;($F$9-$E$9)/($G$9-$E$9),$E$9+SQRT(S570*($G$9-$E$9)*($F$9-$E$9)),$G$9-SQRT((1-S570)*($G$9-$E$9)*($G$9-$F$9))))</f>
        <v>1.01090817409792</v>
      </c>
      <c r="F570" s="51" t="n">
        <f aca="false">1+IF($G$10=$E$10,$F$10,IF(T570&lt;($F$10-$E$10)/($G$10-$E$10),$E$10+SQRT(T570*($G$10-$E$10)*($F$10-$E$10)),$G$10-SQRT((1-T570)*($G$10-$E$10)*($G$10-$F$10))))</f>
        <v>1.1786024736386</v>
      </c>
      <c r="G570" s="52" t="n">
        <f aca="false">IF($G$11=$E$11,$F$11,IF(U570&lt;($F$11-$E$11)/($G$11-$E$11),$E$11+SQRT(U570*($G$11-$E$11)*($F$11-$E$11)),$G$11-SQRT((1-U570)*($G$11-$E$11)*($G$11-$F$11))))</f>
        <v>0.100729126665664</v>
      </c>
      <c r="H570" s="53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-2357204947.2772</v>
      </c>
      <c r="I570" s="53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-47851233.9939819</v>
      </c>
      <c r="J570" s="53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216320462.284524</v>
      </c>
      <c r="K570" s="53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539422282.24496</v>
      </c>
      <c r="L570" s="53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661087208.039065</v>
      </c>
      <c r="M570" s="53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845929523.396046</v>
      </c>
      <c r="N570" s="53" t="n">
        <f aca="false">IF(COUNT('Business Case'!B11:G11)=0,"",H570+NPV(G570,I570:M570))</f>
        <v>-843811080.472586</v>
      </c>
      <c r="P570" s="54" t="n">
        <f aca="true">RAND()</f>
        <v>0.150907076894339</v>
      </c>
      <c r="Q570" s="54" t="n">
        <f aca="true">RAND()</f>
        <v>0.652921643149449</v>
      </c>
      <c r="R570" s="54" t="n">
        <f aca="true">RAND()</f>
        <v>0.703721372515603</v>
      </c>
      <c r="S570" s="54" t="n">
        <f aca="true">RAND()</f>
        <v>0.470843103828876</v>
      </c>
      <c r="T570" s="54" t="n">
        <f aca="true">RAND()</f>
        <v>0.990842917312264</v>
      </c>
      <c r="U570" s="54" t="n">
        <f aca="true">RAND()</f>
        <v>0.381055734886613</v>
      </c>
    </row>
    <row r="571" customFormat="false" ht="15" hidden="false" customHeight="false" outlineLevel="0" collapsed="false">
      <c r="A571" s="50" t="n">
        <v>491</v>
      </c>
      <c r="B571" s="51" t="n">
        <f aca="false">1+IF($G$6=$E$6,$F$6,IF(P571&lt;($F$6-$E$6)/($G$6-$E$6),$E$6+SQRT(P571*($G$6-$E$6)*($F$6-$E$6)),$G$6-SQRT((1-P571)*($G$6-$E$6)*($G$6-$F$6))))</f>
        <v>0.975829313935682</v>
      </c>
      <c r="C571" s="51" t="n">
        <f aca="false">1+IF($G$7=$E$7,$F$7,IF(Q571&lt;($F$7-$E$7)/($G$7-$E$7),$E$7+SQRT(Q571*($G$7-$E$7)*($F$7-$E$7)),$G$7-SQRT((1-Q571)*($G$7-$E$7)*($G$7-$F$7))))</f>
        <v>0.966364928616514</v>
      </c>
      <c r="D571" s="51" t="n">
        <f aca="false">1+IF($G$8=$E$8,$F$8,IF(R571&lt;($F$8-$E$8)/($G$8-$E$8),$E$8+SQRT(R571*($G$8-$E$8)*($F$8-$E$8)),$G$8-SQRT((1-R571)*($G$8-$E$8)*($G$8-$F$8))))</f>
        <v>1.06147946620929</v>
      </c>
      <c r="E571" s="51" t="n">
        <f aca="false">1+IF($G$9=$E$9,$F$9,IF(S571&lt;($F$9-$E$9)/($G$9-$E$9),$E$9+SQRT(S571*($G$9-$E$9)*($F$9-$E$9)),$G$9-SQRT((1-S571)*($G$9-$E$9)*($G$9-$F$9))))</f>
        <v>0.983405504802679</v>
      </c>
      <c r="F571" s="51" t="n">
        <f aca="false">1+IF($G$10=$E$10,$F$10,IF(T571&lt;($F$10-$E$10)/($G$10-$E$10),$E$10+SQRT(T571*($G$10-$E$10)*($F$10-$E$10)),$G$10-SQRT((1-T571)*($G$10-$E$10)*($G$10-$F$10))))</f>
        <v>1.01345553820072</v>
      </c>
      <c r="G571" s="52" t="n">
        <f aca="false">IF($G$11=$E$11,$F$11,IF(U571&lt;($F$11-$E$11)/($G$11-$E$11),$E$11+SQRT(U571*($G$11-$E$11)*($F$11-$E$11)),$G$11-SQRT((1-U571)*($G$11-$E$11)*($G$11-$F$11))))</f>
        <v>0.105888543320013</v>
      </c>
      <c r="H571" s="53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-2026911076.40143</v>
      </c>
      <c r="I571" s="53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-42796017.6354925</v>
      </c>
      <c r="J571" s="53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204479275.891754</v>
      </c>
      <c r="K571" s="53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502427346.329036</v>
      </c>
      <c r="L571" s="53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617442773.877935</v>
      </c>
      <c r="M571" s="53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796689587.263598</v>
      </c>
      <c r="N571" s="53" t="n">
        <f aca="false">IF(COUNT('Business Case'!B11:G11)=0,"",H571+NPV(G571,I571:M571))</f>
        <v>-632468023.706711</v>
      </c>
      <c r="P571" s="54" t="n">
        <f aca="true">RAND()</f>
        <v>0.324678364013435</v>
      </c>
      <c r="Q571" s="54" t="n">
        <f aca="true">RAND()</f>
        <v>0.395389849622542</v>
      </c>
      <c r="R571" s="54" t="n">
        <f aca="true">RAND()</f>
        <v>0.967018252702613</v>
      </c>
      <c r="S571" s="54" t="n">
        <f aca="true">RAND()</f>
        <v>0.148790366816245</v>
      </c>
      <c r="T571" s="54" t="n">
        <f aca="true">RAND()</f>
        <v>0.304023275440314</v>
      </c>
      <c r="U571" s="54" t="n">
        <f aca="true">RAND()</f>
        <v>0.668111317281431</v>
      </c>
    </row>
    <row r="572" customFormat="false" ht="15" hidden="false" customHeight="false" outlineLevel="0" collapsed="false">
      <c r="A572" s="50" t="n">
        <v>492</v>
      </c>
      <c r="B572" s="51" t="n">
        <f aca="false">1+IF($G$6=$E$6,$F$6,IF(P572&lt;($F$6-$E$6)/($G$6-$E$6),$E$6+SQRT(P572*($G$6-$E$6)*($F$6-$E$6)),$G$6-SQRT((1-P572)*($G$6-$E$6)*($G$6-$F$6))))</f>
        <v>0.979376328266451</v>
      </c>
      <c r="C572" s="51" t="n">
        <f aca="false">1+IF($G$7=$E$7,$F$7,IF(Q572&lt;($F$7-$E$7)/($G$7-$E$7),$E$7+SQRT(Q572*($G$7-$E$7)*($F$7-$E$7)),$G$7-SQRT((1-Q572)*($G$7-$E$7)*($G$7-$F$7))))</f>
        <v>0.973115399494224</v>
      </c>
      <c r="D572" s="51" t="n">
        <f aca="false">1+IF($G$8=$E$8,$F$8,IF(R572&lt;($F$8-$E$8)/($G$8-$E$8),$E$8+SQRT(R572*($G$8-$E$8)*($F$8-$E$8)),$G$8-SQRT((1-R572)*($G$8-$E$8)*($G$8-$F$8))))</f>
        <v>1.00912479798051</v>
      </c>
      <c r="E572" s="51" t="n">
        <f aca="false">1+IF($G$9=$E$9,$F$9,IF(S572&lt;($F$9-$E$9)/($G$9-$E$9),$E$9+SQRT(S572*($G$9-$E$9)*($F$9-$E$9)),$G$9-SQRT((1-S572)*($G$9-$E$9)*($G$9-$F$9))))</f>
        <v>1.0017081885554</v>
      </c>
      <c r="F572" s="51" t="n">
        <f aca="false">1+IF($G$10=$E$10,$F$10,IF(T572&lt;($F$10-$E$10)/($G$10-$E$10),$E$10+SQRT(T572*($G$10-$E$10)*($F$10-$E$10)),$G$10-SQRT((1-T572)*($G$10-$E$10)*($G$10-$F$10))))</f>
        <v>0.981050971512451</v>
      </c>
      <c r="G572" s="52" t="n">
        <f aca="false">IF($G$11=$E$11,$F$11,IF(U572&lt;($F$11-$E$11)/($G$11-$E$11),$E$11+SQRT(U572*($G$11-$E$11)*($F$11-$E$11)),$G$11-SQRT((1-U572)*($G$11-$E$11)*($G$11-$F$11))))</f>
        <v>0.103057480838163</v>
      </c>
      <c r="H572" s="53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-1962101943.0249</v>
      </c>
      <c r="I572" s="53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-12043288.9122033</v>
      </c>
      <c r="J572" s="53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265867338.070189</v>
      </c>
      <c r="K572" s="53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592830513.628204</v>
      </c>
      <c r="L572" s="53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718404665.509517</v>
      </c>
      <c r="M572" s="53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899559684.722349</v>
      </c>
      <c r="N572" s="53" t="n">
        <f aca="false">IF(COUNT('Business Case'!B11:G11)=0,"",H572+NPV(G572,I572:M572))</f>
        <v>-276682681.931093</v>
      </c>
      <c r="P572" s="54" t="n">
        <f aca="true">RAND()</f>
        <v>0.367244620667224</v>
      </c>
      <c r="Q572" s="54" t="n">
        <f aca="true">RAND()</f>
        <v>0.428127736314923</v>
      </c>
      <c r="R572" s="54" t="n">
        <f aca="true">RAND()</f>
        <v>0.516990936413164</v>
      </c>
      <c r="S572" s="54" t="n">
        <f aca="true">RAND()</f>
        <v>0.355914653529337</v>
      </c>
      <c r="T572" s="54" t="n">
        <f aca="true">RAND()</f>
        <v>0.0771330265493634</v>
      </c>
      <c r="U572" s="54" t="n">
        <f aca="true">RAND()</f>
        <v>0.521585074084637</v>
      </c>
    </row>
    <row r="573" customFormat="false" ht="15" hidden="false" customHeight="false" outlineLevel="0" collapsed="false">
      <c r="A573" s="50" t="n">
        <v>493</v>
      </c>
      <c r="B573" s="51" t="n">
        <f aca="false">1+IF($G$6=$E$6,$F$6,IF(P573&lt;($F$6-$E$6)/($G$6-$E$6),$E$6+SQRT(P573*($G$6-$E$6)*($F$6-$E$6)),$G$6-SQRT((1-P573)*($G$6-$E$6)*($G$6-$F$6))))</f>
        <v>1.01151350111286</v>
      </c>
      <c r="C573" s="51" t="n">
        <f aca="false">1+IF($G$7=$E$7,$F$7,IF(Q573&lt;($F$7-$E$7)/($G$7-$E$7),$E$7+SQRT(Q573*($G$7-$E$7)*($F$7-$E$7)),$G$7-SQRT((1-Q573)*($G$7-$E$7)*($G$7-$F$7))))</f>
        <v>0.996736934075363</v>
      </c>
      <c r="D573" s="51" t="n">
        <f aca="false">1+IF($G$8=$E$8,$F$8,IF(R573&lt;($F$8-$E$8)/($G$8-$E$8),$E$8+SQRT(R573*($G$8-$E$8)*($F$8-$E$8)),$G$8-SQRT((1-R573)*($G$8-$E$8)*($G$8-$F$8))))</f>
        <v>0.965486006332068</v>
      </c>
      <c r="E573" s="51" t="n">
        <f aca="false">1+IF($G$9=$E$9,$F$9,IF(S573&lt;($F$9-$E$9)/($G$9-$E$9),$E$9+SQRT(S573*($G$9-$E$9)*($F$9-$E$9)),$G$9-SQRT((1-S573)*($G$9-$E$9)*($G$9-$F$9))))</f>
        <v>1.09234504585654</v>
      </c>
      <c r="F573" s="51" t="n">
        <f aca="false">1+IF($G$10=$E$10,$F$10,IF(T573&lt;($F$10-$E$10)/($G$10-$E$10),$E$10+SQRT(T573*($G$10-$E$10)*($F$10-$E$10)),$G$10-SQRT((1-T573)*($G$10-$E$10)*($G$10-$F$10))))</f>
        <v>1.04290739973258</v>
      </c>
      <c r="G573" s="52" t="n">
        <f aca="false">IF($G$11=$E$11,$F$11,IF(U573&lt;($F$11-$E$11)/($G$11-$E$11),$E$11+SQRT(U573*($G$11-$E$11)*($F$11-$E$11)),$G$11-SQRT((1-U573)*($G$11-$E$11)*($G$11-$F$11))))</f>
        <v>0.112645453715934</v>
      </c>
      <c r="H573" s="53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-2085814799.46516</v>
      </c>
      <c r="I573" s="53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21272147.1977711</v>
      </c>
      <c r="J573" s="53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354432254.856564</v>
      </c>
      <c r="K573" s="53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739737732.501986</v>
      </c>
      <c r="L573" s="53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885634938.366226</v>
      </c>
      <c r="M573" s="53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1077276039.91176</v>
      </c>
      <c r="N573" s="53" t="n">
        <f aca="false">IF(COUNT('Business Case'!B11:G11)=0,"",H573+NPV(G573,I573:M573))</f>
        <v>-33743185.9927526</v>
      </c>
      <c r="P573" s="54" t="n">
        <f aca="true">RAND()</f>
        <v>0.830941537740155</v>
      </c>
      <c r="Q573" s="54" t="n">
        <f aca="true">RAND()</f>
        <v>0.552934588991053</v>
      </c>
      <c r="R573" s="54" t="n">
        <f aca="true">RAND()</f>
        <v>0.0368948295564398</v>
      </c>
      <c r="S573" s="54" t="n">
        <f aca="true">RAND()</f>
        <v>0.996093445137439</v>
      </c>
      <c r="T573" s="54" t="n">
        <f aca="true">RAND()</f>
        <v>0.506438298824416</v>
      </c>
      <c r="U573" s="54" t="n">
        <f aca="true">RAND()</f>
        <v>0.909851081592555</v>
      </c>
    </row>
    <row r="574" customFormat="false" ht="15" hidden="false" customHeight="false" outlineLevel="0" collapsed="false">
      <c r="A574" s="50" t="n">
        <v>494</v>
      </c>
      <c r="B574" s="51" t="n">
        <f aca="false">1+IF($G$6=$E$6,$F$6,IF(P574&lt;($F$6-$E$6)/($G$6-$E$6),$E$6+SQRT(P574*($G$6-$E$6)*($F$6-$E$6)),$G$6-SQRT((1-P574)*($G$6-$E$6)*($G$6-$F$6))))</f>
        <v>1.01900126545229</v>
      </c>
      <c r="C574" s="51" t="n">
        <f aca="false">1+IF($G$7=$E$7,$F$7,IF(Q574&lt;($F$7-$E$7)/($G$7-$E$7),$E$7+SQRT(Q574*($G$7-$E$7)*($F$7-$E$7)),$G$7-SQRT((1-Q574)*($G$7-$E$7)*($G$7-$F$7))))</f>
        <v>0.990393922376234</v>
      </c>
      <c r="D574" s="51" t="n">
        <f aca="false">1+IF($G$8=$E$8,$F$8,IF(R574&lt;($F$8-$E$8)/($G$8-$E$8),$E$8+SQRT(R574*($G$8-$E$8)*($F$8-$E$8)),$G$8-SQRT((1-R574)*($G$8-$E$8)*($G$8-$F$8))))</f>
        <v>1.00075637077611</v>
      </c>
      <c r="E574" s="51" t="n">
        <f aca="false">1+IF($G$9=$E$9,$F$9,IF(S574&lt;($F$9-$E$9)/($G$9-$E$9),$E$9+SQRT(S574*($G$9-$E$9)*($F$9-$E$9)),$G$9-SQRT((1-S574)*($G$9-$E$9)*($G$9-$F$9))))</f>
        <v>1.04879876680083</v>
      </c>
      <c r="F574" s="51" t="n">
        <f aca="false">1+IF($G$10=$E$10,$F$10,IF(T574&lt;($F$10-$E$10)/($G$10-$E$10),$E$10+SQRT(T574*($G$10-$E$10)*($F$10-$E$10)),$G$10-SQRT((1-T574)*($G$10-$E$10)*($G$10-$F$10))))</f>
        <v>1.1129400632578</v>
      </c>
      <c r="G574" s="52" t="n">
        <f aca="false">IF($G$11=$E$11,$F$11,IF(U574&lt;($F$11-$E$11)/($G$11-$E$11),$E$11+SQRT(U574*($G$11-$E$11)*($F$11-$E$11)),$G$11-SQRT((1-U574)*($G$11-$E$11)*($G$11-$F$11))))</f>
        <v>0.104394252296179</v>
      </c>
      <c r="H574" s="53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-2225880126.51559</v>
      </c>
      <c r="I574" s="53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6481118.15935929</v>
      </c>
      <c r="J574" s="53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325713011.588222</v>
      </c>
      <c r="K574" s="53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700591908.179975</v>
      </c>
      <c r="L574" s="53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841880928.85936</v>
      </c>
      <c r="M574" s="53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1033712071.30973</v>
      </c>
      <c r="N574" s="53" t="n">
        <f aca="false">IF(COUNT('Business Case'!B11:G11)=0,"",H574+NPV(G574,I574:M574))</f>
        <v>-237753594.468355</v>
      </c>
      <c r="P574" s="54" t="n">
        <f aca="true">RAND()</f>
        <v>0.908136072373916</v>
      </c>
      <c r="Q574" s="54" t="n">
        <f aca="true">RAND()</f>
        <v>0.517854938254389</v>
      </c>
      <c r="R574" s="54" t="n">
        <f aca="true">RAND()</f>
        <v>0.396196848791007</v>
      </c>
      <c r="S574" s="54" t="n">
        <f aca="true">RAND()</f>
        <v>0.825228914592313</v>
      </c>
      <c r="T574" s="54" t="n">
        <f aca="true">RAND()</f>
        <v>0.848411348288865</v>
      </c>
      <c r="U574" s="54" t="n">
        <f aca="true">RAND()</f>
        <v>0.594101064341133</v>
      </c>
    </row>
    <row r="575" customFormat="false" ht="15" hidden="false" customHeight="false" outlineLevel="0" collapsed="false">
      <c r="A575" s="50" t="n">
        <v>495</v>
      </c>
      <c r="B575" s="51" t="n">
        <f aca="false">1+IF($G$6=$E$6,$F$6,IF(P575&lt;($F$6-$E$6)/($G$6-$E$6),$E$6+SQRT(P575*($G$6-$E$6)*($F$6-$E$6)),$G$6-SQRT((1-P575)*($G$6-$E$6)*($G$6-$F$6))))</f>
        <v>0.996880159032067</v>
      </c>
      <c r="C575" s="51" t="n">
        <f aca="false">1+IF($G$7=$E$7,$F$7,IF(Q575&lt;($F$7-$E$7)/($G$7-$E$7),$E$7+SQRT(Q575*($G$7-$E$7)*($F$7-$E$7)),$G$7-SQRT((1-Q575)*($G$7-$E$7)*($G$7-$F$7))))</f>
        <v>1.01745149479032</v>
      </c>
      <c r="D575" s="51" t="n">
        <f aca="false">1+IF($G$8=$E$8,$F$8,IF(R575&lt;($F$8-$E$8)/($G$8-$E$8),$E$8+SQRT(R575*($G$8-$E$8)*($F$8-$E$8)),$G$8-SQRT((1-R575)*($G$8-$E$8)*($G$8-$F$8))))</f>
        <v>1.02303415519825</v>
      </c>
      <c r="E575" s="51" t="n">
        <f aca="false">1+IF($G$9=$E$9,$F$9,IF(S575&lt;($F$9-$E$9)/($G$9-$E$9),$E$9+SQRT(S575*($G$9-$E$9)*($F$9-$E$9)),$G$9-SQRT((1-S575)*($G$9-$E$9)*($G$9-$F$9))))</f>
        <v>1.04595009389849</v>
      </c>
      <c r="F575" s="51" t="n">
        <f aca="false">1+IF($G$10=$E$10,$F$10,IF(T575&lt;($F$10-$E$10)/($G$10-$E$10),$E$10+SQRT(T575*($G$10-$E$10)*($F$10-$E$10)),$G$10-SQRT((1-T575)*($G$10-$E$10)*($G$10-$F$10))))</f>
        <v>1.0578670413328</v>
      </c>
      <c r="G575" s="52" t="n">
        <f aca="false">IF($G$11=$E$11,$F$11,IF(U575&lt;($F$11-$E$11)/($G$11-$E$11),$E$11+SQRT(U575*($G$11-$E$11)*($F$11-$E$11)),$G$11-SQRT((1-U575)*($G$11-$E$11)*($G$11-$F$11))))</f>
        <v>0.0927099709326727</v>
      </c>
      <c r="H575" s="53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-2115734082.6656</v>
      </c>
      <c r="I575" s="53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-9186072.45674054</v>
      </c>
      <c r="J575" s="53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288728793.031462</v>
      </c>
      <c r="K575" s="53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639537010.586304</v>
      </c>
      <c r="L575" s="53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773895386.055237</v>
      </c>
      <c r="M575" s="53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966689197.739331</v>
      </c>
      <c r="N575" s="53" t="n">
        <f aca="false">IF(COUNT('Business Case'!B11:G11)=0,"",H575+NPV(G575,I575:M575))</f>
        <v>-228794782.397996</v>
      </c>
      <c r="P575" s="54" t="n">
        <f aca="true">RAND()</f>
        <v>0.615683213832901</v>
      </c>
      <c r="Q575" s="54" t="n">
        <f aca="true">RAND()</f>
        <v>0.66535035746058</v>
      </c>
      <c r="R575" s="54" t="n">
        <f aca="true">RAND()</f>
        <v>0.687970435194479</v>
      </c>
      <c r="S575" s="54" t="n">
        <f aca="true">RAND()</f>
        <v>0.805240510027843</v>
      </c>
      <c r="T575" s="54" t="n">
        <f aca="true">RAND()</f>
        <v>0.59596444121016</v>
      </c>
      <c r="U575" s="54" t="n">
        <f aca="true">RAND()</f>
        <v>0.024479808186436</v>
      </c>
    </row>
    <row r="576" customFormat="false" ht="15" hidden="false" customHeight="false" outlineLevel="0" collapsed="false">
      <c r="A576" s="50" t="n">
        <v>496</v>
      </c>
      <c r="B576" s="51" t="n">
        <f aca="false">1+IF($G$6=$E$6,$F$6,IF(P576&lt;($F$6-$E$6)/($G$6-$E$6),$E$6+SQRT(P576*($G$6-$E$6)*($F$6-$E$6)),$G$6-SQRT((1-P576)*($G$6-$E$6)*($G$6-$F$6))))</f>
        <v>0.962593060761966</v>
      </c>
      <c r="C576" s="51" t="n">
        <f aca="false">1+IF($G$7=$E$7,$F$7,IF(Q576&lt;($F$7-$E$7)/($G$7-$E$7),$E$7+SQRT(Q576*($G$7-$E$7)*($F$7-$E$7)),$G$7-SQRT((1-Q576)*($G$7-$E$7)*($G$7-$F$7))))</f>
        <v>0.874256092227132</v>
      </c>
      <c r="D576" s="51" t="n">
        <f aca="false">1+IF($G$8=$E$8,$F$8,IF(R576&lt;($F$8-$E$8)/($G$8-$E$8),$E$8+SQRT(R576*($G$8-$E$8)*($F$8-$E$8)),$G$8-SQRT((1-R576)*($G$8-$E$8)*($G$8-$F$8))))</f>
        <v>1.03573402179554</v>
      </c>
      <c r="E576" s="51" t="n">
        <f aca="false">1+IF($G$9=$E$9,$F$9,IF(S576&lt;($F$9-$E$9)/($G$9-$E$9),$E$9+SQRT(S576*($G$9-$E$9)*($F$9-$E$9)),$G$9-SQRT((1-S576)*($G$9-$E$9)*($G$9-$F$9))))</f>
        <v>0.981669908790896</v>
      </c>
      <c r="F576" s="51" t="n">
        <f aca="false">1+IF($G$10=$E$10,$F$10,IF(T576&lt;($F$10-$E$10)/($G$10-$E$10),$E$10+SQRT(T576*($G$10-$E$10)*($F$10-$E$10)),$G$10-SQRT((1-T576)*($G$10-$E$10)*($G$10-$F$10))))</f>
        <v>1.06735873715213</v>
      </c>
      <c r="G576" s="52" t="n">
        <f aca="false">IF($G$11=$E$11,$F$11,IF(U576&lt;($F$11-$E$11)/($G$11-$E$11),$E$11+SQRT(U576*($G$11-$E$11)*($F$11-$E$11)),$G$11-SQRT((1-U576)*($G$11-$E$11)*($G$11-$F$11))))</f>
        <v>0.106034382574212</v>
      </c>
      <c r="H576" s="53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-2134717474.30426</v>
      </c>
      <c r="I576" s="53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-64204971.1338935</v>
      </c>
      <c r="J576" s="53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161545492.102607</v>
      </c>
      <c r="K576" s="53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440663892.196715</v>
      </c>
      <c r="L576" s="53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544998113.025626</v>
      </c>
      <c r="M576" s="53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704960478.317718</v>
      </c>
      <c r="N576" s="53" t="n">
        <f aca="false">IF(COUNT('Business Case'!B11:G11)=0,"",H576+NPV(G576,I576:M576))</f>
        <v>-944926071.992319</v>
      </c>
      <c r="P576" s="54" t="n">
        <f aca="true">RAND()</f>
        <v>0.188975919278384</v>
      </c>
      <c r="Q576" s="54" t="n">
        <f aca="true">RAND()</f>
        <v>0.0787709604692052</v>
      </c>
      <c r="R576" s="54" t="n">
        <f aca="true">RAND()</f>
        <v>0.811588766692492</v>
      </c>
      <c r="S576" s="54" t="n">
        <f aca="true">RAND()</f>
        <v>0.133731083043158</v>
      </c>
      <c r="T576" s="54" t="n">
        <f aca="true">RAND()</f>
        <v>0.648125907802454</v>
      </c>
      <c r="U576" s="54" t="n">
        <f aca="true">RAND()</f>
        <v>0.67493588319423</v>
      </c>
    </row>
    <row r="577" customFormat="false" ht="15" hidden="false" customHeight="false" outlineLevel="0" collapsed="false">
      <c r="A577" s="50" t="n">
        <v>497</v>
      </c>
      <c r="B577" s="51" t="n">
        <f aca="false">1+IF($G$6=$E$6,$F$6,IF(P577&lt;($F$6-$E$6)/($G$6-$E$6),$E$6+SQRT(P577*($G$6-$E$6)*($F$6-$E$6)),$G$6-SQRT((1-P577)*($G$6-$E$6)*($G$6-$F$6))))</f>
        <v>0.938581630365871</v>
      </c>
      <c r="C577" s="51" t="n">
        <f aca="false">1+IF($G$7=$E$7,$F$7,IF(Q577&lt;($F$7-$E$7)/($G$7-$E$7),$E$7+SQRT(Q577*($G$7-$E$7)*($F$7-$E$7)),$G$7-SQRT((1-Q577)*($G$7-$E$7)*($G$7-$F$7))))</f>
        <v>0.831695038554965</v>
      </c>
      <c r="D577" s="51" t="n">
        <f aca="false">1+IF($G$8=$E$8,$F$8,IF(R577&lt;($F$8-$E$8)/($G$8-$E$8),$E$8+SQRT(R577*($G$8-$E$8)*($F$8-$E$8)),$G$8-SQRT((1-R577)*($G$8-$E$8)*($G$8-$F$8))))</f>
        <v>1.01522536247221</v>
      </c>
      <c r="E577" s="51" t="n">
        <f aca="false">1+IF($G$9=$E$9,$F$9,IF(S577&lt;($F$9-$E$9)/($G$9-$E$9),$E$9+SQRT(S577*($G$9-$E$9)*($F$9-$E$9)),$G$9-SQRT((1-S577)*($G$9-$E$9)*($G$9-$F$9))))</f>
        <v>1.03137373320041</v>
      </c>
      <c r="F577" s="51" t="n">
        <f aca="false">1+IF($G$10=$E$10,$F$10,IF(T577&lt;($F$10-$E$10)/($G$10-$E$10),$E$10+SQRT(T577*($G$10-$E$10)*($F$10-$E$10)),$G$10-SQRT((1-T577)*($G$10-$E$10)*($G$10-$F$10))))</f>
        <v>0.985000947321251</v>
      </c>
      <c r="G577" s="52" t="n">
        <f aca="false">IF($G$11=$E$11,$F$11,IF(U577&lt;($F$11-$E$11)/($G$11-$E$11),$E$11+SQRT(U577*($G$11-$E$11)*($F$11-$E$11)),$G$11-SQRT((1-U577)*($G$11-$E$11)*($G$11-$F$11))))</f>
        <v>0.109563769234962</v>
      </c>
      <c r="H577" s="53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-1970001894.6425</v>
      </c>
      <c r="I577" s="53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-78493335.2520214</v>
      </c>
      <c r="J577" s="53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128641782.532754</v>
      </c>
      <c r="K577" s="53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385026947.683592</v>
      </c>
      <c r="L577" s="53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481049995.907567</v>
      </c>
      <c r="M577" s="53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629429045.200671</v>
      </c>
      <c r="N577" s="53" t="n">
        <f aca="false">IF(COUNT('Business Case'!B11:G11)=0,"",H577+NPV(G577,I577:M577))</f>
        <v>-962741643.426567</v>
      </c>
      <c r="P577" s="54" t="n">
        <f aca="true">RAND()</f>
        <v>0.035966352818109</v>
      </c>
      <c r="Q577" s="54" t="n">
        <f aca="true">RAND()</f>
        <v>0.0143510781285818</v>
      </c>
      <c r="R577" s="54" t="n">
        <f aca="true">RAND()</f>
        <v>0.596562147417592</v>
      </c>
      <c r="S577" s="54" t="n">
        <f aca="true">RAND()</f>
        <v>0.686029033676749</v>
      </c>
      <c r="T577" s="54" t="n">
        <f aca="true">RAND()</f>
        <v>0.0980053050707999</v>
      </c>
      <c r="U577" s="54" t="n">
        <f aca="true">RAND()</f>
        <v>0.818475145698132</v>
      </c>
    </row>
    <row r="578" customFormat="false" ht="15" hidden="false" customHeight="false" outlineLevel="0" collapsed="false">
      <c r="A578" s="50" t="n">
        <v>498</v>
      </c>
      <c r="B578" s="51" t="n">
        <f aca="false">1+IF($G$6=$E$6,$F$6,IF(P578&lt;($F$6-$E$6)/($G$6-$E$6),$E$6+SQRT(P578*($G$6-$E$6)*($F$6-$E$6)),$G$6-SQRT((1-P578)*($G$6-$E$6)*($G$6-$F$6))))</f>
        <v>1.00565673371596</v>
      </c>
      <c r="C578" s="51" t="n">
        <f aca="false">1+IF($G$7=$E$7,$F$7,IF(Q578&lt;($F$7-$E$7)/($G$7-$E$7),$E$7+SQRT(Q578*($G$7-$E$7)*($F$7-$E$7)),$G$7-SQRT((1-Q578)*($G$7-$E$7)*($G$7-$F$7))))</f>
        <v>0.842424651804201</v>
      </c>
      <c r="D578" s="51" t="n">
        <f aca="false">1+IF($G$8=$E$8,$F$8,IF(R578&lt;($F$8-$E$8)/($G$8-$E$8),$E$8+SQRT(R578*($G$8-$E$8)*($F$8-$E$8)),$G$8-SQRT((1-R578)*($G$8-$E$8)*($G$8-$F$8))))</f>
        <v>1.00863319942966</v>
      </c>
      <c r="E578" s="51" t="n">
        <f aca="false">1+IF($G$9=$E$9,$F$9,IF(S578&lt;($F$9-$E$9)/($G$9-$E$9),$E$9+SQRT(S578*($G$9-$E$9)*($F$9-$E$9)),$G$9-SQRT((1-S578)*($G$9-$E$9)*($G$9-$F$9))))</f>
        <v>0.957692075803415</v>
      </c>
      <c r="F578" s="51" t="n">
        <f aca="false">1+IF($G$10=$E$10,$F$10,IF(T578&lt;($F$10-$E$10)/($G$10-$E$10),$E$10+SQRT(T578*($G$10-$E$10)*($F$10-$E$10)),$G$10-SQRT((1-T578)*($G$10-$E$10)*($G$10-$F$10))))</f>
        <v>1.06089960455591</v>
      </c>
      <c r="G578" s="52" t="n">
        <f aca="false">IF($G$11=$E$11,$F$11,IF(U578&lt;($F$11-$E$11)/($G$11-$E$11),$E$11+SQRT(U578*($G$11-$E$11)*($F$11-$E$11)),$G$11-SQRT((1-U578)*($G$11-$E$11)*($G$11-$F$11))))</f>
        <v>0.0998627434107901</v>
      </c>
      <c r="H578" s="53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-2121799209.11183</v>
      </c>
      <c r="I578" s="53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-27259607.1224494</v>
      </c>
      <c r="J578" s="53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231672890.220372</v>
      </c>
      <c r="K578" s="53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543650367.790989</v>
      </c>
      <c r="L578" s="53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659240087.458885</v>
      </c>
      <c r="M578" s="53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820273967.170474</v>
      </c>
      <c r="N578" s="53" t="n">
        <f aca="false">IF(COUNT('Business Case'!B11:G11)=0,"",H578+NPV(G578,I578:M578))</f>
        <v>-586327131.637576</v>
      </c>
      <c r="P578" s="54" t="n">
        <f aca="true">RAND()</f>
        <v>0.754279179363209</v>
      </c>
      <c r="Q578" s="54" t="n">
        <f aca="true">RAND()</f>
        <v>0.0257121582958239</v>
      </c>
      <c r="R578" s="54" t="n">
        <f aca="true">RAND()</f>
        <v>0.510267286187804</v>
      </c>
      <c r="S578" s="54" t="n">
        <f aca="true">RAND()</f>
        <v>0.00788907068873172</v>
      </c>
      <c r="T578" s="54" t="n">
        <f aca="true">RAND()</f>
        <v>0.613021599745971</v>
      </c>
      <c r="U578" s="54" t="n">
        <f aca="true">RAND()</f>
        <v>0.324245691956948</v>
      </c>
    </row>
    <row r="579" customFormat="false" ht="15" hidden="false" customHeight="false" outlineLevel="0" collapsed="false">
      <c r="A579" s="50" t="n">
        <v>499</v>
      </c>
      <c r="B579" s="51" t="n">
        <f aca="false">1+IF($G$6=$E$6,$F$6,IF(P579&lt;($F$6-$E$6)/($G$6-$E$6),$E$6+SQRT(P579*($G$6-$E$6)*($F$6-$E$6)),$G$6-SQRT((1-P579)*($G$6-$E$6)*($G$6-$F$6))))</f>
        <v>1.00154631816123</v>
      </c>
      <c r="C579" s="51" t="n">
        <f aca="false">1+IF($G$7=$E$7,$F$7,IF(Q579&lt;($F$7-$E$7)/($G$7-$E$7),$E$7+SQRT(Q579*($G$7-$E$7)*($F$7-$E$7)),$G$7-SQRT((1-Q579)*($G$7-$E$7)*($G$7-$F$7))))</f>
        <v>0.931684222274723</v>
      </c>
      <c r="D579" s="51" t="n">
        <f aca="false">1+IF($G$8=$E$8,$F$8,IF(R579&lt;($F$8-$E$8)/($G$8-$E$8),$E$8+SQRT(R579*($G$8-$E$8)*($F$8-$E$8)),$G$8-SQRT((1-R579)*($G$8-$E$8)*($G$8-$F$8))))</f>
        <v>0.993649305948604</v>
      </c>
      <c r="E579" s="51" t="n">
        <f aca="false">1+IF($G$9=$E$9,$F$9,IF(S579&lt;($F$9-$E$9)/($G$9-$E$9),$E$9+SQRT(S579*($G$9-$E$9)*($F$9-$E$9)),$G$9-SQRT((1-S579)*($G$9-$E$9)*($G$9-$F$9))))</f>
        <v>0.996040502704053</v>
      </c>
      <c r="F579" s="51" t="n">
        <f aca="false">1+IF($G$10=$E$10,$F$10,IF(T579&lt;($F$10-$E$10)/($G$10-$E$10),$E$10+SQRT(T579*($G$10-$E$10)*($F$10-$E$10)),$G$10-SQRT((1-T579)*($G$10-$E$10)*($G$10-$F$10))))</f>
        <v>1.10085701246961</v>
      </c>
      <c r="G579" s="52" t="n">
        <f aca="false">IF($G$11=$E$11,$F$11,IF(U579&lt;($F$11-$E$11)/($G$11-$E$11),$E$11+SQRT(U579*($G$11-$E$11)*($F$11-$E$11)),$G$11-SQRT((1-U579)*($G$11-$E$11)*($G$11-$F$11))))</f>
        <v>0.099151243913024</v>
      </c>
      <c r="H579" s="53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-2201714024.93922</v>
      </c>
      <c r="I579" s="53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-9718213.12306526</v>
      </c>
      <c r="J579" s="53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280659429.43137</v>
      </c>
      <c r="K579" s="53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626079922.609286</v>
      </c>
      <c r="L579" s="53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755121266.758112</v>
      </c>
      <c r="M579" s="53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932489648.226863</v>
      </c>
      <c r="N579" s="53" t="n">
        <f aca="false">IF(COUNT('Business Case'!B11:G11)=0,"",H579+NPV(G579,I579:M579))</f>
        <v>-408179096.289737</v>
      </c>
      <c r="P579" s="54" t="n">
        <f aca="true">RAND()</f>
        <v>0.691940490217171</v>
      </c>
      <c r="Q579" s="54" t="n">
        <f aca="true">RAND()</f>
        <v>0.247724777087122</v>
      </c>
      <c r="R579" s="54" t="n">
        <f aca="true">RAND()</f>
        <v>0.293117216891518</v>
      </c>
      <c r="S579" s="54" t="n">
        <f aca="true">RAND()</f>
        <v>0.282630385232253</v>
      </c>
      <c r="T579" s="54" t="n">
        <f aca="true">RAND()</f>
        <v>0.803413360470989</v>
      </c>
      <c r="U579" s="54" t="n">
        <f aca="true">RAND()</f>
        <v>0.279150883852193</v>
      </c>
    </row>
    <row r="580" customFormat="false" ht="15" hidden="false" customHeight="false" outlineLevel="0" collapsed="false">
      <c r="A580" s="50" t="n">
        <v>500</v>
      </c>
      <c r="B580" s="51" t="n">
        <f aca="false">1+IF($G$6=$E$6,$F$6,IF(P580&lt;($F$6-$E$6)/($G$6-$E$6),$E$6+SQRT(P580*($G$6-$E$6)*($F$6-$E$6)),$G$6-SQRT((1-P580)*($G$6-$E$6)*($G$6-$F$6))))</f>
        <v>0.944448060174688</v>
      </c>
      <c r="C580" s="51" t="n">
        <f aca="false">1+IF($G$7=$E$7,$F$7,IF(Q580&lt;($F$7-$E$7)/($G$7-$E$7),$E$7+SQRT(Q580*($G$7-$E$7)*($F$7-$E$7)),$G$7-SQRT((1-Q580)*($G$7-$E$7)*($G$7-$F$7))))</f>
        <v>0.940002374253624</v>
      </c>
      <c r="D580" s="51" t="n">
        <f aca="false">1+IF($G$8=$E$8,$F$8,IF(R580&lt;($F$8-$E$8)/($G$8-$E$8),$E$8+SQRT(R580*($G$8-$E$8)*($F$8-$E$8)),$G$8-SQRT((1-R580)*($G$8-$E$8)*($G$8-$F$8))))</f>
        <v>0.991564969543015</v>
      </c>
      <c r="E580" s="51" t="n">
        <f aca="false">1+IF($G$9=$E$9,$F$9,IF(S580&lt;($F$9-$E$9)/($G$9-$E$9),$E$9+SQRT(S580*($G$9-$E$9)*($F$9-$E$9)),$G$9-SQRT((1-S580)*($G$9-$E$9)*($G$9-$F$9))))</f>
        <v>0.998035604674163</v>
      </c>
      <c r="F580" s="51" t="n">
        <f aca="false">1+IF($G$10=$E$10,$F$10,IF(T580&lt;($F$10-$E$10)/($G$10-$E$10),$E$10+SQRT(T580*($G$10-$E$10)*($F$10-$E$10)),$G$10-SQRT((1-T580)*($G$10-$E$10)*($G$10-$F$10))))</f>
        <v>1.13593890695821</v>
      </c>
      <c r="G580" s="52" t="n">
        <f aca="false">IF($G$11=$E$11,$F$11,IF(U580&lt;($F$11-$E$11)/($G$11-$E$11),$E$11+SQRT(U580*($G$11-$E$11)*($F$11-$E$11)),$G$11-SQRT((1-U580)*($G$11-$E$11)*($G$11-$F$11))))</f>
        <v>0.097369251805469</v>
      </c>
      <c r="H580" s="53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-2271877813.91642</v>
      </c>
      <c r="I580" s="53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-51525733.6447174</v>
      </c>
      <c r="J580" s="53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198485778.828043</v>
      </c>
      <c r="K580" s="53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505294236.648714</v>
      </c>
      <c r="L580" s="53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619313202.430962</v>
      </c>
      <c r="M580" s="53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788063074.699929</v>
      </c>
      <c r="N580" s="53" t="n">
        <f aca="false">IF(COUNT('Business Case'!B11:G11)=0,"",H580+NPV(G580,I580:M580))</f>
        <v>-849345660.943732</v>
      </c>
      <c r="P580" s="54" t="n">
        <f aca="true">RAND()</f>
        <v>0.0622612131567885</v>
      </c>
      <c r="Q580" s="54" t="n">
        <f aca="true">RAND()</f>
        <v>0.280009497095025</v>
      </c>
      <c r="R580" s="54" t="n">
        <f aca="true">RAND()</f>
        <v>0.265791798940266</v>
      </c>
      <c r="S580" s="54" t="n">
        <f aca="true">RAND()</f>
        <v>0.307655908854997</v>
      </c>
      <c r="T580" s="54" t="n">
        <f aca="true">RAND()</f>
        <v>0.917923527165825</v>
      </c>
      <c r="U580" s="54" t="n">
        <f aca="true">RAND()</f>
        <v>0.181019573908026</v>
      </c>
    </row>
    <row r="581" customFormat="false" ht="15" hidden="false" customHeight="false" outlineLevel="0" collapsed="false">
      <c r="A581" s="50" t="n">
        <v>501</v>
      </c>
      <c r="B581" s="51" t="n">
        <f aca="false">1+IF($G$6=$E$6,$F$6,IF(P581&lt;($F$6-$E$6)/($G$6-$E$6),$E$6+SQRT(P581*($G$6-$E$6)*($F$6-$E$6)),$G$6-SQRT((1-P581)*($G$6-$E$6)*($G$6-$F$6))))</f>
        <v>0.946658600093049</v>
      </c>
      <c r="C581" s="51" t="n">
        <f aca="false">1+IF($G$7=$E$7,$F$7,IF(Q581&lt;($F$7-$E$7)/($G$7-$E$7),$E$7+SQRT(Q581*($G$7-$E$7)*($F$7-$E$7)),$G$7-SQRT((1-Q581)*($G$7-$E$7)*($G$7-$F$7))))</f>
        <v>1.00976603134107</v>
      </c>
      <c r="D581" s="51" t="n">
        <f aca="false">1+IF($G$8=$E$8,$F$8,IF(R581&lt;($F$8-$E$8)/($G$8-$E$8),$E$8+SQRT(R581*($G$8-$E$8)*($F$8-$E$8)),$G$8-SQRT((1-R581)*($G$8-$E$8)*($G$8-$F$8))))</f>
        <v>1.00310593754701</v>
      </c>
      <c r="E581" s="51" t="n">
        <f aca="false">1+IF($G$9=$E$9,$F$9,IF(S581&lt;($F$9-$E$9)/($G$9-$E$9),$E$9+SQRT(S581*($G$9-$E$9)*($F$9-$E$9)),$G$9-SQRT((1-S581)*($G$9-$E$9)*($G$9-$F$9))))</f>
        <v>0.980725764317363</v>
      </c>
      <c r="F581" s="51" t="n">
        <f aca="false">1+IF($G$10=$E$10,$F$10,IF(T581&lt;($F$10-$E$10)/($G$10-$E$10),$E$10+SQRT(T581*($G$10-$E$10)*($F$10-$E$10)),$G$10-SQRT((1-T581)*($G$10-$E$10)*($G$10-$F$10))))</f>
        <v>1.12310217650665</v>
      </c>
      <c r="G581" s="52" t="n">
        <f aca="false">IF($G$11=$E$11,$F$11,IF(U581&lt;($F$11-$E$11)/($G$11-$E$11),$E$11+SQRT(U581*($G$11-$E$11)*($F$11-$E$11)),$G$11-SQRT((1-U581)*($G$11-$E$11)*($G$11-$F$11))))</f>
        <v>0.103134423535914</v>
      </c>
      <c r="H581" s="53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-2246204353.0133</v>
      </c>
      <c r="I581" s="53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-36894461.8010232</v>
      </c>
      <c r="J581" s="53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227534545.420768</v>
      </c>
      <c r="K581" s="53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548118661.46789</v>
      </c>
      <c r="L581" s="53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669297695.665968</v>
      </c>
      <c r="M581" s="53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850995870.515442</v>
      </c>
      <c r="N581" s="53" t="n">
        <f aca="false">IF(COUNT('Business Case'!B11:G11)=0,"",H581+NPV(G581,I581:M581))</f>
        <v>-711459300.532997</v>
      </c>
      <c r="P581" s="54" t="n">
        <f aca="true">RAND()</f>
        <v>0.0740292665542801</v>
      </c>
      <c r="Q581" s="54" t="n">
        <f aca="true">RAND()</f>
        <v>0.625417791126983</v>
      </c>
      <c r="R581" s="54" t="n">
        <f aca="true">RAND()</f>
        <v>0.431471457641922</v>
      </c>
      <c r="S581" s="54" t="n">
        <f aca="true">RAND()</f>
        <v>0.125876345718153</v>
      </c>
      <c r="T581" s="54" t="n">
        <f aca="true">RAND()</f>
        <v>0.881734494839705</v>
      </c>
      <c r="U581" s="54" t="n">
        <f aca="true">RAND()</f>
        <v>0.525920550890118</v>
      </c>
    </row>
    <row r="582" customFormat="false" ht="15" hidden="false" customHeight="false" outlineLevel="0" collapsed="false">
      <c r="A582" s="50" t="n">
        <v>502</v>
      </c>
      <c r="B582" s="51" t="n">
        <f aca="false">1+IF($G$6=$E$6,$F$6,IF(P582&lt;($F$6-$E$6)/($G$6-$E$6),$E$6+SQRT(P582*($G$6-$E$6)*($F$6-$E$6)),$G$6-SQRT((1-P582)*($G$6-$E$6)*($G$6-$F$6))))</f>
        <v>1.0365989465048</v>
      </c>
      <c r="C582" s="51" t="n">
        <f aca="false">1+IF($G$7=$E$7,$F$7,IF(Q582&lt;($F$7-$E$7)/($G$7-$E$7),$E$7+SQRT(Q582*($G$7-$E$7)*($F$7-$E$7)),$G$7-SQRT((1-Q582)*($G$7-$E$7)*($G$7-$F$7))))</f>
        <v>1.0333565584908</v>
      </c>
      <c r="D582" s="51" t="n">
        <f aca="false">1+IF($G$8=$E$8,$F$8,IF(R582&lt;($F$8-$E$8)/($G$8-$E$8),$E$8+SQRT(R582*($G$8-$E$8)*($F$8-$E$8)),$G$8-SQRT((1-R582)*($G$8-$E$8)*($G$8-$F$8))))</f>
        <v>1.01221951070176</v>
      </c>
      <c r="E582" s="51" t="n">
        <f aca="false">1+IF($G$9=$E$9,$F$9,IF(S582&lt;($F$9-$E$9)/($G$9-$E$9),$E$9+SQRT(S582*($G$9-$E$9)*($F$9-$E$9)),$G$9-SQRT((1-S582)*($G$9-$E$9)*($G$9-$F$9))))</f>
        <v>0.984175831792453</v>
      </c>
      <c r="F582" s="51" t="n">
        <f aca="false">1+IF($G$10=$E$10,$F$10,IF(T582&lt;($F$10-$E$10)/($G$10-$E$10),$E$10+SQRT(T582*($G$10-$E$10)*($F$10-$E$10)),$G$10-SQRT((1-T582)*($G$10-$E$10)*($G$10-$F$10))))</f>
        <v>0.997296894300728</v>
      </c>
      <c r="G582" s="52" t="n">
        <f aca="false">IF($G$11=$E$11,$F$11,IF(U582&lt;($F$11-$E$11)/($G$11-$E$11),$E$11+SQRT(U582*($G$11-$E$11)*($F$11-$E$11)),$G$11-SQRT((1-U582)*($G$11-$E$11)*($G$11-$F$11))))</f>
        <v>0.103493994368111</v>
      </c>
      <c r="H582" s="53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-1994593788.60146</v>
      </c>
      <c r="I582" s="53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46701297.2004234</v>
      </c>
      <c r="J582" s="53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388611867.535183</v>
      </c>
      <c r="K582" s="53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780387282.58498</v>
      </c>
      <c r="L582" s="53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931377326.312151</v>
      </c>
      <c r="M582" s="53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1134986521.19787</v>
      </c>
      <c r="N582" s="53" t="n">
        <f aca="false">IF(COUNT('Business Case'!B11:G11)=0,"",H582+NPV(G582,I582:M582))</f>
        <v>269403761.950096</v>
      </c>
      <c r="P582" s="54" t="n">
        <f aca="true">RAND()</f>
        <v>0.997590173983915</v>
      </c>
      <c r="Q582" s="54" t="n">
        <f aca="true">RAND()</f>
        <v>0.740843953388375</v>
      </c>
      <c r="R582" s="54" t="n">
        <f aca="true">RAND()</f>
        <v>0.558250506777982</v>
      </c>
      <c r="S582" s="54" t="n">
        <f aca="true">RAND()</f>
        <v>0.155731663827474</v>
      </c>
      <c r="T582" s="54" t="n">
        <f aca="true">RAND()</f>
        <v>0.178959696839542</v>
      </c>
      <c r="U582" s="54" t="n">
        <f aca="true">RAND()</f>
        <v>0.545919630133429</v>
      </c>
    </row>
    <row r="583" customFormat="false" ht="15" hidden="false" customHeight="false" outlineLevel="0" collapsed="false">
      <c r="A583" s="50" t="n">
        <v>503</v>
      </c>
      <c r="B583" s="51" t="n">
        <f aca="false">1+IF($G$6=$E$6,$F$6,IF(P583&lt;($F$6-$E$6)/($G$6-$E$6),$E$6+SQRT(P583*($G$6-$E$6)*($F$6-$E$6)),$G$6-SQRT((1-P583)*($G$6-$E$6)*($G$6-$F$6))))</f>
        <v>0.974414645176056</v>
      </c>
      <c r="C583" s="51" t="n">
        <f aca="false">1+IF($G$7=$E$7,$F$7,IF(Q583&lt;($F$7-$E$7)/($G$7-$E$7),$E$7+SQRT(Q583*($G$7-$E$7)*($F$7-$E$7)),$G$7-SQRT((1-Q583)*($G$7-$E$7)*($G$7-$F$7))))</f>
        <v>1.02101083404325</v>
      </c>
      <c r="D583" s="51" t="n">
        <f aca="false">1+IF($G$8=$E$8,$F$8,IF(R583&lt;($F$8-$E$8)/($G$8-$E$8),$E$8+SQRT(R583*($G$8-$E$8)*($F$8-$E$8)),$G$8-SQRT((1-R583)*($G$8-$E$8)*($G$8-$F$8))))</f>
        <v>1.01569090968081</v>
      </c>
      <c r="E583" s="51" t="n">
        <f aca="false">1+IF($G$9=$E$9,$F$9,IF(S583&lt;($F$9-$E$9)/($G$9-$E$9),$E$9+SQRT(S583*($G$9-$E$9)*($F$9-$E$9)),$G$9-SQRT((1-S583)*($G$9-$E$9)*($G$9-$F$9))))</f>
        <v>0.977786199970702</v>
      </c>
      <c r="F583" s="51" t="n">
        <f aca="false">1+IF($G$10=$E$10,$F$10,IF(T583&lt;($F$10-$E$10)/($G$10-$E$10),$E$10+SQRT(T583*($G$10-$E$10)*($F$10-$E$10)),$G$10-SQRT((1-T583)*($G$10-$E$10)*($G$10-$F$10))))</f>
        <v>1.10887183364151</v>
      </c>
      <c r="G583" s="52" t="n">
        <f aca="false">IF($G$11=$E$11,$F$11,IF(U583&lt;($F$11-$E$11)/($G$11-$E$11),$E$11+SQRT(U583*($G$11-$E$11)*($F$11-$E$11)),$G$11-SQRT((1-U583)*($G$11-$E$11)*($G$11-$F$11))))</f>
        <v>0.0997260111299073</v>
      </c>
      <c r="H583" s="53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-2217743667.28301</v>
      </c>
      <c r="I583" s="53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-17495666.3325455</v>
      </c>
      <c r="J583" s="53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266512037.56727</v>
      </c>
      <c r="K583" s="53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605963333.14916</v>
      </c>
      <c r="L583" s="53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735015893.937349</v>
      </c>
      <c r="M583" s="53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924124187.789395</v>
      </c>
      <c r="N583" s="53" t="n">
        <f aca="false">IF(COUNT('Business Case'!B11:G11)=0,"",H583+NPV(G583,I583:M583))</f>
        <v>-480625738.951739</v>
      </c>
      <c r="P583" s="54" t="n">
        <f aca="true">RAND()</f>
        <v>0.308432667670428</v>
      </c>
      <c r="Q583" s="54" t="n">
        <f aca="true">RAND()</f>
        <v>0.683081810776781</v>
      </c>
      <c r="R583" s="54" t="n">
        <f aca="true">RAND()</f>
        <v>0.602340471376791</v>
      </c>
      <c r="S583" s="54" t="n">
        <f aca="true">RAND()</f>
        <v>0.102943054508245</v>
      </c>
      <c r="T583" s="54" t="n">
        <f aca="true">RAND()</f>
        <v>0.833913145922771</v>
      </c>
      <c r="U583" s="54" t="n">
        <f aca="true">RAND()</f>
        <v>0.315317641663602</v>
      </c>
    </row>
    <row r="584" customFormat="false" ht="15" hidden="false" customHeight="false" outlineLevel="0" collapsed="false">
      <c r="A584" s="50" t="n">
        <v>504</v>
      </c>
      <c r="B584" s="51" t="n">
        <f aca="false">1+IF($G$6=$E$6,$F$6,IF(P584&lt;($F$6-$E$6)/($G$6-$E$6),$E$6+SQRT(P584*($G$6-$E$6)*($F$6-$E$6)),$G$6-SQRT((1-P584)*($G$6-$E$6)*($G$6-$F$6))))</f>
        <v>0.953912374647798</v>
      </c>
      <c r="C584" s="51" t="n">
        <f aca="false">1+IF($G$7=$E$7,$F$7,IF(Q584&lt;($F$7-$E$7)/($G$7-$E$7),$E$7+SQRT(Q584*($G$7-$E$7)*($F$7-$E$7)),$G$7-SQRT((1-Q584)*($G$7-$E$7)*($G$7-$F$7))))</f>
        <v>0.990635596174346</v>
      </c>
      <c r="D584" s="51" t="n">
        <f aca="false">1+IF($G$8=$E$8,$F$8,IF(R584&lt;($F$8-$E$8)/($G$8-$E$8),$E$8+SQRT(R584*($G$8-$E$8)*($F$8-$E$8)),$G$8-SQRT((1-R584)*($G$8-$E$8)*($G$8-$F$8))))</f>
        <v>1.03826448013029</v>
      </c>
      <c r="E584" s="51" t="n">
        <f aca="false">1+IF($G$9=$E$9,$F$9,IF(S584&lt;($F$9-$E$9)/($G$9-$E$9),$E$9+SQRT(S584*($G$9-$E$9)*($F$9-$E$9)),$G$9-SQRT((1-S584)*($G$9-$E$9)*($G$9-$F$9))))</f>
        <v>1.00317358117752</v>
      </c>
      <c r="F584" s="51" t="n">
        <f aca="false">1+IF($G$10=$E$10,$F$10,IF(T584&lt;($F$10-$E$10)/($G$10-$E$10),$E$10+SQRT(T584*($G$10-$E$10)*($F$10-$E$10)),$G$10-SQRT((1-T584)*($G$10-$E$10)*($G$10-$F$10))))</f>
        <v>1.03481563748433</v>
      </c>
      <c r="G584" s="52" t="n">
        <f aca="false">IF($G$11=$E$11,$F$11,IF(U584&lt;($F$11-$E$11)/($G$11-$E$11),$E$11+SQRT(U584*($G$11-$E$11)*($F$11-$E$11)),$G$11-SQRT((1-U584)*($G$11-$E$11)*($G$11-$F$11))))</f>
        <v>0.0957953259998328</v>
      </c>
      <c r="H584" s="53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-2069631274.96867</v>
      </c>
      <c r="I584" s="53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-47645387.6673103</v>
      </c>
      <c r="J584" s="53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199829811.734403</v>
      </c>
      <c r="K584" s="53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499045793.010333</v>
      </c>
      <c r="L584" s="53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614196019.529003</v>
      </c>
      <c r="M584" s="53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793817733.145208</v>
      </c>
      <c r="N584" s="53" t="n">
        <f aca="false">IF(COUNT('Business Case'!B11:G11)=0,"",H584+NPV(G584,I584:M584))</f>
        <v>-639012204.753059</v>
      </c>
      <c r="P584" s="54" t="n">
        <f aca="true">RAND()</f>
        <v>0.119796786901312</v>
      </c>
      <c r="Q584" s="54" t="n">
        <f aca="true">RAND()</f>
        <v>0.519170436124978</v>
      </c>
      <c r="R584" s="54" t="n">
        <f aca="true">RAND()</f>
        <v>0.832514075115904</v>
      </c>
      <c r="S584" s="54" t="n">
        <f aca="true">RAND()</f>
        <v>0.374976307867607</v>
      </c>
      <c r="T584" s="54" t="n">
        <f aca="true">RAND()</f>
        <v>0.454282527605854</v>
      </c>
      <c r="U584" s="54" t="n">
        <f aca="true">RAND()</f>
        <v>0.111952678147792</v>
      </c>
    </row>
    <row r="585" customFormat="false" ht="15" hidden="false" customHeight="false" outlineLevel="0" collapsed="false">
      <c r="A585" s="50" t="n">
        <v>505</v>
      </c>
      <c r="B585" s="51" t="n">
        <f aca="false">1+IF($G$6=$E$6,$F$6,IF(P585&lt;($F$6-$E$6)/($G$6-$E$6),$E$6+SQRT(P585*($G$6-$E$6)*($F$6-$E$6)),$G$6-SQRT((1-P585)*($G$6-$E$6)*($G$6-$F$6))))</f>
        <v>0.976937405408356</v>
      </c>
      <c r="C585" s="51" t="n">
        <f aca="false">1+IF($G$7=$E$7,$F$7,IF(Q585&lt;($F$7-$E$7)/($G$7-$E$7),$E$7+SQRT(Q585*($G$7-$E$7)*($F$7-$E$7)),$G$7-SQRT((1-Q585)*($G$7-$E$7)*($G$7-$F$7))))</f>
        <v>1.11371714657866</v>
      </c>
      <c r="D585" s="51" t="n">
        <f aca="false">1+IF($G$8=$E$8,$F$8,IF(R585&lt;($F$8-$E$8)/($G$8-$E$8),$E$8+SQRT(R585*($G$8-$E$8)*($F$8-$E$8)),$G$8-SQRT((1-R585)*($G$8-$E$8)*($G$8-$F$8))))</f>
        <v>1.03170692561887</v>
      </c>
      <c r="E585" s="51" t="n">
        <f aca="false">1+IF($G$9=$E$9,$F$9,IF(S585&lt;($F$9-$E$9)/($G$9-$E$9),$E$9+SQRT(S585*($G$9-$E$9)*($F$9-$E$9)),$G$9-SQRT((1-S585)*($G$9-$E$9)*($G$9-$F$9))))</f>
        <v>0.996321659843839</v>
      </c>
      <c r="F585" s="51" t="n">
        <f aca="false">1+IF($G$10=$E$10,$F$10,IF(T585&lt;($F$10-$E$10)/($G$10-$E$10),$E$10+SQRT(T585*($G$10-$E$10)*($F$10-$E$10)),$G$10-SQRT((1-T585)*($G$10-$E$10)*($G$10-$F$10))))</f>
        <v>1.05787412040667</v>
      </c>
      <c r="G585" s="52" t="n">
        <f aca="false">IF($G$11=$E$11,$F$11,IF(U585&lt;($F$11-$E$11)/($G$11-$E$11),$E$11+SQRT(U585*($G$11-$E$11)*($F$11-$E$11)),$G$11-SQRT((1-U585)*($G$11-$E$11)*($G$11-$F$11))))</f>
        <v>0.10044317160377</v>
      </c>
      <c r="H585" s="53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-2115748240.81333</v>
      </c>
      <c r="I585" s="53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-902711.632386491</v>
      </c>
      <c r="J585" s="53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302062504.551304</v>
      </c>
      <c r="K585" s="53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657921426.755328</v>
      </c>
      <c r="L585" s="53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796512215.980303</v>
      </c>
      <c r="M585" s="53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1003325327.04756</v>
      </c>
      <c r="N585" s="53" t="n">
        <f aca="false">IF(COUNT('Business Case'!B11:G11)=0,"",H585+NPV(G585,I585:M585))</f>
        <v>-208536634.023567</v>
      </c>
      <c r="P585" s="54" t="n">
        <f aca="true">RAND()</f>
        <v>0.337694597357859</v>
      </c>
      <c r="Q585" s="54" t="n">
        <f aca="true">RAND()</f>
        <v>0.974924848525827</v>
      </c>
      <c r="R585" s="54" t="n">
        <f aca="true">RAND()</f>
        <v>0.775747977578734</v>
      </c>
      <c r="S585" s="54" t="n">
        <f aca="true">RAND()</f>
        <v>0.286092822758448</v>
      </c>
      <c r="T585" s="54" t="n">
        <f aca="true">RAND()</f>
        <v>0.596004686996426</v>
      </c>
      <c r="U585" s="54" t="n">
        <f aca="true">RAND()</f>
        <v>0.362550771800706</v>
      </c>
    </row>
    <row r="586" customFormat="false" ht="15" hidden="false" customHeight="false" outlineLevel="0" collapsed="false">
      <c r="A586" s="50" t="n">
        <v>506</v>
      </c>
      <c r="B586" s="51" t="n">
        <f aca="false">1+IF($G$6=$E$6,$F$6,IF(P586&lt;($F$6-$E$6)/($G$6-$E$6),$E$6+SQRT(P586*($G$6-$E$6)*($F$6-$E$6)),$G$6-SQRT((1-P586)*($G$6-$E$6)*($G$6-$F$6))))</f>
        <v>1.03248730528174</v>
      </c>
      <c r="C586" s="51" t="n">
        <f aca="false">1+IF($G$7=$E$7,$F$7,IF(Q586&lt;($F$7-$E$7)/($G$7-$E$7),$E$7+SQRT(Q586*($G$7-$E$7)*($F$7-$E$7)),$G$7-SQRT((1-Q586)*($G$7-$E$7)*($G$7-$F$7))))</f>
        <v>1.05748049228347</v>
      </c>
      <c r="D586" s="51" t="n">
        <f aca="false">1+IF($G$8=$E$8,$F$8,IF(R586&lt;($F$8-$E$8)/($G$8-$E$8),$E$8+SQRT(R586*($G$8-$E$8)*($F$8-$E$8)),$G$8-SQRT((1-R586)*($G$8-$E$8)*($G$8-$F$8))))</f>
        <v>1.02769769412392</v>
      </c>
      <c r="E586" s="51" t="n">
        <f aca="false">1+IF($G$9=$E$9,$F$9,IF(S586&lt;($F$9-$E$9)/($G$9-$E$9),$E$9+SQRT(S586*($G$9-$E$9)*($F$9-$E$9)),$G$9-SQRT((1-S586)*($G$9-$E$9)*($G$9-$F$9))))</f>
        <v>1.0624487204184</v>
      </c>
      <c r="F586" s="51" t="n">
        <f aca="false">1+IF($G$10=$E$10,$F$10,IF(T586&lt;($F$10-$E$10)/($G$10-$E$10),$E$10+SQRT(T586*($G$10-$E$10)*($F$10-$E$10)),$G$10-SQRT((1-T586)*($G$10-$E$10)*($G$10-$F$10))))</f>
        <v>1.07782425022935</v>
      </c>
      <c r="G586" s="52" t="n">
        <f aca="false">IF($G$11=$E$11,$F$11,IF(U586&lt;($F$11-$E$11)/($G$11-$E$11),$E$11+SQRT(U586*($G$11-$E$11)*($F$11-$E$11)),$G$11-SQRT((1-U586)*($G$11-$E$11)*($G$11-$F$11))))</f>
        <v>0.104878380179689</v>
      </c>
      <c r="H586" s="53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-2155648500.4587</v>
      </c>
      <c r="I586" s="53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22488825.4299693</v>
      </c>
      <c r="J586" s="53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360441019.857972</v>
      </c>
      <c r="K586" s="53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752284426.797442</v>
      </c>
      <c r="L586" s="53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902668982.227844</v>
      </c>
      <c r="M586" s="53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1110205013.97705</v>
      </c>
      <c r="N586" s="53" t="n">
        <f aca="false">IF(COUNT('Business Case'!B11:G11)=0,"",H586+NPV(G586,I586:M586))</f>
        <v>-2301657.84683037</v>
      </c>
      <c r="P586" s="54" t="n">
        <f aca="true">RAND()</f>
        <v>0.988241545431307</v>
      </c>
      <c r="Q586" s="54" t="n">
        <f aca="true">RAND()</f>
        <v>0.836955060797916</v>
      </c>
      <c r="R586" s="54" t="n">
        <f aca="true">RAND()</f>
        <v>0.73696815385044</v>
      </c>
      <c r="S586" s="54" t="n">
        <f aca="true">RAND()</f>
        <v>0.905993426785642</v>
      </c>
      <c r="T586" s="54" t="n">
        <f aca="true">RAND()</f>
        <v>0.701461723359586</v>
      </c>
      <c r="U586" s="54" t="n">
        <f aca="true">RAND()</f>
        <v>0.618894356683285</v>
      </c>
    </row>
    <row r="587" customFormat="false" ht="15" hidden="false" customHeight="false" outlineLevel="0" collapsed="false">
      <c r="A587" s="50" t="n">
        <v>507</v>
      </c>
      <c r="B587" s="51" t="n">
        <f aca="false">1+IF($G$6=$E$6,$F$6,IF(P587&lt;($F$6-$E$6)/($G$6-$E$6),$E$6+SQRT(P587*($G$6-$E$6)*($F$6-$E$6)),$G$6-SQRT((1-P587)*($G$6-$E$6)*($G$6-$F$6))))</f>
        <v>0.974886032468294</v>
      </c>
      <c r="C587" s="51" t="n">
        <f aca="false">1+IF($G$7=$E$7,$F$7,IF(Q587&lt;($F$7-$E$7)/($G$7-$E$7),$E$7+SQRT(Q587*($G$7-$E$7)*($F$7-$E$7)),$G$7-SQRT((1-Q587)*($G$7-$E$7)*($G$7-$F$7))))</f>
        <v>1.08950872807683</v>
      </c>
      <c r="D587" s="51" t="n">
        <f aca="false">1+IF($G$8=$E$8,$F$8,IF(R587&lt;($F$8-$E$8)/($G$8-$E$8),$E$8+SQRT(R587*($G$8-$E$8)*($F$8-$E$8)),$G$8-SQRT((1-R587)*($G$8-$E$8)*($G$8-$F$8))))</f>
        <v>1.02185323921082</v>
      </c>
      <c r="E587" s="51" t="n">
        <f aca="false">1+IF($G$9=$E$9,$F$9,IF(S587&lt;($F$9-$E$9)/($G$9-$E$9),$E$9+SQRT(S587*($G$9-$E$9)*($F$9-$E$9)),$G$9-SQRT((1-S587)*($G$9-$E$9)*($G$9-$F$9))))</f>
        <v>1.02964744100982</v>
      </c>
      <c r="F587" s="51" t="n">
        <f aca="false">1+IF($G$10=$E$10,$F$10,IF(T587&lt;($F$10-$E$10)/($G$10-$E$10),$E$10+SQRT(T587*($G$10-$E$10)*($F$10-$E$10)),$G$10-SQRT((1-T587)*($G$10-$E$10)*($G$10-$F$10))))</f>
        <v>1.05836363035256</v>
      </c>
      <c r="G587" s="52" t="n">
        <f aca="false">IF($G$11=$E$11,$F$11,IF(U587&lt;($F$11-$E$11)/($G$11-$E$11),$E$11+SQRT(U587*($G$11-$E$11)*($F$11-$E$11)),$G$11-SQRT((1-U587)*($G$11-$E$11)*($G$11-$F$11))))</f>
        <v>0.101758493502906</v>
      </c>
      <c r="H587" s="53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-2116727260.70512</v>
      </c>
      <c r="I587" s="53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-7268946.13781163</v>
      </c>
      <c r="J587" s="53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292776029.121857</v>
      </c>
      <c r="K587" s="53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645739185.899153</v>
      </c>
      <c r="L587" s="53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782461972.486128</v>
      </c>
      <c r="M587" s="53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984354844.071763</v>
      </c>
      <c r="N587" s="53" t="n">
        <f aca="false">IF(COUNT('Business Case'!B11:G11)=0,"",H587+NPV(G587,I587:M587))</f>
        <v>-261925853.693149</v>
      </c>
      <c r="P587" s="54" t="n">
        <f aca="true">RAND()</f>
        <v>0.313799641678191</v>
      </c>
      <c r="Q587" s="54" t="n">
        <f aca="true">RAND()</f>
        <v>0.930301067068889</v>
      </c>
      <c r="R587" s="54" t="n">
        <f aca="true">RAND()</f>
        <v>0.674899443242832</v>
      </c>
      <c r="S587" s="54" t="n">
        <f aca="true">RAND()</f>
        <v>0.670034496235522</v>
      </c>
      <c r="T587" s="54" t="n">
        <f aca="true">RAND()</f>
        <v>0.598782775861883</v>
      </c>
      <c r="U587" s="54" t="n">
        <f aca="true">RAND()</f>
        <v>0.445412401194101</v>
      </c>
    </row>
    <row r="588" customFormat="false" ht="15" hidden="false" customHeight="false" outlineLevel="0" collapsed="false">
      <c r="A588" s="50" t="n">
        <v>508</v>
      </c>
      <c r="B588" s="51" t="n">
        <f aca="false">1+IF($G$6=$E$6,$F$6,IF(P588&lt;($F$6-$E$6)/($G$6-$E$6),$E$6+SQRT(P588*($G$6-$E$6)*($F$6-$E$6)),$G$6-SQRT((1-P588)*($G$6-$E$6)*($G$6-$F$6))))</f>
        <v>0.989595625007218</v>
      </c>
      <c r="C588" s="51" t="n">
        <f aca="false">1+IF($G$7=$E$7,$F$7,IF(Q588&lt;($F$7-$E$7)/($G$7-$E$7),$E$7+SQRT(Q588*($G$7-$E$7)*($F$7-$E$7)),$G$7-SQRT((1-Q588)*($G$7-$E$7)*($G$7-$F$7))))</f>
        <v>0.893497714478922</v>
      </c>
      <c r="D588" s="51" t="n">
        <f aca="false">1+IF($G$8=$E$8,$F$8,IF(R588&lt;($F$8-$E$8)/($G$8-$E$8),$E$8+SQRT(R588*($G$8-$E$8)*($F$8-$E$8)),$G$8-SQRT((1-R588)*($G$8-$E$8)*($G$8-$F$8))))</f>
        <v>1.00090247207061</v>
      </c>
      <c r="E588" s="51" t="n">
        <f aca="false">1+IF($G$9=$E$9,$F$9,IF(S588&lt;($F$9-$E$9)/($G$9-$E$9),$E$9+SQRT(S588*($G$9-$E$9)*($F$9-$E$9)),$G$9-SQRT((1-S588)*($G$9-$E$9)*($G$9-$F$9))))</f>
        <v>0.989177509385365</v>
      </c>
      <c r="F588" s="51" t="n">
        <f aca="false">1+IF($G$10=$E$10,$F$10,IF(T588&lt;($F$10-$E$10)/($G$10-$E$10),$E$10+SQRT(T588*($G$10-$E$10)*($F$10-$E$10)),$G$10-SQRT((1-T588)*($G$10-$E$10)*($G$10-$F$10))))</f>
        <v>1.0105260144421</v>
      </c>
      <c r="G588" s="52" t="n">
        <f aca="false">IF($G$11=$E$11,$F$11,IF(U588&lt;($F$11-$E$11)/($G$11-$E$11),$E$11+SQRT(U588*($G$11-$E$11)*($F$11-$E$11)),$G$11-SQRT((1-U588)*($G$11-$E$11)*($G$11-$F$11))))</f>
        <v>0.102545086556771</v>
      </c>
      <c r="H588" s="53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-2021052028.8842</v>
      </c>
      <c r="I588" s="53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-21138152.4836159</v>
      </c>
      <c r="J588" s="53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245274340.401424</v>
      </c>
      <c r="K588" s="53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562213134.008568</v>
      </c>
      <c r="L588" s="53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681575299.696813</v>
      </c>
      <c r="M588" s="53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849644307.359584</v>
      </c>
      <c r="N588" s="53" t="n">
        <f aca="false">IF(COUNT('Business Case'!B11:G11)=0,"",H588+NPV(G588,I588:M588))</f>
        <v>-436229442.027406</v>
      </c>
      <c r="P588" s="54" t="n">
        <f aca="true">RAND()</f>
        <v>0.504536564598476</v>
      </c>
      <c r="Q588" s="54" t="n">
        <f aca="true">RAND()</f>
        <v>0.1248831801826</v>
      </c>
      <c r="R588" s="54" t="n">
        <f aca="true">RAND()</f>
        <v>0.39842125725578</v>
      </c>
      <c r="S588" s="54" t="n">
        <f aca="true">RAND()</f>
        <v>0.204650298885377</v>
      </c>
      <c r="T588" s="54" t="n">
        <f aca="true">RAND()</f>
        <v>0.281992175936083</v>
      </c>
      <c r="U588" s="54" t="n">
        <f aca="true">RAND()</f>
        <v>0.49220999448228</v>
      </c>
    </row>
    <row r="589" customFormat="false" ht="15" hidden="false" customHeight="false" outlineLevel="0" collapsed="false">
      <c r="A589" s="50" t="n">
        <v>509</v>
      </c>
      <c r="B589" s="51" t="n">
        <f aca="false">1+IF($G$6=$E$6,$F$6,IF(P589&lt;($F$6-$E$6)/($G$6-$E$6),$E$6+SQRT(P589*($G$6-$E$6)*($F$6-$E$6)),$G$6-SQRT((1-P589)*($G$6-$E$6)*($G$6-$F$6))))</f>
        <v>0.998642704347031</v>
      </c>
      <c r="C589" s="51" t="n">
        <f aca="false">1+IF($G$7=$E$7,$F$7,IF(Q589&lt;($F$7-$E$7)/($G$7-$E$7),$E$7+SQRT(Q589*($G$7-$E$7)*($F$7-$E$7)),$G$7-SQRT((1-Q589)*($G$7-$E$7)*($G$7-$F$7))))</f>
        <v>1.0265268920526</v>
      </c>
      <c r="D589" s="51" t="n">
        <f aca="false">1+IF($G$8=$E$8,$F$8,IF(R589&lt;($F$8-$E$8)/($G$8-$E$8),$E$8+SQRT(R589*($G$8-$E$8)*($F$8-$E$8)),$G$8-SQRT((1-R589)*($G$8-$E$8)*($G$8-$F$8))))</f>
        <v>1.05381575968328</v>
      </c>
      <c r="E589" s="51" t="n">
        <f aca="false">1+IF($G$9=$E$9,$F$9,IF(S589&lt;($F$9-$E$9)/($G$9-$E$9),$E$9+SQRT(S589*($G$9-$E$9)*($F$9-$E$9)),$G$9-SQRT((1-S589)*($G$9-$E$9)*($G$9-$F$9))))</f>
        <v>0.995796953830128</v>
      </c>
      <c r="F589" s="51" t="n">
        <f aca="false">1+IF($G$10=$E$10,$F$10,IF(T589&lt;($F$10-$E$10)/($G$10-$E$10),$E$10+SQRT(T589*($G$10-$E$10)*($F$10-$E$10)),$G$10-SQRT((1-T589)*($G$10-$E$10)*($G$10-$F$10))))</f>
        <v>1.01022369640475</v>
      </c>
      <c r="G589" s="52" t="n">
        <f aca="false">IF($G$11=$E$11,$F$11,IF(U589&lt;($F$11-$E$11)/($G$11-$E$11),$E$11+SQRT(U589*($G$11-$E$11)*($F$11-$E$11)),$G$11-SQRT((1-U589)*($G$11-$E$11)*($G$11-$F$11))))</f>
        <v>0.0961534233072697</v>
      </c>
      <c r="H589" s="53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-2020447392.8095</v>
      </c>
      <c r="I589" s="53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-9889210.02555046</v>
      </c>
      <c r="J589" s="53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275989201.810715</v>
      </c>
      <c r="K589" s="53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612378798.467217</v>
      </c>
      <c r="L589" s="53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743100219.337103</v>
      </c>
      <c r="M589" s="53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937957612.421657</v>
      </c>
      <c r="N589" s="53" t="n">
        <f aca="false">IF(COUNT('Business Case'!B11:G11)=0,"",H589+NPV(G589,I589:M589))</f>
        <v>-227427631.967942</v>
      </c>
      <c r="P589" s="54" t="n">
        <f aca="true">RAND()</f>
        <v>0.644236973647345</v>
      </c>
      <c r="Q589" s="54" t="n">
        <f aca="true">RAND()</f>
        <v>0.709607459310662</v>
      </c>
      <c r="R589" s="54" t="n">
        <f aca="true">RAND()</f>
        <v>0.934075534522696</v>
      </c>
      <c r="S589" s="54" t="n">
        <f aca="true">RAND()</f>
        <v>0.279648130682513</v>
      </c>
      <c r="T589" s="54" t="n">
        <f aca="true">RAND()</f>
        <v>0.279699091874474</v>
      </c>
      <c r="U589" s="54" t="n">
        <f aca="true">RAND()</f>
        <v>0.1262153946615</v>
      </c>
    </row>
    <row r="590" customFormat="false" ht="15" hidden="false" customHeight="false" outlineLevel="0" collapsed="false">
      <c r="A590" s="50" t="n">
        <v>510</v>
      </c>
      <c r="B590" s="51" t="n">
        <f aca="false">1+IF($G$6=$E$6,$F$6,IF(P590&lt;($F$6-$E$6)/($G$6-$E$6),$E$6+SQRT(P590*($G$6-$E$6)*($F$6-$E$6)),$G$6-SQRT((1-P590)*($G$6-$E$6)*($G$6-$F$6))))</f>
        <v>0.945975542451077</v>
      </c>
      <c r="C590" s="51" t="n">
        <f aca="false">1+IF($G$7=$E$7,$F$7,IF(Q590&lt;($F$7-$E$7)/($G$7-$E$7),$E$7+SQRT(Q590*($G$7-$E$7)*($F$7-$E$7)),$G$7-SQRT((1-Q590)*($G$7-$E$7)*($G$7-$F$7))))</f>
        <v>0.928894127358909</v>
      </c>
      <c r="D590" s="51" t="n">
        <f aca="false">1+IF($G$8=$E$8,$F$8,IF(R590&lt;($F$8-$E$8)/($G$8-$E$8),$E$8+SQRT(R590*($G$8-$E$8)*($F$8-$E$8)),$G$8-SQRT((1-R590)*($G$8-$E$8)*($G$8-$F$8))))</f>
        <v>0.977806355860594</v>
      </c>
      <c r="E590" s="51" t="n">
        <f aca="false">1+IF($G$9=$E$9,$F$9,IF(S590&lt;($F$9-$E$9)/($G$9-$E$9),$E$9+SQRT(S590*($G$9-$E$9)*($F$9-$E$9)),$G$9-SQRT((1-S590)*($G$9-$E$9)*($G$9-$F$9))))</f>
        <v>1.0520704724711</v>
      </c>
      <c r="F590" s="51" t="n">
        <f aca="false">1+IF($G$10=$E$10,$F$10,IF(T590&lt;($F$10-$E$10)/($G$10-$E$10),$E$10+SQRT(T590*($G$10-$E$10)*($F$10-$E$10)),$G$10-SQRT((1-T590)*($G$10-$E$10)*($G$10-$F$10))))</f>
        <v>0.995684597369852</v>
      </c>
      <c r="G590" s="52" t="n">
        <f aca="false">IF($G$11=$E$11,$F$11,IF(U590&lt;($F$11-$E$11)/($G$11-$E$11),$E$11+SQRT(U590*($G$11-$E$11)*($F$11-$E$11)),$G$11-SQRT((1-U590)*($G$11-$E$11)*($G$11-$F$11))))</f>
        <v>0.108800435325119</v>
      </c>
      <c r="H590" s="53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-1991369194.7397</v>
      </c>
      <c r="I590" s="53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-39963557.8128988</v>
      </c>
      <c r="J590" s="53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214798150.06883</v>
      </c>
      <c r="K590" s="53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519344087.819052</v>
      </c>
      <c r="L590" s="53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634632913.627797</v>
      </c>
      <c r="M590" s="53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801658324.45939</v>
      </c>
      <c r="N590" s="53" t="n">
        <f aca="false">IF(COUNT('Business Case'!B11:G11)=0,"",H590+NPV(G590,I590:M590))</f>
        <v>-573536604.858176</v>
      </c>
      <c r="P590" s="54" t="n">
        <f aca="true">RAND()</f>
        <v>0.0702842505862172</v>
      </c>
      <c r="Q590" s="54" t="n">
        <f aca="true">RAND()</f>
        <v>0.237338515251637</v>
      </c>
      <c r="R590" s="54" t="n">
        <f aca="true">RAND()</f>
        <v>0.118952834807071</v>
      </c>
      <c r="S590" s="54" t="n">
        <f aca="true">RAND()</f>
        <v>0.846850692723729</v>
      </c>
      <c r="T590" s="54" t="n">
        <f aca="true">RAND()</f>
        <v>0.166966594947638</v>
      </c>
      <c r="U590" s="54" t="n">
        <f aca="true">RAND()</f>
        <v>0.790949585155265</v>
      </c>
    </row>
    <row r="591" customFormat="false" ht="15" hidden="false" customHeight="false" outlineLevel="0" collapsed="false">
      <c r="A591" s="50" t="n">
        <v>511</v>
      </c>
      <c r="B591" s="51" t="n">
        <f aca="false">1+IF($G$6=$E$6,$F$6,IF(P591&lt;($F$6-$E$6)/($G$6-$E$6),$E$6+SQRT(P591*($G$6-$E$6)*($F$6-$E$6)),$G$6-SQRT((1-P591)*($G$6-$E$6)*($G$6-$F$6))))</f>
        <v>0.991257049440732</v>
      </c>
      <c r="C591" s="51" t="n">
        <f aca="false">1+IF($G$7=$E$7,$F$7,IF(Q591&lt;($F$7-$E$7)/($G$7-$E$7),$E$7+SQRT(Q591*($G$7-$E$7)*($F$7-$E$7)),$G$7-SQRT((1-Q591)*($G$7-$E$7)*($G$7-$F$7))))</f>
        <v>0.862920270975456</v>
      </c>
      <c r="D591" s="51" t="n">
        <f aca="false">1+IF($G$8=$E$8,$F$8,IF(R591&lt;($F$8-$E$8)/($G$8-$E$8),$E$8+SQRT(R591*($G$8-$E$8)*($F$8-$E$8)),$G$8-SQRT((1-R591)*($G$8-$E$8)*($G$8-$F$8))))</f>
        <v>1.01254916853248</v>
      </c>
      <c r="E591" s="51" t="n">
        <f aca="false">1+IF($G$9=$E$9,$F$9,IF(S591&lt;($F$9-$E$9)/($G$9-$E$9),$E$9+SQRT(S591*($G$9-$E$9)*($F$9-$E$9)),$G$9-SQRT((1-S591)*($G$9-$E$9)*($G$9-$F$9))))</f>
        <v>1.00249114307126</v>
      </c>
      <c r="F591" s="51" t="n">
        <f aca="false">1+IF($G$10=$E$10,$F$10,IF(T591&lt;($F$10-$E$10)/($G$10-$E$10),$E$10+SQRT(T591*($G$10-$E$10)*($F$10-$E$10)),$G$10-SQRT((1-T591)*($G$10-$E$10)*($G$10-$F$10))))</f>
        <v>1.02560150588925</v>
      </c>
      <c r="G591" s="52" t="n">
        <f aca="false">IF($G$11=$E$11,$F$11,IF(U591&lt;($F$11-$E$11)/($G$11-$E$11),$E$11+SQRT(U591*($G$11-$E$11)*($F$11-$E$11)),$G$11-SQRT((1-U591)*($G$11-$E$11)*($G$11-$F$11))))</f>
        <v>0.108168872584464</v>
      </c>
      <c r="H591" s="53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-2051203011.7785</v>
      </c>
      <c r="I591" s="53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-36132395.9777107</v>
      </c>
      <c r="J591" s="53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217192280.738869</v>
      </c>
      <c r="K591" s="53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521797032.74991</v>
      </c>
      <c r="L591" s="53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635800379.362525</v>
      </c>
      <c r="M591" s="53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798390211.75151</v>
      </c>
      <c r="N591" s="53" t="n">
        <f aca="false">IF(COUNT('Business Case'!B11:G11)=0,"",H591+NPV(G591,I591:M591))</f>
        <v>-624189644.974857</v>
      </c>
      <c r="P591" s="54" t="n">
        <f aca="true">RAND()</f>
        <v>0.528913239062382</v>
      </c>
      <c r="Q591" s="54" t="n">
        <f aca="true">RAND()</f>
        <v>0.0565565785660684</v>
      </c>
      <c r="R591" s="54" t="n">
        <f aca="true">RAND()</f>
        <v>0.562537051378829</v>
      </c>
      <c r="S591" s="54" t="n">
        <f aca="true">RAND()</f>
        <v>0.366134854696637</v>
      </c>
      <c r="T591" s="54" t="n">
        <f aca="true">RAND()</f>
        <v>0.391703305038067</v>
      </c>
      <c r="U591" s="54" t="n">
        <f aca="true">RAND()</f>
        <v>0.766707373462237</v>
      </c>
    </row>
    <row r="592" customFormat="false" ht="15" hidden="false" customHeight="false" outlineLevel="0" collapsed="false">
      <c r="A592" s="50" t="n">
        <v>512</v>
      </c>
      <c r="B592" s="51" t="n">
        <f aca="false">1+IF($G$6=$E$6,$F$6,IF(P592&lt;($F$6-$E$6)/($G$6-$E$6),$E$6+SQRT(P592*($G$6-$E$6)*($F$6-$E$6)),$G$6-SQRT((1-P592)*($G$6-$E$6)*($G$6-$F$6))))</f>
        <v>1.01605480635595</v>
      </c>
      <c r="C592" s="51" t="n">
        <f aca="false">1+IF($G$7=$E$7,$F$7,IF(Q592&lt;($F$7-$E$7)/($G$7-$E$7),$E$7+SQRT(Q592*($G$7-$E$7)*($F$7-$E$7)),$G$7-SQRT((1-Q592)*($G$7-$E$7)*($G$7-$F$7))))</f>
        <v>0.850766734745636</v>
      </c>
      <c r="D592" s="51" t="n">
        <f aca="false">1+IF($G$8=$E$8,$F$8,IF(R592&lt;($F$8-$E$8)/($G$8-$E$8),$E$8+SQRT(R592*($G$8-$E$8)*($F$8-$E$8)),$G$8-SQRT((1-R592)*($G$8-$E$8)*($G$8-$F$8))))</f>
        <v>1.03619947539182</v>
      </c>
      <c r="E592" s="51" t="n">
        <f aca="false">1+IF($G$9=$E$9,$F$9,IF(S592&lt;($F$9-$E$9)/($G$9-$E$9),$E$9+SQRT(S592*($G$9-$E$9)*($F$9-$E$9)),$G$9-SQRT((1-S592)*($G$9-$E$9)*($G$9-$F$9))))</f>
        <v>0.998354618911981</v>
      </c>
      <c r="F592" s="51" t="n">
        <f aca="false">1+IF($G$10=$E$10,$F$10,IF(T592&lt;($F$10-$E$10)/($G$10-$E$10),$E$10+SQRT(T592*($G$10-$E$10)*($F$10-$E$10)),$G$10-SQRT((1-T592)*($G$10-$E$10)*($G$10-$F$10))))</f>
        <v>1.17946048354962</v>
      </c>
      <c r="G592" s="52" t="n">
        <f aca="false">IF($G$11=$E$11,$F$11,IF(U592&lt;($F$11-$E$11)/($G$11-$E$11),$E$11+SQRT(U592*($G$11-$E$11)*($F$11-$E$11)),$G$11-SQRT((1-U592)*($G$11-$E$11)*($G$11-$F$11))))</f>
        <v>0.11610233155764</v>
      </c>
      <c r="H592" s="53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-2358920967.09924</v>
      </c>
      <c r="I592" s="53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-47987335.7840854</v>
      </c>
      <c r="J592" s="53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208749228.251442</v>
      </c>
      <c r="K592" s="53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524458816.46445</v>
      </c>
      <c r="L592" s="53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639912220.913204</v>
      </c>
      <c r="M592" s="53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804222244.64955</v>
      </c>
      <c r="N592" s="53" t="n">
        <f aca="false">IF(COUNT('Business Case'!B11:G11)=0,"",H592+NPV(G592,I592:M592))</f>
        <v>-980366771.351386</v>
      </c>
      <c r="P592" s="54" t="n">
        <f aca="true">RAND()</f>
        <v>0.880547437781064</v>
      </c>
      <c r="Q592" s="54" t="n">
        <f aca="true">RAND()</f>
        <v>0.0368180193819112</v>
      </c>
      <c r="R592" s="54" t="n">
        <f aca="true">RAND()</f>
        <v>0.815530196543116</v>
      </c>
      <c r="S592" s="54" t="n">
        <f aca="true">RAND()</f>
        <v>0.31175588934972</v>
      </c>
      <c r="T592" s="54" t="n">
        <f aca="true">RAND()</f>
        <v>0.99156256527969</v>
      </c>
      <c r="U592" s="54" t="n">
        <f aca="true">RAND()</f>
        <v>0.974680301189057</v>
      </c>
    </row>
    <row r="593" customFormat="false" ht="15" hidden="false" customHeight="false" outlineLevel="0" collapsed="false">
      <c r="A593" s="50" t="n">
        <v>513</v>
      </c>
      <c r="B593" s="51" t="n">
        <f aca="false">1+IF($G$6=$E$6,$F$6,IF(P593&lt;($F$6-$E$6)/($G$6-$E$6),$E$6+SQRT(P593*($G$6-$E$6)*($F$6-$E$6)),$G$6-SQRT((1-P593)*($G$6-$E$6)*($G$6-$F$6))))</f>
        <v>0.967796062786366</v>
      </c>
      <c r="C593" s="51" t="n">
        <f aca="false">1+IF($G$7=$E$7,$F$7,IF(Q593&lt;($F$7-$E$7)/($G$7-$E$7),$E$7+SQRT(Q593*($G$7-$E$7)*($F$7-$E$7)),$G$7-SQRT((1-Q593)*($G$7-$E$7)*($G$7-$F$7))))</f>
        <v>1.08854381716279</v>
      </c>
      <c r="D593" s="51" t="n">
        <f aca="false">1+IF($G$8=$E$8,$F$8,IF(R593&lt;($F$8-$E$8)/($G$8-$E$8),$E$8+SQRT(R593*($G$8-$E$8)*($F$8-$E$8)),$G$8-SQRT((1-R593)*($G$8-$E$8)*($G$8-$F$8))))</f>
        <v>0.964731966668993</v>
      </c>
      <c r="E593" s="51" t="n">
        <f aca="false">1+IF($G$9=$E$9,$F$9,IF(S593&lt;($F$9-$E$9)/($G$9-$E$9),$E$9+SQRT(S593*($G$9-$E$9)*($F$9-$E$9)),$G$9-SQRT((1-S593)*($G$9-$E$9)*($G$9-$F$9))))</f>
        <v>1.07449721085442</v>
      </c>
      <c r="F593" s="51" t="n">
        <f aca="false">1+IF($G$10=$E$10,$F$10,IF(T593&lt;($F$10-$E$10)/($G$10-$E$10),$E$10+SQRT(T593*($G$10-$E$10)*($F$10-$E$10)),$G$10-SQRT((1-T593)*($G$10-$E$10)*($G$10-$F$10))))</f>
        <v>1.04525066580428</v>
      </c>
      <c r="G593" s="52" t="n">
        <f aca="false">IF($G$11=$E$11,$F$11,IF(U593&lt;($F$11-$E$11)/($G$11-$E$11),$E$11+SQRT(U593*($G$11-$E$11)*($F$11-$E$11)),$G$11-SQRT((1-U593)*($G$11-$E$11)*($G$11-$F$11))))</f>
        <v>0.0995061618263497</v>
      </c>
      <c r="H593" s="53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-2090501331.60855</v>
      </c>
      <c r="I593" s="53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13357125.0747491</v>
      </c>
      <c r="J593" s="53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338645659.828027</v>
      </c>
      <c r="K593" s="53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716196727.871519</v>
      </c>
      <c r="L593" s="53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861034799.26568</v>
      </c>
      <c r="M593" s="53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1061281878.21923</v>
      </c>
      <c r="N593" s="53" t="n">
        <f aca="false">IF(COUNT('Business Case'!B11:G11)=0,"",H593+NPV(G593,I593:M593))</f>
        <v>-9805175.92088819</v>
      </c>
      <c r="P593" s="54" t="n">
        <f aca="true">RAND()</f>
        <v>0.237964960195646</v>
      </c>
      <c r="Q593" s="54" t="n">
        <f aca="true">RAND()</f>
        <v>0.928059763639602</v>
      </c>
      <c r="R593" s="54" t="n">
        <f aca="true">RAND()</f>
        <v>0.0333893602978943</v>
      </c>
      <c r="S593" s="54" t="n">
        <f aca="true">RAND()</f>
        <v>0.956640516386395</v>
      </c>
      <c r="T593" s="54" t="n">
        <f aca="true">RAND()</f>
        <v>0.521052871319608</v>
      </c>
      <c r="U593" s="54" t="n">
        <f aca="true">RAND()</f>
        <v>0.301223708895825</v>
      </c>
    </row>
    <row r="594" customFormat="false" ht="15" hidden="false" customHeight="false" outlineLevel="0" collapsed="false">
      <c r="A594" s="50" t="n">
        <v>514</v>
      </c>
      <c r="B594" s="51" t="n">
        <f aca="false">1+IF($G$6=$E$6,$F$6,IF(P594&lt;($F$6-$E$6)/($G$6-$E$6),$E$6+SQRT(P594*($G$6-$E$6)*($F$6-$E$6)),$G$6-SQRT((1-P594)*($G$6-$E$6)*($G$6-$F$6))))</f>
        <v>0.964743301981158</v>
      </c>
      <c r="C594" s="51" t="n">
        <f aca="false">1+IF($G$7=$E$7,$F$7,IF(Q594&lt;($F$7-$E$7)/($G$7-$E$7),$E$7+SQRT(Q594*($G$7-$E$7)*($F$7-$E$7)),$G$7-SQRT((1-Q594)*($G$7-$E$7)*($G$7-$F$7))))</f>
        <v>0.953832341154911</v>
      </c>
      <c r="D594" s="51" t="n">
        <f aca="false">1+IF($G$8=$E$8,$F$8,IF(R594&lt;($F$8-$E$8)/($G$8-$E$8),$E$8+SQRT(R594*($G$8-$E$8)*($F$8-$E$8)),$G$8-SQRT((1-R594)*($G$8-$E$8)*($G$8-$F$8))))</f>
        <v>0.97824131205573</v>
      </c>
      <c r="E594" s="51" t="n">
        <f aca="false">1+IF($G$9=$E$9,$F$9,IF(S594&lt;($F$9-$E$9)/($G$9-$E$9),$E$9+SQRT(S594*($G$9-$E$9)*($F$9-$E$9)),$G$9-SQRT((1-S594)*($G$9-$E$9)*($G$9-$F$9))))</f>
        <v>0.972698252447939</v>
      </c>
      <c r="F594" s="51" t="n">
        <f aca="false">1+IF($G$10=$E$10,$F$10,IF(T594&lt;($F$10-$E$10)/($G$10-$E$10),$E$10+SQRT(T594*($G$10-$E$10)*($F$10-$E$10)),$G$10-SQRT((1-T594)*($G$10-$E$10)*($G$10-$F$10))))</f>
        <v>1.08688949375258</v>
      </c>
      <c r="G594" s="52" t="n">
        <f aca="false">IF($G$11=$E$11,$F$11,IF(U594&lt;($F$11-$E$11)/($G$11-$E$11),$E$11+SQRT(U594*($G$11-$E$11)*($F$11-$E$11)),$G$11-SQRT((1-U594)*($G$11-$E$11)*($G$11-$F$11))))</f>
        <v>0.104422947808593</v>
      </c>
      <c r="H594" s="53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-2173778987.50516</v>
      </c>
      <c r="I594" s="53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-18658567.3777423</v>
      </c>
      <c r="J594" s="53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257392848.42169</v>
      </c>
      <c r="K594" s="53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587788738.908752</v>
      </c>
      <c r="L594" s="53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711608105.71111</v>
      </c>
      <c r="M594" s="53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886520360.825117</v>
      </c>
      <c r="N594" s="53" t="n">
        <f aca="false">IF(COUNT('Business Case'!B11:G11)=0,"",H594+NPV(G594,I594:M594))</f>
        <v>-525498753.997155</v>
      </c>
      <c r="P594" s="54" t="n">
        <f aca="true">RAND()</f>
        <v>0.208537820018448</v>
      </c>
      <c r="Q594" s="54" t="n">
        <f aca="true">RAND()</f>
        <v>0.338062702645729</v>
      </c>
      <c r="R594" s="54" t="n">
        <f aca="true">RAND()</f>
        <v>0.122703339481402</v>
      </c>
      <c r="S594" s="54" t="n">
        <f aca="true">RAND()</f>
        <v>0.0686947552253792</v>
      </c>
      <c r="T594" s="54" t="n">
        <f aca="true">RAND()</f>
        <v>0.744120267529054</v>
      </c>
      <c r="U594" s="54" t="n">
        <f aca="true">RAND()</f>
        <v>0.595592408376981</v>
      </c>
    </row>
    <row r="595" customFormat="false" ht="15" hidden="false" customHeight="false" outlineLevel="0" collapsed="false">
      <c r="A595" s="50" t="n">
        <v>515</v>
      </c>
      <c r="B595" s="51" t="n">
        <f aca="false">1+IF($G$6=$E$6,$F$6,IF(P595&lt;($F$6-$E$6)/($G$6-$E$6),$E$6+SQRT(P595*($G$6-$E$6)*($F$6-$E$6)),$G$6-SQRT((1-P595)*($G$6-$E$6)*($G$6-$F$6))))</f>
        <v>0.930135156844749</v>
      </c>
      <c r="C595" s="51" t="n">
        <f aca="false">1+IF($G$7=$E$7,$F$7,IF(Q595&lt;($F$7-$E$7)/($G$7-$E$7),$E$7+SQRT(Q595*($G$7-$E$7)*($F$7-$E$7)),$G$7-SQRT((1-Q595)*($G$7-$E$7)*($G$7-$F$7))))</f>
        <v>0.83857276576783</v>
      </c>
      <c r="D595" s="51" t="n">
        <f aca="false">1+IF($G$8=$E$8,$F$8,IF(R595&lt;($F$8-$E$8)/($G$8-$E$8),$E$8+SQRT(R595*($G$8-$E$8)*($F$8-$E$8)),$G$8-SQRT((1-R595)*($G$8-$E$8)*($G$8-$F$8))))</f>
        <v>0.975018011946056</v>
      </c>
      <c r="E595" s="51" t="n">
        <f aca="false">1+IF($G$9=$E$9,$F$9,IF(S595&lt;($F$9-$E$9)/($G$9-$E$9),$E$9+SQRT(S595*($G$9-$E$9)*($F$9-$E$9)),$G$9-SQRT((1-S595)*($G$9-$E$9)*($G$9-$F$9))))</f>
        <v>1.07023681914616</v>
      </c>
      <c r="F595" s="51" t="n">
        <f aca="false">1+IF($G$10=$E$10,$F$10,IF(T595&lt;($F$10-$E$10)/($G$10-$E$10),$E$10+SQRT(T595*($G$10-$E$10)*($F$10-$E$10)),$G$10-SQRT((1-T595)*($G$10-$E$10)*($G$10-$F$10))))</f>
        <v>1.13262298518538</v>
      </c>
      <c r="G595" s="52" t="n">
        <f aca="false">IF($G$11=$E$11,$F$11,IF(U595&lt;($F$11-$E$11)/($G$11-$E$11),$E$11+SQRT(U595*($G$11-$E$11)*($F$11-$E$11)),$G$11-SQRT((1-U595)*($G$11-$E$11)*($G$11-$F$11))))</f>
        <v>0.104739555626572</v>
      </c>
      <c r="H595" s="53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-2265245970.37077</v>
      </c>
      <c r="I595" s="53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-85577595.2023103</v>
      </c>
      <c r="J595" s="53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134729258.607425</v>
      </c>
      <c r="K595" s="53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411667261.67643</v>
      </c>
      <c r="L595" s="53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512059196.153624</v>
      </c>
      <c r="M595" s="53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660318937.127013</v>
      </c>
      <c r="N595" s="53" t="n">
        <f aca="false">IF(COUNT('Business Case'!B11:G11)=0,"",H595+NPV(G595,I595:M595))</f>
        <v>-1181922718.3556</v>
      </c>
      <c r="P595" s="54" t="n">
        <f aca="true">RAND()</f>
        <v>0.0107001462778805</v>
      </c>
      <c r="Q595" s="54" t="n">
        <f aca="true">RAND()</f>
        <v>0.021255117985427</v>
      </c>
      <c r="R595" s="54" t="n">
        <f aca="true">RAND()</f>
        <v>0.096292449497388</v>
      </c>
      <c r="S595" s="54" t="n">
        <f aca="true">RAND()</f>
        <v>0.940943537697422</v>
      </c>
      <c r="T595" s="54" t="n">
        <f aca="true">RAND()</f>
        <v>0.909206757493419</v>
      </c>
      <c r="U595" s="54" t="n">
        <f aca="true">RAND()</f>
        <v>0.611864729209195</v>
      </c>
    </row>
    <row r="596" customFormat="false" ht="15" hidden="false" customHeight="false" outlineLevel="0" collapsed="false">
      <c r="A596" s="50" t="n">
        <v>516</v>
      </c>
      <c r="B596" s="51" t="n">
        <f aca="false">1+IF($G$6=$E$6,$F$6,IF(P596&lt;($F$6-$E$6)/($G$6-$E$6),$E$6+SQRT(P596*($G$6-$E$6)*($F$6-$E$6)),$G$6-SQRT((1-P596)*($G$6-$E$6)*($G$6-$F$6))))</f>
        <v>0.987853875152669</v>
      </c>
      <c r="C596" s="51" t="n">
        <f aca="false">1+IF($G$7=$E$7,$F$7,IF(Q596&lt;($F$7-$E$7)/($G$7-$E$7),$E$7+SQRT(Q596*($G$7-$E$7)*($F$7-$E$7)),$G$7-SQRT((1-Q596)*($G$7-$E$7)*($G$7-$F$7))))</f>
        <v>0.935826263590108</v>
      </c>
      <c r="D596" s="51" t="n">
        <f aca="false">1+IF($G$8=$E$8,$F$8,IF(R596&lt;($F$8-$E$8)/($G$8-$E$8),$E$8+SQRT(R596*($G$8-$E$8)*($F$8-$E$8)),$G$8-SQRT((1-R596)*($G$8-$E$8)*($G$8-$F$8))))</f>
        <v>1.00330153499521</v>
      </c>
      <c r="E596" s="51" t="n">
        <f aca="false">1+IF($G$9=$E$9,$F$9,IF(S596&lt;($F$9-$E$9)/($G$9-$E$9),$E$9+SQRT(S596*($G$9-$E$9)*($F$9-$E$9)),$G$9-SQRT((1-S596)*($G$9-$E$9)*($G$9-$F$9))))</f>
        <v>1.00018733747705</v>
      </c>
      <c r="F596" s="51" t="n">
        <f aca="false">1+IF($G$10=$E$10,$F$10,IF(T596&lt;($F$10-$E$10)/($G$10-$E$10),$E$10+SQRT(T596*($G$10-$E$10)*($F$10-$E$10)),$G$10-SQRT((1-T596)*($G$10-$E$10)*($G$10-$F$10))))</f>
        <v>1.13586108122522</v>
      </c>
      <c r="G596" s="52" t="n">
        <f aca="false">IF($G$11=$E$11,$F$11,IF(U596&lt;($F$11-$E$11)/($G$11-$E$11),$E$11+SQRT(U596*($G$11-$E$11)*($F$11-$E$11)),$G$11-SQRT((1-U596)*($G$11-$E$11)*($G$11-$F$11))))</f>
        <v>0.104276597371344</v>
      </c>
      <c r="H596" s="53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-2271722162.45045</v>
      </c>
      <c r="I596" s="53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-27187600.1714546</v>
      </c>
      <c r="J596" s="53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249361532.882468</v>
      </c>
      <c r="K596" s="53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582703719.997652</v>
      </c>
      <c r="L596" s="53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706836088.158038</v>
      </c>
      <c r="M596" s="53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882557369.107969</v>
      </c>
      <c r="N596" s="53" t="n">
        <f aca="false">IF(COUNT('Business Case'!B11:G11)=0,"",H596+NPV(G596,I596:M596))</f>
        <v>-646312098.381608</v>
      </c>
      <c r="P596" s="54" t="n">
        <f aca="true">RAND()</f>
        <v>0.479598788878543</v>
      </c>
      <c r="Q596" s="54" t="n">
        <f aca="true">RAND()</f>
        <v>0.263553912583564</v>
      </c>
      <c r="R596" s="54" t="n">
        <f aca="true">RAND()</f>
        <v>0.43436014095272</v>
      </c>
      <c r="S596" s="54" t="n">
        <f aca="true">RAND()</f>
        <v>0.335828826672041</v>
      </c>
      <c r="T596" s="54" t="n">
        <f aca="true">RAND()</f>
        <v>0.917723981968051</v>
      </c>
      <c r="U596" s="54" t="n">
        <f aca="true">RAND()</f>
        <v>0.587957682961944</v>
      </c>
    </row>
    <row r="597" customFormat="false" ht="15" hidden="false" customHeight="false" outlineLevel="0" collapsed="false">
      <c r="A597" s="50" t="n">
        <v>517</v>
      </c>
      <c r="B597" s="51" t="n">
        <f aca="false">1+IF($G$6=$E$6,$F$6,IF(P597&lt;($F$6-$E$6)/($G$6-$E$6),$E$6+SQRT(P597*($G$6-$E$6)*($F$6-$E$6)),$G$6-SQRT((1-P597)*($G$6-$E$6)*($G$6-$F$6))))</f>
        <v>0.975677242107645</v>
      </c>
      <c r="C597" s="51" t="n">
        <f aca="false">1+IF($G$7=$E$7,$F$7,IF(Q597&lt;($F$7-$E$7)/($G$7-$E$7),$E$7+SQRT(Q597*($G$7-$E$7)*($F$7-$E$7)),$G$7-SQRT((1-Q597)*($G$7-$E$7)*($G$7-$F$7))))</f>
        <v>1.00614486046637</v>
      </c>
      <c r="D597" s="51" t="n">
        <f aca="false">1+IF($G$8=$E$8,$F$8,IF(R597&lt;($F$8-$E$8)/($G$8-$E$8),$E$8+SQRT(R597*($G$8-$E$8)*($F$8-$E$8)),$G$8-SQRT((1-R597)*($G$8-$E$8)*($G$8-$F$8))))</f>
        <v>0.980946605504763</v>
      </c>
      <c r="E597" s="51" t="n">
        <f aca="false">1+IF($G$9=$E$9,$F$9,IF(S597&lt;($F$9-$E$9)/($G$9-$E$9),$E$9+SQRT(S597*($G$9-$E$9)*($F$9-$E$9)),$G$9-SQRT((1-S597)*($G$9-$E$9)*($G$9-$F$9))))</f>
        <v>1.03457996875061</v>
      </c>
      <c r="F597" s="51" t="n">
        <f aca="false">1+IF($G$10=$E$10,$F$10,IF(T597&lt;($F$10-$E$10)/($G$10-$E$10),$E$10+SQRT(T597*($G$10-$E$10)*($F$10-$E$10)),$G$10-SQRT((1-T597)*($G$10-$E$10)*($G$10-$F$10))))</f>
        <v>0.986363390123864</v>
      </c>
      <c r="G597" s="52" t="n">
        <f aca="false">IF($G$11=$E$11,$F$11,IF(U597&lt;($F$11-$E$11)/($G$11-$E$11),$E$11+SQRT(U597*($G$11-$E$11)*($F$11-$E$11)),$G$11-SQRT((1-U597)*($G$11-$E$11)*($G$11-$F$11))))</f>
        <v>0.108243468286036</v>
      </c>
      <c r="H597" s="53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-1972726780.24773</v>
      </c>
      <c r="I597" s="53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2165126.93869247</v>
      </c>
      <c r="J597" s="53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300973774.23956</v>
      </c>
      <c r="K597" s="53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649100591.046621</v>
      </c>
      <c r="L597" s="53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782630080.009211</v>
      </c>
      <c r="M597" s="53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969226415.918536</v>
      </c>
      <c r="N597" s="53" t="n">
        <f aca="false">IF(COUNT('Business Case'!B11:G11)=0,"",H597+NPV(G597,I597:M597))</f>
        <v>-150263615.957828</v>
      </c>
      <c r="P597" s="54" t="n">
        <f aca="true">RAND()</f>
        <v>0.322912009240967</v>
      </c>
      <c r="Q597" s="54" t="n">
        <f aca="true">RAND()</f>
        <v>0.605822834852557</v>
      </c>
      <c r="R597" s="54" t="n">
        <f aca="true">RAND()</f>
        <v>0.147337291118062</v>
      </c>
      <c r="S597" s="54" t="n">
        <f aca="true">RAND()</f>
        <v>0.714681300755236</v>
      </c>
      <c r="T597" s="54" t="n">
        <f aca="true">RAND()</f>
        <v>0.105783691304024</v>
      </c>
      <c r="U597" s="54" t="n">
        <f aca="true">RAND()</f>
        <v>0.769639936764278</v>
      </c>
    </row>
    <row r="598" customFormat="false" ht="15" hidden="false" customHeight="false" outlineLevel="0" collapsed="false">
      <c r="A598" s="50" t="n">
        <v>518</v>
      </c>
      <c r="B598" s="51" t="n">
        <f aca="false">1+IF($G$6=$E$6,$F$6,IF(P598&lt;($F$6-$E$6)/($G$6-$E$6),$E$6+SQRT(P598*($G$6-$E$6)*($F$6-$E$6)),$G$6-SQRT((1-P598)*($G$6-$E$6)*($G$6-$F$6))))</f>
        <v>0.973802820220146</v>
      </c>
      <c r="C598" s="51" t="n">
        <f aca="false">1+IF($G$7=$E$7,$F$7,IF(Q598&lt;($F$7-$E$7)/($G$7-$E$7),$E$7+SQRT(Q598*($G$7-$E$7)*($F$7-$E$7)),$G$7-SQRT((1-Q598)*($G$7-$E$7)*($G$7-$F$7))))</f>
        <v>0.957203092536506</v>
      </c>
      <c r="D598" s="51" t="n">
        <f aca="false">1+IF($G$8=$E$8,$F$8,IF(R598&lt;($F$8-$E$8)/($G$8-$E$8),$E$8+SQRT(R598*($G$8-$E$8)*($F$8-$E$8)),$G$8-SQRT((1-R598)*($G$8-$E$8)*($G$8-$F$8))))</f>
        <v>0.981059825279888</v>
      </c>
      <c r="E598" s="51" t="n">
        <f aca="false">1+IF($G$9=$E$9,$F$9,IF(S598&lt;($F$9-$E$9)/($G$9-$E$9),$E$9+SQRT(S598*($G$9-$E$9)*($F$9-$E$9)),$G$9-SQRT((1-S598)*($G$9-$E$9)*($G$9-$F$9))))</f>
        <v>0.985514557305124</v>
      </c>
      <c r="F598" s="51" t="n">
        <f aca="false">1+IF($G$10=$E$10,$F$10,IF(T598&lt;($F$10-$E$10)/($G$10-$E$10),$E$10+SQRT(T598*($G$10-$E$10)*($F$10-$E$10)),$G$10-SQRT((1-T598)*($G$10-$E$10)*($G$10-$F$10))))</f>
        <v>1.179168533216</v>
      </c>
      <c r="G598" s="52" t="n">
        <f aca="false">IF($G$11=$E$11,$F$11,IF(U598&lt;($F$11-$E$11)/($G$11-$E$11),$E$11+SQRT(U598*($G$11-$E$11)*($F$11-$E$11)),$G$11-SQRT((1-U598)*($G$11-$E$11)*($G$11-$F$11))))</f>
        <v>0.104569827464308</v>
      </c>
      <c r="H598" s="53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-2358337066.43199</v>
      </c>
      <c r="I598" s="53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-23629811.8710568</v>
      </c>
      <c r="J598" s="53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259118866.990755</v>
      </c>
      <c r="K598" s="53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600825972.513366</v>
      </c>
      <c r="L598" s="53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727289843.708956</v>
      </c>
      <c r="M598" s="53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904468557.371383</v>
      </c>
      <c r="N598" s="53" t="n">
        <f aca="false">IF(COUNT('Business Case'!B11:G11)=0,"",H598+NPV(G598,I598:M598))</f>
        <v>-682859187.173923</v>
      </c>
      <c r="P598" s="54" t="n">
        <f aca="true">RAND()</f>
        <v>0.301535777462644</v>
      </c>
      <c r="Q598" s="54" t="n">
        <f aca="true">RAND()</f>
        <v>0.353040175757733</v>
      </c>
      <c r="R598" s="54" t="n">
        <f aca="true">RAND()</f>
        <v>0.148417345602644</v>
      </c>
      <c r="S598" s="54" t="n">
        <f aca="true">RAND()</f>
        <v>0.168171170743859</v>
      </c>
      <c r="T598" s="54" t="n">
        <f aca="true">RAND()</f>
        <v>0.991320999832538</v>
      </c>
      <c r="U598" s="54" t="n">
        <f aca="true">RAND()</f>
        <v>0.603182959197939</v>
      </c>
    </row>
    <row r="599" customFormat="false" ht="15" hidden="false" customHeight="false" outlineLevel="0" collapsed="false">
      <c r="A599" s="50" t="n">
        <v>519</v>
      </c>
      <c r="B599" s="51" t="n">
        <f aca="false">1+IF($G$6=$E$6,$F$6,IF(P599&lt;($F$6-$E$6)/($G$6-$E$6),$E$6+SQRT(P599*($G$6-$E$6)*($F$6-$E$6)),$G$6-SQRT((1-P599)*($G$6-$E$6)*($G$6-$F$6))))</f>
        <v>0.995657658195677</v>
      </c>
      <c r="C599" s="51" t="n">
        <f aca="false">1+IF($G$7=$E$7,$F$7,IF(Q599&lt;($F$7-$E$7)/($G$7-$E$7),$E$7+SQRT(Q599*($G$7-$E$7)*($F$7-$E$7)),$G$7-SQRT((1-Q599)*($G$7-$E$7)*($G$7-$F$7))))</f>
        <v>0.920074941922984</v>
      </c>
      <c r="D599" s="51" t="n">
        <f aca="false">1+IF($G$8=$E$8,$F$8,IF(R599&lt;($F$8-$E$8)/($G$8-$E$8),$E$8+SQRT(R599*($G$8-$E$8)*($F$8-$E$8)),$G$8-SQRT((1-R599)*($G$8-$E$8)*($G$8-$F$8))))</f>
        <v>0.99847507583536</v>
      </c>
      <c r="E599" s="51" t="n">
        <f aca="false">1+IF($G$9=$E$9,$F$9,IF(S599&lt;($F$9-$E$9)/($G$9-$E$9),$E$9+SQRT(S599*($G$9-$E$9)*($F$9-$E$9)),$G$9-SQRT((1-S599)*($G$9-$E$9)*($G$9-$F$9))))</f>
        <v>1.05383508284658</v>
      </c>
      <c r="F599" s="51" t="n">
        <f aca="false">1+IF($G$10=$E$10,$F$10,IF(T599&lt;($F$10-$E$10)/($G$10-$E$10),$E$10+SQRT(T599*($G$10-$E$10)*($F$10-$E$10)),$G$10-SQRT((1-T599)*($G$10-$E$10)*($G$10-$F$10))))</f>
        <v>1.01753131366108</v>
      </c>
      <c r="G599" s="52" t="n">
        <f aca="false">IF($G$11=$E$11,$F$11,IF(U599&lt;($F$11-$E$11)/($G$11-$E$11),$E$11+SQRT(U599*($G$11-$E$11)*($F$11-$E$11)),$G$11-SQRT((1-U599)*($G$11-$E$11)*($G$11-$F$11))))</f>
        <v>0.105976323672012</v>
      </c>
      <c r="H599" s="53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-2035062627.32216</v>
      </c>
      <c r="I599" s="53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-19049366.6034747</v>
      </c>
      <c r="J599" s="53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260999316.620074</v>
      </c>
      <c r="K599" s="53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591924565.526676</v>
      </c>
      <c r="L599" s="53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716933839.72128</v>
      </c>
      <c r="M599" s="53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891062261.881759</v>
      </c>
      <c r="N599" s="53" t="n">
        <f aca="false">IF(COUNT('Business Case'!B11:G11)=0,"",H599+NPV(G599,I599:M599))</f>
        <v>-383690071.51262</v>
      </c>
      <c r="P599" s="54" t="n">
        <f aca="true">RAND()</f>
        <v>0.596258462880607</v>
      </c>
      <c r="Q599" s="54" t="n">
        <f aca="true">RAND()</f>
        <v>0.20597130968297</v>
      </c>
      <c r="R599" s="54" t="n">
        <f aca="true">RAND()</f>
        <v>0.361512765729829</v>
      </c>
      <c r="S599" s="54" t="n">
        <f aca="true">RAND()</f>
        <v>0.857920028281208</v>
      </c>
      <c r="T599" s="54" t="n">
        <f aca="true">RAND()</f>
        <v>0.334103570114985</v>
      </c>
      <c r="U599" s="54" t="n">
        <f aca="true">RAND()</f>
        <v>0.67222750374636</v>
      </c>
    </row>
    <row r="600" customFormat="false" ht="15" hidden="false" customHeight="false" outlineLevel="0" collapsed="false">
      <c r="A600" s="50" t="n">
        <v>520</v>
      </c>
      <c r="B600" s="51" t="n">
        <f aca="false">1+IF($G$6=$E$6,$F$6,IF(P600&lt;($F$6-$E$6)/($G$6-$E$6),$E$6+SQRT(P600*($G$6-$E$6)*($F$6-$E$6)),$G$6-SQRT((1-P600)*($G$6-$E$6)*($G$6-$F$6))))</f>
        <v>1.02058777619486</v>
      </c>
      <c r="C600" s="51" t="n">
        <f aca="false">1+IF($G$7=$E$7,$F$7,IF(Q600&lt;($F$7-$E$7)/($G$7-$E$7),$E$7+SQRT(Q600*($G$7-$E$7)*($F$7-$E$7)),$G$7-SQRT((1-Q600)*($G$7-$E$7)*($G$7-$F$7))))</f>
        <v>0.967590860715753</v>
      </c>
      <c r="D600" s="51" t="n">
        <f aca="false">1+IF($G$8=$E$8,$F$8,IF(R600&lt;($F$8-$E$8)/($G$8-$E$8),$E$8+SQRT(R600*($G$8-$E$8)*($F$8-$E$8)),$G$8-SQRT((1-R600)*($G$8-$E$8)*($G$8-$F$8))))</f>
        <v>0.989080114864267</v>
      </c>
      <c r="E600" s="51" t="n">
        <f aca="false">1+IF($G$9=$E$9,$F$9,IF(S600&lt;($F$9-$E$9)/($G$9-$E$9),$E$9+SQRT(S600*($G$9-$E$9)*($F$9-$E$9)),$G$9-SQRT((1-S600)*($G$9-$E$9)*($G$9-$F$9))))</f>
        <v>1.00767707099641</v>
      </c>
      <c r="F600" s="51" t="n">
        <f aca="false">1+IF($G$10=$E$10,$F$10,IF(T600&lt;($F$10-$E$10)/($G$10-$E$10),$E$10+SQRT(T600*($G$10-$E$10)*($F$10-$E$10)),$G$10-SQRT((1-T600)*($G$10-$E$10)*($G$10-$F$10))))</f>
        <v>0.970841154891433</v>
      </c>
      <c r="G600" s="52" t="n">
        <f aca="false">IF($G$11=$E$11,$F$11,IF(U600&lt;($F$11-$E$11)/($G$11-$E$11),$E$11+SQRT(U600*($G$11-$E$11)*($F$11-$E$11)),$G$11-SQRT((1-U600)*($G$11-$E$11)*($G$11-$F$11))))</f>
        <v>0.104800641320479</v>
      </c>
      <c r="H600" s="53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-1941682309.78287</v>
      </c>
      <c r="I600" s="53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27354378.7513248</v>
      </c>
      <c r="J600" s="53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346277143.712541</v>
      </c>
      <c r="K600" s="53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713741966.418329</v>
      </c>
      <c r="L600" s="53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854177948.888773</v>
      </c>
      <c r="M600" s="53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1041884116.71399</v>
      </c>
      <c r="N600" s="53" t="n">
        <f aca="false">IF(COUNT('Business Case'!B11:G11)=0,"",H600+NPV(G600,I600:M600))</f>
        <v>102394864.862532</v>
      </c>
      <c r="P600" s="54" t="n">
        <f aca="true">RAND()</f>
        <v>0.92149282644568</v>
      </c>
      <c r="Q600" s="54" t="n">
        <f aca="true">RAND()</f>
        <v>0.401238522792097</v>
      </c>
      <c r="R600" s="54" t="n">
        <f aca="true">RAND()</f>
        <v>0.23496236581604</v>
      </c>
      <c r="S600" s="54" t="n">
        <f aca="true">RAND()</f>
        <v>0.431765118679913</v>
      </c>
      <c r="T600" s="54" t="n">
        <f aca="true">RAND()</f>
        <v>0.0347482989766958</v>
      </c>
      <c r="U600" s="54" t="n">
        <f aca="true">RAND()</f>
        <v>0.614965826218761</v>
      </c>
    </row>
    <row r="601" customFormat="false" ht="15" hidden="false" customHeight="false" outlineLevel="0" collapsed="false">
      <c r="A601" s="50" t="n">
        <v>521</v>
      </c>
      <c r="B601" s="51" t="n">
        <f aca="false">1+IF($G$6=$E$6,$F$6,IF(P601&lt;($F$6-$E$6)/($G$6-$E$6),$E$6+SQRT(P601*($G$6-$E$6)*($F$6-$E$6)),$G$6-SQRT((1-P601)*($G$6-$E$6)*($G$6-$F$6))))</f>
        <v>0.933326574361461</v>
      </c>
      <c r="C601" s="51" t="n">
        <f aca="false">1+IF($G$7=$E$7,$F$7,IF(Q601&lt;($F$7-$E$7)/($G$7-$E$7),$E$7+SQRT(Q601*($G$7-$E$7)*($F$7-$E$7)),$G$7-SQRT((1-Q601)*($G$7-$E$7)*($G$7-$F$7))))</f>
        <v>0.930748831027349</v>
      </c>
      <c r="D601" s="51" t="n">
        <f aca="false">1+IF($G$8=$E$8,$F$8,IF(R601&lt;($F$8-$E$8)/($G$8-$E$8),$E$8+SQRT(R601*($G$8-$E$8)*($F$8-$E$8)),$G$8-SQRT((1-R601)*($G$8-$E$8)*($G$8-$F$8))))</f>
        <v>1.04759709242638</v>
      </c>
      <c r="E601" s="51" t="n">
        <f aca="false">1+IF($G$9=$E$9,$F$9,IF(S601&lt;($F$9-$E$9)/($G$9-$E$9),$E$9+SQRT(S601*($G$9-$E$9)*($F$9-$E$9)),$G$9-SQRT((1-S601)*($G$9-$E$9)*($G$9-$F$9))))</f>
        <v>1.00515345876332</v>
      </c>
      <c r="F601" s="51" t="n">
        <f aca="false">1+IF($G$10=$E$10,$F$10,IF(T601&lt;($F$10-$E$10)/($G$10-$E$10),$E$10+SQRT(T601*($G$10-$E$10)*($F$10-$E$10)),$G$10-SQRT((1-T601)*($G$10-$E$10)*($G$10-$F$10))))</f>
        <v>1.12099735368154</v>
      </c>
      <c r="G601" s="52" t="n">
        <f aca="false">IF($G$11=$E$11,$F$11,IF(U601&lt;($F$11-$E$11)/($G$11-$E$11),$E$11+SQRT(U601*($G$11-$E$11)*($F$11-$E$11)),$G$11-SQRT((1-U601)*($G$11-$E$11)*($G$11-$F$11))))</f>
        <v>0.112932315485514</v>
      </c>
      <c r="H601" s="53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-2241994707.36308</v>
      </c>
      <c r="I601" s="53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-87691260.2999089</v>
      </c>
      <c r="J601" s="53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124683061.924384</v>
      </c>
      <c r="K601" s="53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393107251.832753</v>
      </c>
      <c r="L601" s="53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493920709.45412</v>
      </c>
      <c r="M601" s="53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659041802.293765</v>
      </c>
      <c r="N601" s="53" t="n">
        <f aca="false">IF(COUNT('Business Case'!B11:G11)=0,"",H601+NPV(G601,I601:M601))</f>
        <v>-1227024735.83175</v>
      </c>
      <c r="P601" s="54" t="n">
        <f aca="true">RAND()</f>
        <v>0.0184997483553697</v>
      </c>
      <c r="Q601" s="54" t="n">
        <f aca="true">RAND()</f>
        <v>0.244217954500262</v>
      </c>
      <c r="R601" s="54" t="n">
        <f aca="true">RAND()</f>
        <v>0.899043421228396</v>
      </c>
      <c r="S601" s="54" t="n">
        <f aca="true">RAND()</f>
        <v>0.400275574362568</v>
      </c>
      <c r="T601" s="54" t="n">
        <f aca="true">RAND()</f>
        <v>0.875171637493607</v>
      </c>
      <c r="U601" s="54" t="n">
        <f aca="true">RAND()</f>
        <v>0.916746392672821</v>
      </c>
    </row>
    <row r="602" customFormat="false" ht="15" hidden="false" customHeight="false" outlineLevel="0" collapsed="false">
      <c r="A602" s="50" t="n">
        <v>522</v>
      </c>
      <c r="B602" s="51" t="n">
        <f aca="false">1+IF($G$6=$E$6,$F$6,IF(P602&lt;($F$6-$E$6)/($G$6-$E$6),$E$6+SQRT(P602*($G$6-$E$6)*($F$6-$E$6)),$G$6-SQRT((1-P602)*($G$6-$E$6)*($G$6-$F$6))))</f>
        <v>0.954673770467995</v>
      </c>
      <c r="C602" s="51" t="n">
        <f aca="false">1+IF($G$7=$E$7,$F$7,IF(Q602&lt;($F$7-$E$7)/($G$7-$E$7),$E$7+SQRT(Q602*($G$7-$E$7)*($F$7-$E$7)),$G$7-SQRT((1-Q602)*($G$7-$E$7)*($G$7-$F$7))))</f>
        <v>0.882396701896574</v>
      </c>
      <c r="D602" s="51" t="n">
        <f aca="false">1+IF($G$8=$E$8,$F$8,IF(R602&lt;($F$8-$E$8)/($G$8-$E$8),$E$8+SQRT(R602*($G$8-$E$8)*($F$8-$E$8)),$G$8-SQRT((1-R602)*($G$8-$E$8)*($G$8-$F$8))))</f>
        <v>0.994720863372206</v>
      </c>
      <c r="E602" s="51" t="n">
        <f aca="false">1+IF($G$9=$E$9,$F$9,IF(S602&lt;($F$9-$E$9)/($G$9-$E$9),$E$9+SQRT(S602*($G$9-$E$9)*($F$9-$E$9)),$G$9-SQRT((1-S602)*($G$9-$E$9)*($G$9-$F$9))))</f>
        <v>1.01175172020234</v>
      </c>
      <c r="F602" s="51" t="n">
        <f aca="false">1+IF($G$10=$E$10,$F$10,IF(T602&lt;($F$10-$E$10)/($G$10-$E$10),$E$10+SQRT(T602*($G$10-$E$10)*($F$10-$E$10)),$G$10-SQRT((1-T602)*($G$10-$E$10)*($G$10-$F$10))))</f>
        <v>0.986331738935888</v>
      </c>
      <c r="G602" s="52" t="n">
        <f aca="false">IF($G$11=$E$11,$F$11,IF(U602&lt;($F$11-$E$11)/($G$11-$E$11),$E$11+SQRT(U602*($G$11-$E$11)*($F$11-$E$11)),$G$11-SQRT((1-U602)*($G$11-$E$11)*($G$11-$F$11))))</f>
        <v>0.0964845116706032</v>
      </c>
      <c r="H602" s="53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-1972663477.87178</v>
      </c>
      <c r="I602" s="53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-45519121.2825034</v>
      </c>
      <c r="J602" s="53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195136093.078826</v>
      </c>
      <c r="K602" s="53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485107894.38695</v>
      </c>
      <c r="L602" s="53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594439677.265708</v>
      </c>
      <c r="M602" s="53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754563256.769767</v>
      </c>
      <c r="N602" s="53" t="n">
        <f aca="false">IF(COUNT('Business Case'!B11:G11)=0,"",H602+NPV(G602,I602:M602))</f>
        <v>-596560474.276983</v>
      </c>
      <c r="P602" s="54" t="n">
        <f aca="true">RAND()</f>
        <v>0.12523649567367</v>
      </c>
      <c r="Q602" s="54" t="n">
        <f aca="true">RAND()</f>
        <v>0.0969888069061845</v>
      </c>
      <c r="R602" s="54" t="n">
        <f aca="true">RAND()</f>
        <v>0.307685480116232</v>
      </c>
      <c r="S602" s="54" t="n">
        <f aca="true">RAND()</f>
        <v>0.480816074183641</v>
      </c>
      <c r="T602" s="54" t="n">
        <f aca="true">RAND()</f>
        <v>0.105599620328443</v>
      </c>
      <c r="U602" s="54" t="n">
        <f aca="true">RAND()</f>
        <v>0.14016297202063</v>
      </c>
    </row>
    <row r="603" customFormat="false" ht="15" hidden="false" customHeight="false" outlineLevel="0" collapsed="false">
      <c r="A603" s="50" t="n">
        <v>523</v>
      </c>
      <c r="B603" s="51" t="n">
        <f aca="false">1+IF($G$6=$E$6,$F$6,IF(P603&lt;($F$6-$E$6)/($G$6-$E$6),$E$6+SQRT(P603*($G$6-$E$6)*($F$6-$E$6)),$G$6-SQRT((1-P603)*($G$6-$E$6)*($G$6-$F$6))))</f>
        <v>1.02296243479113</v>
      </c>
      <c r="C603" s="51" t="n">
        <f aca="false">1+IF($G$7=$E$7,$F$7,IF(Q603&lt;($F$7-$E$7)/($G$7-$E$7),$E$7+SQRT(Q603*($G$7-$E$7)*($F$7-$E$7)),$G$7-SQRT((1-Q603)*($G$7-$E$7)*($G$7-$F$7))))</f>
        <v>0.906632550057743</v>
      </c>
      <c r="D603" s="51" t="n">
        <f aca="false">1+IF($G$8=$E$8,$F$8,IF(R603&lt;($F$8-$E$8)/($G$8-$E$8),$E$8+SQRT(R603*($G$8-$E$8)*($F$8-$E$8)),$G$8-SQRT((1-R603)*($G$8-$E$8)*($G$8-$F$8))))</f>
        <v>0.977742486468978</v>
      </c>
      <c r="E603" s="51" t="n">
        <f aca="false">1+IF($G$9=$E$9,$F$9,IF(S603&lt;($F$9-$E$9)/($G$9-$E$9),$E$9+SQRT(S603*($G$9-$E$9)*($F$9-$E$9)),$G$9-SQRT((1-S603)*($G$9-$E$9)*($G$9-$F$9))))</f>
        <v>0.984159643047866</v>
      </c>
      <c r="F603" s="51" t="n">
        <f aca="false">1+IF($G$10=$E$10,$F$10,IF(T603&lt;($F$10-$E$10)/($G$10-$E$10),$E$10+SQRT(T603*($G$10-$E$10)*($F$10-$E$10)),$G$10-SQRT((1-T603)*($G$10-$E$10)*($G$10-$F$10))))</f>
        <v>1.07048922791334</v>
      </c>
      <c r="G603" s="52" t="n">
        <f aca="false">IF($G$11=$E$11,$F$11,IF(U603&lt;($F$11-$E$11)/($G$11-$E$11),$E$11+SQRT(U603*($G$11-$E$11)*($F$11-$E$11)),$G$11-SQRT((1-U603)*($G$11-$E$11)*($G$11-$F$11))))</f>
        <v>0.0986442290297441</v>
      </c>
      <c r="H603" s="53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-2140978455.82668</v>
      </c>
      <c r="I603" s="53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10780589.3382997</v>
      </c>
      <c r="J603" s="53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316636664.667935</v>
      </c>
      <c r="K603" s="53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676017201.393238</v>
      </c>
      <c r="L603" s="53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810021934.475513</v>
      </c>
      <c r="M603" s="53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986311828.323695</v>
      </c>
      <c r="N603" s="53" t="n">
        <f aca="false">IF(COUNT('Business Case'!B11:G11)=0,"",H603+NPV(G603,I603:M603))</f>
        <v>-186849965.470271</v>
      </c>
      <c r="P603" s="54" t="n">
        <f aca="true">RAND()</f>
        <v>0.939525285781971</v>
      </c>
      <c r="Q603" s="54" t="n">
        <f aca="true">RAND()</f>
        <v>0.162435724740245</v>
      </c>
      <c r="R603" s="54" t="n">
        <f aca="true">RAND()</f>
        <v>0.118407008535605</v>
      </c>
      <c r="S603" s="54" t="n">
        <f aca="true">RAND()</f>
        <v>0.155584161754351</v>
      </c>
      <c r="T603" s="54" t="n">
        <f aca="true">RAND()</f>
        <v>0.664539198270355</v>
      </c>
      <c r="U603" s="54" t="n">
        <f aca="true">RAND()</f>
        <v>0.2490756517289</v>
      </c>
    </row>
    <row r="604" customFormat="false" ht="15" hidden="false" customHeight="false" outlineLevel="0" collapsed="false">
      <c r="A604" s="50" t="n">
        <v>524</v>
      </c>
      <c r="B604" s="51" t="n">
        <f aca="false">1+IF($G$6=$E$6,$F$6,IF(P604&lt;($F$6-$E$6)/($G$6-$E$6),$E$6+SQRT(P604*($G$6-$E$6)*($F$6-$E$6)),$G$6-SQRT((1-P604)*($G$6-$E$6)*($G$6-$F$6))))</f>
        <v>1.01269521225193</v>
      </c>
      <c r="C604" s="51" t="n">
        <f aca="false">1+IF($G$7=$E$7,$F$7,IF(Q604&lt;($F$7-$E$7)/($G$7-$E$7),$E$7+SQRT(Q604*($G$7-$E$7)*($F$7-$E$7)),$G$7-SQRT((1-Q604)*($G$7-$E$7)*($G$7-$F$7))))</f>
        <v>0.929600147942602</v>
      </c>
      <c r="D604" s="51" t="n">
        <f aca="false">1+IF($G$8=$E$8,$F$8,IF(R604&lt;($F$8-$E$8)/($G$8-$E$8),$E$8+SQRT(R604*($G$8-$E$8)*($F$8-$E$8)),$G$8-SQRT((1-R604)*($G$8-$E$8)*($G$8-$F$8))))</f>
        <v>0.951435250093161</v>
      </c>
      <c r="E604" s="51" t="n">
        <f aca="false">1+IF($G$9=$E$9,$F$9,IF(S604&lt;($F$9-$E$9)/($G$9-$E$9),$E$9+SQRT(S604*($G$9-$E$9)*($F$9-$E$9)),$G$9-SQRT((1-S604)*($G$9-$E$9)*($G$9-$F$9))))</f>
        <v>0.982020120009254</v>
      </c>
      <c r="F604" s="51" t="n">
        <f aca="false">1+IF($G$10=$E$10,$F$10,IF(T604&lt;($F$10-$E$10)/($G$10-$E$10),$E$10+SQRT(T604*($G$10-$E$10)*($F$10-$E$10)),$G$10-SQRT((1-T604)*($G$10-$E$10)*($G$10-$F$10))))</f>
        <v>1.14252206082429</v>
      </c>
      <c r="G604" s="52" t="n">
        <f aca="false">IF($G$11=$E$11,$F$11,IF(U604&lt;($F$11-$E$11)/($G$11-$E$11),$E$11+SQRT(U604*($G$11-$E$11)*($F$11-$E$11)),$G$11-SQRT((1-U604)*($G$11-$E$11)*($G$11-$F$11))))</f>
        <v>0.110645576251477</v>
      </c>
      <c r="H604" s="53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-2285044121.64858</v>
      </c>
      <c r="I604" s="53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15608109.4355296</v>
      </c>
      <c r="J604" s="53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333913945.954512</v>
      </c>
      <c r="K604" s="53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709345885.514709</v>
      </c>
      <c r="L604" s="53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847982670.978175</v>
      </c>
      <c r="M604" s="53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1026924290.74244</v>
      </c>
      <c r="N604" s="53" t="n">
        <f aca="false">IF(COUNT('Business Case'!B11:G11)=0,"",H604+NPV(G604,I604:M604))</f>
        <v>-317574896.00388</v>
      </c>
      <c r="P604" s="54" t="n">
        <f aca="true">RAND()</f>
        <v>0.844676784590213</v>
      </c>
      <c r="Q604" s="54" t="n">
        <f aca="true">RAND()</f>
        <v>0.239945690667777</v>
      </c>
      <c r="R604" s="54" t="n">
        <f aca="true">RAND()</f>
        <v>0.000316914281525922</v>
      </c>
      <c r="S604" s="54" t="n">
        <f aca="true">RAND()</f>
        <v>0.136705078054272</v>
      </c>
      <c r="T604" s="54" t="n">
        <f aca="true">RAND()</f>
        <v>0.933925730162264</v>
      </c>
      <c r="U604" s="54" t="n">
        <f aca="true">RAND()</f>
        <v>0.854157927221788</v>
      </c>
    </row>
    <row r="605" customFormat="false" ht="15" hidden="false" customHeight="false" outlineLevel="0" collapsed="false">
      <c r="A605" s="50" t="n">
        <v>525</v>
      </c>
      <c r="B605" s="51" t="n">
        <f aca="false">1+IF($G$6=$E$6,$F$6,IF(P605&lt;($F$6-$E$6)/($G$6-$E$6),$E$6+SQRT(P605*($G$6-$E$6)*($F$6-$E$6)),$G$6-SQRT((1-P605)*($G$6-$E$6)*($G$6-$F$6))))</f>
        <v>0.985267175358507</v>
      </c>
      <c r="C605" s="51" t="n">
        <f aca="false">1+IF($G$7=$E$7,$F$7,IF(Q605&lt;($F$7-$E$7)/($G$7-$E$7),$E$7+SQRT(Q605*($G$7-$E$7)*($F$7-$E$7)),$G$7-SQRT((1-Q605)*($G$7-$E$7)*($G$7-$F$7))))</f>
        <v>1.0996144819433</v>
      </c>
      <c r="D605" s="51" t="n">
        <f aca="false">1+IF($G$8=$E$8,$F$8,IF(R605&lt;($F$8-$E$8)/($G$8-$E$8),$E$8+SQRT(R605*($G$8-$E$8)*($F$8-$E$8)),$G$8-SQRT((1-R605)*($G$8-$E$8)*($G$8-$F$8))))</f>
        <v>1.00829552047861</v>
      </c>
      <c r="E605" s="51" t="n">
        <f aca="false">1+IF($G$9=$E$9,$F$9,IF(S605&lt;($F$9-$E$9)/($G$9-$E$9),$E$9+SQRT(S605*($G$9-$E$9)*($F$9-$E$9)),$G$9-SQRT((1-S605)*($G$9-$E$9)*($G$9-$F$9))))</f>
        <v>1.01749655210791</v>
      </c>
      <c r="F605" s="51" t="n">
        <f aca="false">1+IF($G$10=$E$10,$F$10,IF(T605&lt;($F$10-$E$10)/($G$10-$E$10),$E$10+SQRT(T605*($G$10-$E$10)*($F$10-$E$10)),$G$10-SQRT((1-T605)*($G$10-$E$10)*($G$10-$F$10))))</f>
        <v>0.996673565244879</v>
      </c>
      <c r="G605" s="52" t="n">
        <f aca="false">IF($G$11=$E$11,$F$11,IF(U605&lt;($F$11-$E$11)/($G$11-$E$11),$E$11+SQRT(U605*($G$11-$E$11)*($F$11-$E$11)),$G$11-SQRT((1-U605)*($G$11-$E$11)*($G$11-$F$11))))</f>
        <v>0.101812265087811</v>
      </c>
      <c r="H605" s="53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-1993347130.48976</v>
      </c>
      <c r="I605" s="53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19290250.1437813</v>
      </c>
      <c r="J605" s="53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339100051.112653</v>
      </c>
      <c r="K605" s="53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708743530.343768</v>
      </c>
      <c r="L605" s="53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852789587.06063</v>
      </c>
      <c r="M605" s="53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1058724930.56044</v>
      </c>
      <c r="N605" s="53" t="n">
        <f aca="false">IF(COUNT('Business Case'!B11:G11)=0,"",H605+NPV(G605,I605:M605))</f>
        <v>63994072.7782476</v>
      </c>
      <c r="P605" s="54" t="n">
        <f aca="true">RAND()</f>
        <v>0.443729602008128</v>
      </c>
      <c r="Q605" s="54" t="n">
        <f aca="true">RAND()</f>
        <v>0.951643801336348</v>
      </c>
      <c r="R605" s="54" t="n">
        <f aca="true">RAND()</f>
        <v>0.505621886208386</v>
      </c>
      <c r="S605" s="54" t="n">
        <f aca="true">RAND()</f>
        <v>0.546212072394515</v>
      </c>
      <c r="T605" s="54" t="n">
        <f aca="true">RAND()</f>
        <v>0.174273735413434</v>
      </c>
      <c r="U605" s="54" t="n">
        <f aca="true">RAND()</f>
        <v>0.448677164606551</v>
      </c>
    </row>
    <row r="606" customFormat="false" ht="15" hidden="false" customHeight="false" outlineLevel="0" collapsed="false">
      <c r="A606" s="50" t="n">
        <v>526</v>
      </c>
      <c r="B606" s="51" t="n">
        <f aca="false">1+IF($G$6=$E$6,$F$6,IF(P606&lt;($F$6-$E$6)/($G$6-$E$6),$E$6+SQRT(P606*($G$6-$E$6)*($F$6-$E$6)),$G$6-SQRT((1-P606)*($G$6-$E$6)*($G$6-$F$6))))</f>
        <v>0.964322217450737</v>
      </c>
      <c r="C606" s="51" t="n">
        <f aca="false">1+IF($G$7=$E$7,$F$7,IF(Q606&lt;($F$7-$E$7)/($G$7-$E$7),$E$7+SQRT(Q606*($G$7-$E$7)*($F$7-$E$7)),$G$7-SQRT((1-Q606)*($G$7-$E$7)*($G$7-$F$7))))</f>
        <v>1.01201580284178</v>
      </c>
      <c r="D606" s="51" t="n">
        <f aca="false">1+IF($G$8=$E$8,$F$8,IF(R606&lt;($F$8-$E$8)/($G$8-$E$8),$E$8+SQRT(R606*($G$8-$E$8)*($F$8-$E$8)),$G$8-SQRT((1-R606)*($G$8-$E$8)*($G$8-$F$8))))</f>
        <v>0.99243093063771</v>
      </c>
      <c r="E606" s="51" t="n">
        <f aca="false">1+IF($G$9=$E$9,$F$9,IF(S606&lt;($F$9-$E$9)/($G$9-$E$9),$E$9+SQRT(S606*($G$9-$E$9)*($F$9-$E$9)),$G$9-SQRT((1-S606)*($G$9-$E$9)*($G$9-$F$9))))</f>
        <v>1.06491019126758</v>
      </c>
      <c r="F606" s="51" t="n">
        <f aca="false">1+IF($G$10=$E$10,$F$10,IF(T606&lt;($F$10-$E$10)/($G$10-$E$10),$E$10+SQRT(T606*($G$10-$E$10)*($F$10-$E$10)),$G$10-SQRT((1-T606)*($G$10-$E$10)*($G$10-$F$10))))</f>
        <v>1.11595630531072</v>
      </c>
      <c r="G606" s="52" t="n">
        <f aca="false">IF($G$11=$E$11,$F$11,IF(U606&lt;($F$11-$E$11)/($G$11-$E$11),$E$11+SQRT(U606*($G$11-$E$11)*($F$11-$E$11)),$G$11-SQRT((1-U606)*($G$11-$E$11)*($G$11-$F$11))))</f>
        <v>0.0994343263492986</v>
      </c>
      <c r="H606" s="53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-2231912610.62145</v>
      </c>
      <c r="I606" s="53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-28426811.4299058</v>
      </c>
      <c r="J606" s="53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256763376.178579</v>
      </c>
      <c r="K606" s="53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597751379.052599</v>
      </c>
      <c r="L606" s="53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726542201.128139</v>
      </c>
      <c r="M606" s="53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912043045.261386</v>
      </c>
      <c r="N606" s="53" t="n">
        <f aca="false">IF(COUNT('Business Case'!B11:G11)=0,"",H606+NPV(G606,I606:M606))</f>
        <v>-530530381.518522</v>
      </c>
      <c r="P606" s="54" t="n">
        <f aca="true">RAND()</f>
        <v>0.204631141640666</v>
      </c>
      <c r="Q606" s="54" t="n">
        <f aca="true">RAND()</f>
        <v>0.637340215897194</v>
      </c>
      <c r="R606" s="54" t="n">
        <f aca="true">RAND()</f>
        <v>0.276982134581866</v>
      </c>
      <c r="S606" s="54" t="n">
        <f aca="true">RAND()</f>
        <v>0.917913688208168</v>
      </c>
      <c r="T606" s="54" t="n">
        <f aca="true">RAND()</f>
        <v>0.858733147659514</v>
      </c>
      <c r="U606" s="54" t="n">
        <f aca="true">RAND()</f>
        <v>0.296688378883564</v>
      </c>
    </row>
    <row r="607" customFormat="false" ht="15" hidden="false" customHeight="false" outlineLevel="0" collapsed="false">
      <c r="A607" s="50" t="n">
        <v>527</v>
      </c>
      <c r="B607" s="51" t="n">
        <f aca="false">1+IF($G$6=$E$6,$F$6,IF(P607&lt;($F$6-$E$6)/($G$6-$E$6),$E$6+SQRT(P607*($G$6-$E$6)*($F$6-$E$6)),$G$6-SQRT((1-P607)*($G$6-$E$6)*($G$6-$F$6))))</f>
        <v>0.939100454610943</v>
      </c>
      <c r="C607" s="51" t="n">
        <f aca="false">1+IF($G$7=$E$7,$F$7,IF(Q607&lt;($F$7-$E$7)/($G$7-$E$7),$E$7+SQRT(Q607*($G$7-$E$7)*($F$7-$E$7)),$G$7-SQRT((1-Q607)*($G$7-$E$7)*($G$7-$F$7))))</f>
        <v>0.976404226158881</v>
      </c>
      <c r="D607" s="51" t="n">
        <f aca="false">1+IF($G$8=$E$8,$F$8,IF(R607&lt;($F$8-$E$8)/($G$8-$E$8),$E$8+SQRT(R607*($G$8-$E$8)*($F$8-$E$8)),$G$8-SQRT((1-R607)*($G$8-$E$8)*($G$8-$F$8))))</f>
        <v>1.01604765595878</v>
      </c>
      <c r="E607" s="51" t="n">
        <f aca="false">1+IF($G$9=$E$9,$F$9,IF(S607&lt;($F$9-$E$9)/($G$9-$E$9),$E$9+SQRT(S607*($G$9-$E$9)*($F$9-$E$9)),$G$9-SQRT((1-S607)*($G$9-$E$9)*($G$9-$F$9))))</f>
        <v>1.06805502959441</v>
      </c>
      <c r="F607" s="51" t="n">
        <f aca="false">1+IF($G$10=$E$10,$F$10,IF(T607&lt;($F$10-$E$10)/($G$10-$E$10),$E$10+SQRT(T607*($G$10-$E$10)*($F$10-$E$10)),$G$10-SQRT((1-T607)*($G$10-$E$10)*($G$10-$F$10))))</f>
        <v>1.12345723978989</v>
      </c>
      <c r="G607" s="52" t="n">
        <f aca="false">IF($G$11=$E$11,$F$11,IF(U607&lt;($F$11-$E$11)/($G$11-$E$11),$E$11+SQRT(U607*($G$11-$E$11)*($F$11-$E$11)),$G$11-SQRT((1-U607)*($G$11-$E$11)*($G$11-$F$11))))</f>
        <v>0.108365864035482</v>
      </c>
      <c r="H607" s="53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-2246914479.57978</v>
      </c>
      <c r="I607" s="53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-68578296.5996687</v>
      </c>
      <c r="J607" s="53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174600811.262381</v>
      </c>
      <c r="K607" s="53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473952781.113926</v>
      </c>
      <c r="L607" s="53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586701987.250879</v>
      </c>
      <c r="M607" s="53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760994256.590364</v>
      </c>
      <c r="N607" s="53" t="n">
        <f aca="false">IF(COUNT('Business Case'!B11:G11)=0,"",H607+NPV(G607,I607:M607))</f>
        <v>-974859279.61074</v>
      </c>
      <c r="P607" s="54" t="n">
        <f aca="true">RAND()</f>
        <v>0.0380028506609055</v>
      </c>
      <c r="Q607" s="54" t="n">
        <f aca="true">RAND()</f>
        <v>0.44454930009591</v>
      </c>
      <c r="R607" s="54" t="n">
        <f aca="true">RAND()</f>
        <v>0.606740162657022</v>
      </c>
      <c r="S607" s="54" t="n">
        <f aca="true">RAND()</f>
        <v>0.931967924385719</v>
      </c>
      <c r="T607" s="54" t="n">
        <f aca="true">RAND()</f>
        <v>0.882824117188346</v>
      </c>
      <c r="U607" s="54" t="n">
        <f aca="true">RAND()</f>
        <v>0.774411467265193</v>
      </c>
    </row>
    <row r="608" customFormat="false" ht="15" hidden="false" customHeight="false" outlineLevel="0" collapsed="false">
      <c r="A608" s="50" t="n">
        <v>528</v>
      </c>
      <c r="B608" s="51" t="n">
        <f aca="false">1+IF($G$6=$E$6,$F$6,IF(P608&lt;($F$6-$E$6)/($G$6-$E$6),$E$6+SQRT(P608*($G$6-$E$6)*($F$6-$E$6)),$G$6-SQRT((1-P608)*($G$6-$E$6)*($G$6-$F$6))))</f>
        <v>1.01398183193402</v>
      </c>
      <c r="C608" s="51" t="n">
        <f aca="false">1+IF($G$7=$E$7,$F$7,IF(Q608&lt;($F$7-$E$7)/($G$7-$E$7),$E$7+SQRT(Q608*($G$7-$E$7)*($F$7-$E$7)),$G$7-SQRT((1-Q608)*($G$7-$E$7)*($G$7-$F$7))))</f>
        <v>1.08774315253771</v>
      </c>
      <c r="D608" s="51" t="n">
        <f aca="false">1+IF($G$8=$E$8,$F$8,IF(R608&lt;($F$8-$E$8)/($G$8-$E$8),$E$8+SQRT(R608*($G$8-$E$8)*($F$8-$E$8)),$G$8-SQRT((1-R608)*($G$8-$E$8)*($G$8-$F$8))))</f>
        <v>1.0443443469227</v>
      </c>
      <c r="E608" s="51" t="n">
        <f aca="false">1+IF($G$9=$E$9,$F$9,IF(S608&lt;($F$9-$E$9)/($G$9-$E$9),$E$9+SQRT(S608*($G$9-$E$9)*($F$9-$E$9)),$G$9-SQRT((1-S608)*($G$9-$E$9)*($G$9-$F$9))))</f>
        <v>0.997205502953145</v>
      </c>
      <c r="F608" s="51" t="n">
        <f aca="false">1+IF($G$10=$E$10,$F$10,IF(T608&lt;($F$10-$E$10)/($G$10-$E$10),$E$10+SQRT(T608*($G$10-$E$10)*($F$10-$E$10)),$G$10-SQRT((1-T608)*($G$10-$E$10)*($G$10-$F$10))))</f>
        <v>1.12349227186549</v>
      </c>
      <c r="G608" s="52" t="n">
        <f aca="false">IF($G$11=$E$11,$F$11,IF(U608&lt;($F$11-$E$11)/($G$11-$E$11),$E$11+SQRT(U608*($G$11-$E$11)*($F$11-$E$11)),$G$11-SQRT((1-U608)*($G$11-$E$11)*($G$11-$F$11))))</f>
        <v>0.106498020712281</v>
      </c>
      <c r="H608" s="53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-2246984543.73099</v>
      </c>
      <c r="I608" s="53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10537992.6765434</v>
      </c>
      <c r="J608" s="53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332404856.085617</v>
      </c>
      <c r="K608" s="53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710446333.087965</v>
      </c>
      <c r="L608" s="53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855853301.575019</v>
      </c>
      <c r="M608" s="53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1065502378.67051</v>
      </c>
      <c r="N608" s="53" t="n">
        <f aca="false">IF(COUNT('Business Case'!B11:G11)=0,"",H608+NPV(G608,I608:M608))</f>
        <v>-228201139.01642</v>
      </c>
      <c r="P608" s="54" t="n">
        <f aca="true">RAND()</f>
        <v>0.858969777185451</v>
      </c>
      <c r="Q608" s="54" t="n">
        <f aca="true">RAND()</f>
        <v>0.926173046553463</v>
      </c>
      <c r="R608" s="54" t="n">
        <f aca="true">RAND()</f>
        <v>0.877757154195315</v>
      </c>
      <c r="S608" s="54" t="n">
        <f aca="true">RAND()</f>
        <v>0.297114601207914</v>
      </c>
      <c r="T608" s="54" t="n">
        <f aca="true">RAND()</f>
        <v>0.882931350713926</v>
      </c>
      <c r="U608" s="54" t="n">
        <f aca="true">RAND()</f>
        <v>0.696160925523357</v>
      </c>
    </row>
    <row r="609" customFormat="false" ht="15" hidden="false" customHeight="false" outlineLevel="0" collapsed="false">
      <c r="A609" s="50" t="n">
        <v>529</v>
      </c>
      <c r="B609" s="51" t="n">
        <f aca="false">1+IF($G$6=$E$6,$F$6,IF(P609&lt;($F$6-$E$6)/($G$6-$E$6),$E$6+SQRT(P609*($G$6-$E$6)*($F$6-$E$6)),$G$6-SQRT((1-P609)*($G$6-$E$6)*($G$6-$F$6))))</f>
        <v>0.960380046079078</v>
      </c>
      <c r="C609" s="51" t="n">
        <f aca="false">1+IF($G$7=$E$7,$F$7,IF(Q609&lt;($F$7-$E$7)/($G$7-$E$7),$E$7+SQRT(Q609*($G$7-$E$7)*($F$7-$E$7)),$G$7-SQRT((1-Q609)*($G$7-$E$7)*($G$7-$F$7))))</f>
        <v>0.921880151044339</v>
      </c>
      <c r="D609" s="51" t="n">
        <f aca="false">1+IF($G$8=$E$8,$F$8,IF(R609&lt;($F$8-$E$8)/($G$8-$E$8),$E$8+SQRT(R609*($G$8-$E$8)*($F$8-$E$8)),$G$8-SQRT((1-R609)*($G$8-$E$8)*($G$8-$F$8))))</f>
        <v>1.02553214268307</v>
      </c>
      <c r="E609" s="51" t="n">
        <f aca="false">1+IF($G$9=$E$9,$F$9,IF(S609&lt;($F$9-$E$9)/($G$9-$E$9),$E$9+SQRT(S609*($G$9-$E$9)*($F$9-$E$9)),$G$9-SQRT((1-S609)*($G$9-$E$9)*($G$9-$F$9))))</f>
        <v>1.06001971371847</v>
      </c>
      <c r="F609" s="51" t="n">
        <f aca="false">1+IF($G$10=$E$10,$F$10,IF(T609&lt;($F$10-$E$10)/($G$10-$E$10),$E$10+SQRT(T609*($G$10-$E$10)*($F$10-$E$10)),$G$10-SQRT((1-T609)*($G$10-$E$10)*($G$10-$F$10))))</f>
        <v>1.12360027143673</v>
      </c>
      <c r="G609" s="52" t="n">
        <f aca="false">IF($G$11=$E$11,$F$11,IF(U609&lt;($F$11-$E$11)/($G$11-$E$11),$E$11+SQRT(U609*($G$11-$E$11)*($F$11-$E$11)),$G$11-SQRT((1-U609)*($G$11-$E$11)*($G$11-$F$11))))</f>
        <v>0.0957662557134835</v>
      </c>
      <c r="H609" s="53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-2247200542.87347</v>
      </c>
      <c r="I609" s="53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-67800154.0166984</v>
      </c>
      <c r="J609" s="53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173391341.253578</v>
      </c>
      <c r="K609" s="53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470762850.095692</v>
      </c>
      <c r="L609" s="53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581757894.420807</v>
      </c>
      <c r="M609" s="53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750046230.213439</v>
      </c>
      <c r="N609" s="53" t="n">
        <f aca="false">IF(COUNT('Business Case'!B11:G11)=0,"",H609+NPV(G609,I609:M609))</f>
        <v>-928548727.476344</v>
      </c>
      <c r="P609" s="54" t="n">
        <f aca="true">RAND()</f>
        <v>0.169848762640461</v>
      </c>
      <c r="Q609" s="54" t="n">
        <f aca="true">RAND()</f>
        <v>0.212211017408441</v>
      </c>
      <c r="R609" s="54" t="n">
        <f aca="true">RAND()</f>
        <v>0.714735819163735</v>
      </c>
      <c r="S609" s="54" t="n">
        <f aca="true">RAND()</f>
        <v>0.893438447256436</v>
      </c>
      <c r="T609" s="54" t="n">
        <f aca="true">RAND()</f>
        <v>0.883261629509184</v>
      </c>
      <c r="U609" s="54" t="n">
        <f aca="true">RAND()</f>
        <v>0.11083234984427</v>
      </c>
    </row>
    <row r="610" customFormat="false" ht="15" hidden="false" customHeight="false" outlineLevel="0" collapsed="false">
      <c r="A610" s="50" t="n">
        <v>530</v>
      </c>
      <c r="B610" s="51" t="n">
        <f aca="false">1+IF($G$6=$E$6,$F$6,IF(P610&lt;($F$6-$E$6)/($G$6-$E$6),$E$6+SQRT(P610*($G$6-$E$6)*($F$6-$E$6)),$G$6-SQRT((1-P610)*($G$6-$E$6)*($G$6-$F$6))))</f>
        <v>1.00258377053962</v>
      </c>
      <c r="C610" s="51" t="n">
        <f aca="false">1+IF($G$7=$E$7,$F$7,IF(Q610&lt;($F$7-$E$7)/($G$7-$E$7),$E$7+SQRT(Q610*($G$7-$E$7)*($F$7-$E$7)),$G$7-SQRT((1-Q610)*($G$7-$E$7)*($G$7-$F$7))))</f>
        <v>0.849701783444769</v>
      </c>
      <c r="D610" s="51" t="n">
        <f aca="false">1+IF($G$8=$E$8,$F$8,IF(R610&lt;($F$8-$E$8)/($G$8-$E$8),$E$8+SQRT(R610*($G$8-$E$8)*($F$8-$E$8)),$G$8-SQRT((1-R610)*($G$8-$E$8)*($G$8-$F$8))))</f>
        <v>1.0050229069088</v>
      </c>
      <c r="E610" s="51" t="n">
        <f aca="false">1+IF($G$9=$E$9,$F$9,IF(S610&lt;($F$9-$E$9)/($G$9-$E$9),$E$9+SQRT(S610*($G$9-$E$9)*($F$9-$E$9)),$G$9-SQRT((1-S610)*($G$9-$E$9)*($G$9-$F$9))))</f>
        <v>1.02678563340581</v>
      </c>
      <c r="F610" s="51" t="n">
        <f aca="false">1+IF($G$10=$E$10,$F$10,IF(T610&lt;($F$10-$E$10)/($G$10-$E$10),$E$10+SQRT(T610*($G$10-$E$10)*($F$10-$E$10)),$G$10-SQRT((1-T610)*($G$10-$E$10)*($G$10-$F$10))))</f>
        <v>1.11692050078431</v>
      </c>
      <c r="G610" s="52" t="n">
        <f aca="false">IF($G$11=$E$11,$F$11,IF(U610&lt;($F$11-$E$11)/($G$11-$E$11),$E$11+SQRT(U610*($G$11-$E$11)*($F$11-$E$11)),$G$11-SQRT((1-U610)*($G$11-$E$11)*($G$11-$F$11))))</f>
        <v>0.0957484544524402</v>
      </c>
      <c r="H610" s="53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-2233841001.56862</v>
      </c>
      <c r="I610" s="53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-41262358.5779531</v>
      </c>
      <c r="J610" s="53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219338601.767746</v>
      </c>
      <c r="K610" s="53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535785587.152661</v>
      </c>
      <c r="L610" s="53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652094141.784504</v>
      </c>
      <c r="M610" s="53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814022764.959191</v>
      </c>
      <c r="N610" s="53" t="n">
        <f aca="false">IF(COUNT('Business Case'!B11:G11)=0,"",H610+NPV(G610,I610:M610))</f>
        <v>-713901193.661567</v>
      </c>
      <c r="P610" s="54" t="n">
        <f aca="true">RAND()</f>
        <v>0.708338702701724</v>
      </c>
      <c r="Q610" s="54" t="n">
        <f aca="true">RAND()</f>
        <v>0.0352895325370106</v>
      </c>
      <c r="R610" s="54" t="n">
        <f aca="true">RAND()</f>
        <v>0.459464953037773</v>
      </c>
      <c r="S610" s="54" t="n">
        <f aca="true">RAND()</f>
        <v>0.642643768280811</v>
      </c>
      <c r="T610" s="54" t="n">
        <f aca="true">RAND()</f>
        <v>0.861955936201403</v>
      </c>
      <c r="U610" s="54" t="n">
        <f aca="true">RAND()</f>
        <v>0.110149095305933</v>
      </c>
    </row>
    <row r="611" customFormat="false" ht="15" hidden="false" customHeight="false" outlineLevel="0" collapsed="false">
      <c r="A611" s="50" t="n">
        <v>531</v>
      </c>
      <c r="B611" s="51" t="n">
        <f aca="false">1+IF($G$6=$E$6,$F$6,IF(P611&lt;($F$6-$E$6)/($G$6-$E$6),$E$6+SQRT(P611*($G$6-$E$6)*($F$6-$E$6)),$G$6-SQRT((1-P611)*($G$6-$E$6)*($G$6-$F$6))))</f>
        <v>1.00737924870029</v>
      </c>
      <c r="C611" s="51" t="n">
        <f aca="false">1+IF($G$7=$E$7,$F$7,IF(Q611&lt;($F$7-$E$7)/($G$7-$E$7),$E$7+SQRT(Q611*($G$7-$E$7)*($F$7-$E$7)),$G$7-SQRT((1-Q611)*($G$7-$E$7)*($G$7-$F$7))))</f>
        <v>1.13471739857916</v>
      </c>
      <c r="D611" s="51" t="n">
        <f aca="false">1+IF($G$8=$E$8,$F$8,IF(R611&lt;($F$8-$E$8)/($G$8-$E$8),$E$8+SQRT(R611*($G$8-$E$8)*($F$8-$E$8)),$G$8-SQRT((1-R611)*($G$8-$E$8)*($G$8-$F$8))))</f>
        <v>0.992831901035715</v>
      </c>
      <c r="E611" s="51" t="n">
        <f aca="false">1+IF($G$9=$E$9,$F$9,IF(S611&lt;($F$9-$E$9)/($G$9-$E$9),$E$9+SQRT(S611*($G$9-$E$9)*($F$9-$E$9)),$G$9-SQRT((1-S611)*($G$9-$E$9)*($G$9-$F$9))))</f>
        <v>0.981490437745561</v>
      </c>
      <c r="F611" s="51" t="n">
        <f aca="false">1+IF($G$10=$E$10,$F$10,IF(T611&lt;($F$10-$E$10)/($G$10-$E$10),$E$10+SQRT(T611*($G$10-$E$10)*($F$10-$E$10)),$G$10-SQRT((1-T611)*($G$10-$E$10)*($G$10-$F$10))))</f>
        <v>1.03741229051614</v>
      </c>
      <c r="G611" s="52" t="n">
        <f aca="false">IF($G$11=$E$11,$F$11,IF(U611&lt;($F$11-$E$11)/($G$11-$E$11),$E$11+SQRT(U611*($G$11-$E$11)*($F$11-$E$11)),$G$11-SQRT((1-U611)*($G$11-$E$11)*($G$11-$F$11))))</f>
        <v>0.0996081080705213</v>
      </c>
      <c r="H611" s="53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-2074824581.03229</v>
      </c>
      <c r="I611" s="53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56985948.1583097</v>
      </c>
      <c r="J611" s="53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416538890.638304</v>
      </c>
      <c r="K611" s="53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827962447.644105</v>
      </c>
      <c r="L611" s="53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987318645.152538</v>
      </c>
      <c r="M611" s="53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1204597336.90226</v>
      </c>
      <c r="N611" s="53" t="n">
        <f aca="false">IF(COUNT('Business Case'!B11:G11)=0,"",H611+NPV(G611,I611:M611))</f>
        <v>368825223.474052</v>
      </c>
      <c r="P611" s="54" t="n">
        <f aca="true">RAND()</f>
        <v>0.778309705133829</v>
      </c>
      <c r="Q611" s="54" t="n">
        <f aca="true">RAND()</f>
        <v>0.995551277977364</v>
      </c>
      <c r="R611" s="54" t="n">
        <f aca="true">RAND()</f>
        <v>0.282241807128198</v>
      </c>
      <c r="S611" s="54" t="n">
        <f aca="true">RAND()</f>
        <v>0.132219689254272</v>
      </c>
      <c r="T611" s="54" t="n">
        <f aca="true">RAND()</f>
        <v>0.471304734495858</v>
      </c>
      <c r="U611" s="54" t="n">
        <f aca="true">RAND()</f>
        <v>0.307719135649388</v>
      </c>
    </row>
    <row r="612" customFormat="false" ht="15" hidden="false" customHeight="false" outlineLevel="0" collapsed="false">
      <c r="A612" s="50" t="n">
        <v>532</v>
      </c>
      <c r="B612" s="51" t="n">
        <f aca="false">1+IF($G$6=$E$6,$F$6,IF(P612&lt;($F$6-$E$6)/($G$6-$E$6),$E$6+SQRT(P612*($G$6-$E$6)*($F$6-$E$6)),$G$6-SQRT((1-P612)*($G$6-$E$6)*($G$6-$F$6))))</f>
        <v>0.992275256592757</v>
      </c>
      <c r="C612" s="51" t="n">
        <f aca="false">1+IF($G$7=$E$7,$F$7,IF(Q612&lt;($F$7-$E$7)/($G$7-$E$7),$E$7+SQRT(Q612*($G$7-$E$7)*($F$7-$E$7)),$G$7-SQRT((1-Q612)*($G$7-$E$7)*($G$7-$F$7))))</f>
        <v>0.96838663700008</v>
      </c>
      <c r="D612" s="51" t="n">
        <f aca="false">1+IF($G$8=$E$8,$F$8,IF(R612&lt;($F$8-$E$8)/($G$8-$E$8),$E$8+SQRT(R612*($G$8-$E$8)*($F$8-$E$8)),$G$8-SQRT((1-R612)*($G$8-$E$8)*($G$8-$F$8))))</f>
        <v>1.04937045151075</v>
      </c>
      <c r="E612" s="51" t="n">
        <f aca="false">1+IF($G$9=$E$9,$F$9,IF(S612&lt;($F$9-$E$9)/($G$9-$E$9),$E$9+SQRT(S612*($G$9-$E$9)*($F$9-$E$9)),$G$9-SQRT((1-S612)*($G$9-$E$9)*($G$9-$F$9))))</f>
        <v>0.978959287593244</v>
      </c>
      <c r="F612" s="51" t="n">
        <f aca="false">1+IF($G$10=$E$10,$F$10,IF(T612&lt;($F$10-$E$10)/($G$10-$E$10),$E$10+SQRT(T612*($G$10-$E$10)*($F$10-$E$10)),$G$10-SQRT((1-T612)*($G$10-$E$10)*($G$10-$F$10))))</f>
        <v>1.04895035498594</v>
      </c>
      <c r="G612" s="52" t="n">
        <f aca="false">IF($G$11=$E$11,$F$11,IF(U612&lt;($F$11-$E$11)/($G$11-$E$11),$E$11+SQRT(U612*($G$11-$E$11)*($F$11-$E$11)),$G$11-SQRT((1-U612)*($G$11-$E$11)*($G$11-$F$11))))</f>
        <v>0.110844007707249</v>
      </c>
      <c r="H612" s="53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-2097900709.97187</v>
      </c>
      <c r="I612" s="53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-27076359.6858342</v>
      </c>
      <c r="J612" s="53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239763698.979824</v>
      </c>
      <c r="K612" s="53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559051275.394779</v>
      </c>
      <c r="L612" s="53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681206876.388091</v>
      </c>
      <c r="M612" s="53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863855907.630936</v>
      </c>
      <c r="N612" s="53" t="n">
        <f aca="false">IF(COUNT('Business Case'!B11:G11)=0,"",H612+NPV(G612,I612:M612))</f>
        <v>-562049161.282224</v>
      </c>
      <c r="P612" s="54" t="n">
        <f aca="true">RAND()</f>
        <v>0.544136741202999</v>
      </c>
      <c r="Q612" s="54" t="n">
        <f aca="true">RAND()</f>
        <v>0.405057993145667</v>
      </c>
      <c r="R612" s="54" t="n">
        <f aca="true">RAND()</f>
        <v>0.909791419167764</v>
      </c>
      <c r="S612" s="54" t="n">
        <f aca="true">RAND()</f>
        <v>0.111818711721096</v>
      </c>
      <c r="T612" s="54" t="n">
        <f aca="true">RAND()</f>
        <v>0.543680094822503</v>
      </c>
      <c r="U612" s="54" t="n">
        <f aca="true">RAND()</f>
        <v>0.860279675225132</v>
      </c>
    </row>
    <row r="613" customFormat="false" ht="15" hidden="false" customHeight="false" outlineLevel="0" collapsed="false">
      <c r="A613" s="50" t="n">
        <v>533</v>
      </c>
      <c r="B613" s="51" t="n">
        <f aca="false">1+IF($G$6=$E$6,$F$6,IF(P613&lt;($F$6-$E$6)/($G$6-$E$6),$E$6+SQRT(P613*($G$6-$E$6)*($F$6-$E$6)),$G$6-SQRT((1-P613)*($G$6-$E$6)*($G$6-$F$6))))</f>
        <v>0.998397447731969</v>
      </c>
      <c r="C613" s="51" t="n">
        <f aca="false">1+IF($G$7=$E$7,$F$7,IF(Q613&lt;($F$7-$E$7)/($G$7-$E$7),$E$7+SQRT(Q613*($G$7-$E$7)*($F$7-$E$7)),$G$7-SQRT((1-Q613)*($G$7-$E$7)*($G$7-$F$7))))</f>
        <v>0.984423630909721</v>
      </c>
      <c r="D613" s="51" t="n">
        <f aca="false">1+IF($G$8=$E$8,$F$8,IF(R613&lt;($F$8-$E$8)/($G$8-$E$8),$E$8+SQRT(R613*($G$8-$E$8)*($F$8-$E$8)),$G$8-SQRT((1-R613)*($G$8-$E$8)*($G$8-$F$8))))</f>
        <v>0.987049117454288</v>
      </c>
      <c r="E613" s="51" t="n">
        <f aca="false">1+IF($G$9=$E$9,$F$9,IF(S613&lt;($F$9-$E$9)/($G$9-$E$9),$E$9+SQRT(S613*($G$9-$E$9)*($F$9-$E$9)),$G$9-SQRT((1-S613)*($G$9-$E$9)*($G$9-$F$9))))</f>
        <v>0.975042375078212</v>
      </c>
      <c r="F613" s="51" t="n">
        <f aca="false">1+IF($G$10=$E$10,$F$10,IF(T613&lt;($F$10-$E$10)/($G$10-$E$10),$E$10+SQRT(T613*($G$10-$E$10)*($F$10-$E$10)),$G$10-SQRT((1-T613)*($G$10-$E$10)*($G$10-$F$10))))</f>
        <v>1.14123963074858</v>
      </c>
      <c r="G613" s="52" t="n">
        <f aca="false">IF($G$11=$E$11,$F$11,IF(U613&lt;($F$11-$E$11)/($G$11-$E$11),$E$11+SQRT(U613*($G$11-$E$11)*($F$11-$E$11)),$G$11-SQRT((1-U613)*($G$11-$E$11)*($G$11-$F$11))))</f>
        <v>0.102591213222591</v>
      </c>
      <c r="H613" s="53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-2282479261.49716</v>
      </c>
      <c r="I613" s="53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3876346.80060554</v>
      </c>
      <c r="J613" s="53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311478421.156237</v>
      </c>
      <c r="K613" s="53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676142477.049297</v>
      </c>
      <c r="L613" s="53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812643660.997205</v>
      </c>
      <c r="M613" s="53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999463036.39204</v>
      </c>
      <c r="N613" s="53" t="n">
        <f aca="false">IF(COUNT('Business Case'!B11:G11)=0,"",H613+NPV(G613,I613:M613))</f>
        <v>-355152119.333775</v>
      </c>
      <c r="P613" s="54" t="n">
        <f aca="true">RAND()</f>
        <v>0.640224980300712</v>
      </c>
      <c r="Q613" s="54" t="n">
        <f aca="true">RAND()</f>
        <v>0.4858867948275</v>
      </c>
      <c r="R613" s="54" t="n">
        <f aca="true">RAND()</f>
        <v>0.21117493909871</v>
      </c>
      <c r="S613" s="54" t="n">
        <f aca="true">RAND()</f>
        <v>0.0836160732743778</v>
      </c>
      <c r="T613" s="54" t="n">
        <f aca="true">RAND()</f>
        <v>0.930944380108739</v>
      </c>
      <c r="U613" s="54" t="n">
        <f aca="true">RAND()</f>
        <v>0.494890238231161</v>
      </c>
    </row>
    <row r="614" customFormat="false" ht="15" hidden="false" customHeight="false" outlineLevel="0" collapsed="false">
      <c r="A614" s="50" t="n">
        <v>534</v>
      </c>
      <c r="B614" s="51" t="n">
        <f aca="false">1+IF($G$6=$E$6,$F$6,IF(P614&lt;($F$6-$E$6)/($G$6-$E$6),$E$6+SQRT(P614*($G$6-$E$6)*($F$6-$E$6)),$G$6-SQRT((1-P614)*($G$6-$E$6)*($G$6-$F$6))))</f>
        <v>1.01810016650556</v>
      </c>
      <c r="C614" s="51" t="n">
        <f aca="false">1+IF($G$7=$E$7,$F$7,IF(Q614&lt;($F$7-$E$7)/($G$7-$E$7),$E$7+SQRT(Q614*($G$7-$E$7)*($F$7-$E$7)),$G$7-SQRT((1-Q614)*($G$7-$E$7)*($G$7-$F$7))))</f>
        <v>1.00475514695636</v>
      </c>
      <c r="D614" s="51" t="n">
        <f aca="false">1+IF($G$8=$E$8,$F$8,IF(R614&lt;($F$8-$E$8)/($G$8-$E$8),$E$8+SQRT(R614*($G$8-$E$8)*($F$8-$E$8)),$G$8-SQRT((1-R614)*($G$8-$E$8)*($G$8-$F$8))))</f>
        <v>1.00312379332641</v>
      </c>
      <c r="E614" s="51" t="n">
        <f aca="false">1+IF($G$9=$E$9,$F$9,IF(S614&lt;($F$9-$E$9)/($G$9-$E$9),$E$9+SQRT(S614*($G$9-$E$9)*($F$9-$E$9)),$G$9-SQRT((1-S614)*($G$9-$E$9)*($G$9-$F$9))))</f>
        <v>1.0796727668352</v>
      </c>
      <c r="F614" s="51" t="n">
        <f aca="false">1+IF($G$10=$E$10,$F$10,IF(T614&lt;($F$10-$E$10)/($G$10-$E$10),$E$10+SQRT(T614*($G$10-$E$10)*($F$10-$E$10)),$G$10-SQRT((1-T614)*($G$10-$E$10)*($G$10-$F$10))))</f>
        <v>1.12559402367208</v>
      </c>
      <c r="G614" s="52" t="n">
        <f aca="false">IF($G$11=$E$11,$F$11,IF(U614&lt;($F$11-$E$11)/($G$11-$E$11),$E$11+SQRT(U614*($G$11-$E$11)*($F$11-$E$11)),$G$11-SQRT((1-U614)*($G$11-$E$11)*($G$11-$F$11))))</f>
        <v>0.114666792292323</v>
      </c>
      <c r="H614" s="53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-2251188047.34415</v>
      </c>
      <c r="I614" s="53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2783501.68221992</v>
      </c>
      <c r="J614" s="53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324685154.439933</v>
      </c>
      <c r="K614" s="53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702866508.38125</v>
      </c>
      <c r="L614" s="53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845519913.476702</v>
      </c>
      <c r="M614" s="53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1039960611.44588</v>
      </c>
      <c r="N614" s="53" t="n">
        <f aca="false">IF(COUNT('Business Case'!B11:G11)=0,"",H614+NPV(G614,I614:M614))</f>
        <v>-327813895.473406</v>
      </c>
      <c r="P614" s="54" t="n">
        <f aca="true">RAND()</f>
        <v>0.900082769357425</v>
      </c>
      <c r="Q614" s="54" t="n">
        <f aca="true">RAND()</f>
        <v>0.598170145987262</v>
      </c>
      <c r="R614" s="54" t="n">
        <f aca="true">RAND()</f>
        <v>0.431735466103742</v>
      </c>
      <c r="S614" s="54" t="n">
        <f aca="true">RAND()</f>
        <v>0.972453572790927</v>
      </c>
      <c r="T614" s="54" t="n">
        <f aca="true">RAND()</f>
        <v>0.889275013733767</v>
      </c>
      <c r="U614" s="54" t="n">
        <f aca="true">RAND()</f>
        <v>0.952594825911283</v>
      </c>
    </row>
    <row r="615" customFormat="false" ht="15" hidden="false" customHeight="false" outlineLevel="0" collapsed="false">
      <c r="A615" s="50" t="n">
        <v>535</v>
      </c>
      <c r="B615" s="51" t="n">
        <f aca="false">1+IF($G$6=$E$6,$F$6,IF(P615&lt;($F$6-$E$6)/($G$6-$E$6),$E$6+SQRT(P615*($G$6-$E$6)*($F$6-$E$6)),$G$6-SQRT((1-P615)*($G$6-$E$6)*($G$6-$F$6))))</f>
        <v>1.00827490517252</v>
      </c>
      <c r="C615" s="51" t="n">
        <f aca="false">1+IF($G$7=$E$7,$F$7,IF(Q615&lt;($F$7-$E$7)/($G$7-$E$7),$E$7+SQRT(Q615*($G$7-$E$7)*($F$7-$E$7)),$G$7-SQRT((1-Q615)*($G$7-$E$7)*($G$7-$F$7))))</f>
        <v>0.966939832801287</v>
      </c>
      <c r="D615" s="51" t="n">
        <f aca="false">1+IF($G$8=$E$8,$F$8,IF(R615&lt;($F$8-$E$8)/($G$8-$E$8),$E$8+SQRT(R615*($G$8-$E$8)*($F$8-$E$8)),$G$8-SQRT((1-R615)*($G$8-$E$8)*($G$8-$F$8))))</f>
        <v>1.00381654878379</v>
      </c>
      <c r="E615" s="51" t="n">
        <f aca="false">1+IF($G$9=$E$9,$F$9,IF(S615&lt;($F$9-$E$9)/($G$9-$E$9),$E$9+SQRT(S615*($G$9-$E$9)*($F$9-$E$9)),$G$9-SQRT((1-S615)*($G$9-$E$9)*($G$9-$F$9))))</f>
        <v>0.97980495184451</v>
      </c>
      <c r="F615" s="51" t="n">
        <f aca="false">1+IF($G$10=$E$10,$F$10,IF(T615&lt;($F$10-$E$10)/($G$10-$E$10),$E$10+SQRT(T615*($G$10-$E$10)*($F$10-$E$10)),$G$10-SQRT((1-T615)*($G$10-$E$10)*($G$10-$F$10))))</f>
        <v>1.02713639422996</v>
      </c>
      <c r="G615" s="52" t="n">
        <f aca="false">IF($G$11=$E$11,$F$11,IF(U615&lt;($F$11-$E$11)/($G$11-$E$11),$E$11+SQRT(U615*($G$11-$E$11)*($F$11-$E$11)),$G$11-SQRT((1-U615)*($G$11-$E$11)*($G$11-$F$11))))</f>
        <v>0.101090526230291</v>
      </c>
      <c r="H615" s="53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-2054272788.45993</v>
      </c>
      <c r="I615" s="53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9079143.82876508</v>
      </c>
      <c r="J615" s="53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310741141.393613</v>
      </c>
      <c r="K615" s="53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663759958.669958</v>
      </c>
      <c r="L615" s="53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798007924.632105</v>
      </c>
      <c r="M615" s="53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983324741.888361</v>
      </c>
      <c r="N615" s="53" t="n">
        <f aca="false">IF(COUNT('Business Case'!B11:G11)=0,"",H615+NPV(G615,I615:M615))</f>
        <v>-142068543.715776</v>
      </c>
      <c r="P615" s="54" t="n">
        <f aca="true">RAND()</f>
        <v>0.790316324622353</v>
      </c>
      <c r="Q615" s="54" t="n">
        <f aca="true">RAND()</f>
        <v>0.398127253938881</v>
      </c>
      <c r="R615" s="54" t="n">
        <f aca="true">RAND()</f>
        <v>0.441930938537226</v>
      </c>
      <c r="S615" s="54" t="n">
        <f aca="true">RAND()</f>
        <v>0.118444687260476</v>
      </c>
      <c r="T615" s="54" t="n">
        <f aca="true">RAND()</f>
        <v>0.402363476003623</v>
      </c>
      <c r="U615" s="54" t="n">
        <f aca="true">RAND()</f>
        <v>0.404053002921145</v>
      </c>
    </row>
    <row r="616" customFormat="false" ht="15" hidden="false" customHeight="false" outlineLevel="0" collapsed="false">
      <c r="A616" s="50" t="n">
        <v>536</v>
      </c>
      <c r="B616" s="51" t="n">
        <f aca="false">1+IF($G$6=$E$6,$F$6,IF(P616&lt;($F$6-$E$6)/($G$6-$E$6),$E$6+SQRT(P616*($G$6-$E$6)*($F$6-$E$6)),$G$6-SQRT((1-P616)*($G$6-$E$6)*($G$6-$F$6))))</f>
        <v>1.00967868901554</v>
      </c>
      <c r="C616" s="51" t="n">
        <f aca="false">1+IF($G$7=$E$7,$F$7,IF(Q616&lt;($F$7-$E$7)/($G$7-$E$7),$E$7+SQRT(Q616*($G$7-$E$7)*($F$7-$E$7)),$G$7-SQRT((1-Q616)*($G$7-$E$7)*($G$7-$F$7))))</f>
        <v>0.961824157088479</v>
      </c>
      <c r="D616" s="51" t="n">
        <f aca="false">1+IF($G$8=$E$8,$F$8,IF(R616&lt;($F$8-$E$8)/($G$8-$E$8),$E$8+SQRT(R616*($G$8-$E$8)*($F$8-$E$8)),$G$8-SQRT((1-R616)*($G$8-$E$8)*($G$8-$F$8))))</f>
        <v>0.99725241156248</v>
      </c>
      <c r="E616" s="51" t="n">
        <f aca="false">1+IF($G$9=$E$9,$F$9,IF(S616&lt;($F$9-$E$9)/($G$9-$E$9),$E$9+SQRT(S616*($G$9-$E$9)*($F$9-$E$9)),$G$9-SQRT((1-S616)*($G$9-$E$9)*($G$9-$F$9))))</f>
        <v>0.956165787238112</v>
      </c>
      <c r="F616" s="51" t="n">
        <f aca="false">1+IF($G$10=$E$10,$F$10,IF(T616&lt;($F$10-$E$10)/($G$10-$E$10),$E$10+SQRT(T616*($G$10-$E$10)*($F$10-$E$10)),$G$10-SQRT((1-T616)*($G$10-$E$10)*($G$10-$F$10))))</f>
        <v>1.13101570086112</v>
      </c>
      <c r="G616" s="52" t="n">
        <f aca="false">IF($G$11=$E$11,$F$11,IF(U616&lt;($F$11-$E$11)/($G$11-$E$11),$E$11+SQRT(U616*($G$11-$E$11)*($F$11-$E$11)),$G$11-SQRT((1-U616)*($G$11-$E$11)*($G$11-$F$11))))</f>
        <v>0.0974476476092837</v>
      </c>
      <c r="H616" s="53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-2262031401.72223</v>
      </c>
      <c r="I616" s="53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4992067.33623399</v>
      </c>
      <c r="J616" s="53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309396032.774814</v>
      </c>
      <c r="K616" s="53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670350783.25645</v>
      </c>
      <c r="L616" s="53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805381140.44996</v>
      </c>
      <c r="M616" s="53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989974168.376867</v>
      </c>
      <c r="N616" s="53" t="n">
        <f aca="false">IF(COUNT('Business Case'!B11:G11)=0,"",H616+NPV(G616,I616:M616))</f>
        <v>-316327149.86176</v>
      </c>
      <c r="P616" s="54" t="n">
        <f aca="true">RAND()</f>
        <v>0.80846210420489</v>
      </c>
      <c r="Q616" s="54" t="n">
        <f aca="true">RAND()</f>
        <v>0.37410082596281</v>
      </c>
      <c r="R616" s="54" t="n">
        <f aca="true">RAND()</f>
        <v>0.343506215149227</v>
      </c>
      <c r="S616" s="54" t="n">
        <f aca="true">RAND()</f>
        <v>0.00506892430208819</v>
      </c>
      <c r="T616" s="54" t="n">
        <f aca="true">RAND()</f>
        <v>0.904823329446343</v>
      </c>
      <c r="U616" s="54" t="n">
        <f aca="true">RAND()</f>
        <v>0.184891516373564</v>
      </c>
    </row>
    <row r="617" customFormat="false" ht="15" hidden="false" customHeight="false" outlineLevel="0" collapsed="false">
      <c r="A617" s="50" t="n">
        <v>537</v>
      </c>
      <c r="B617" s="51" t="n">
        <f aca="false">1+IF($G$6=$E$6,$F$6,IF(P617&lt;($F$6-$E$6)/($G$6-$E$6),$E$6+SQRT(P617*($G$6-$E$6)*($F$6-$E$6)),$G$6-SQRT((1-P617)*($G$6-$E$6)*($G$6-$F$6))))</f>
        <v>0.993253063665994</v>
      </c>
      <c r="C617" s="51" t="n">
        <f aca="false">1+IF($G$7=$E$7,$F$7,IF(Q617&lt;($F$7-$E$7)/($G$7-$E$7),$E$7+SQRT(Q617*($G$7-$E$7)*($F$7-$E$7)),$G$7-SQRT((1-Q617)*($G$7-$E$7)*($G$7-$F$7))))</f>
        <v>1.06728692559482</v>
      </c>
      <c r="D617" s="51" t="n">
        <f aca="false">1+IF($G$8=$E$8,$F$8,IF(R617&lt;($F$8-$E$8)/($G$8-$E$8),$E$8+SQRT(R617*($G$8-$E$8)*($F$8-$E$8)),$G$8-SQRT((1-R617)*($G$8-$E$8)*($G$8-$F$8))))</f>
        <v>1.02248202576316</v>
      </c>
      <c r="E617" s="51" t="n">
        <f aca="false">1+IF($G$9=$E$9,$F$9,IF(S617&lt;($F$9-$E$9)/($G$9-$E$9),$E$9+SQRT(S617*($G$9-$E$9)*($F$9-$E$9)),$G$9-SQRT((1-S617)*($G$9-$E$9)*($G$9-$F$9))))</f>
        <v>0.998264516080976</v>
      </c>
      <c r="F617" s="51" t="n">
        <f aca="false">1+IF($G$10=$E$10,$F$10,IF(T617&lt;($F$10-$E$10)/($G$10-$E$10),$E$10+SQRT(T617*($G$10-$E$10)*($F$10-$E$10)),$G$10-SQRT((1-T617)*($G$10-$E$10)*($G$10-$F$10))))</f>
        <v>1.03543046870601</v>
      </c>
      <c r="G617" s="52" t="n">
        <f aca="false">IF($G$11=$E$11,$F$11,IF(U617&lt;($F$11-$E$11)/($G$11-$E$11),$E$11+SQRT(U617*($G$11-$E$11)*($F$11-$E$11)),$G$11-SQRT((1-U617)*($G$11-$E$11)*($G$11-$F$11))))</f>
        <v>0.0967439255148316</v>
      </c>
      <c r="H617" s="53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-2070860937.41203</v>
      </c>
      <c r="I617" s="53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9186720.82358256</v>
      </c>
      <c r="J617" s="53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318824561.393297</v>
      </c>
      <c r="K617" s="53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680233925.398312</v>
      </c>
      <c r="L617" s="53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820083111.380761</v>
      </c>
      <c r="M617" s="53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1021584259.90642</v>
      </c>
      <c r="N617" s="53" t="n">
        <f aca="false">IF(COUNT('Business Case'!B11:G11)=0,"",H617+NPV(G617,I617:M617))</f>
        <v>-71186290.6744113</v>
      </c>
      <c r="P617" s="54" t="n">
        <f aca="true">RAND()</f>
        <v>0.558959514213973</v>
      </c>
      <c r="Q617" s="54" t="n">
        <f aca="true">RAND()</f>
        <v>0.869686615665576</v>
      </c>
      <c r="R617" s="54" t="n">
        <f aca="true">RAND()</f>
        <v>0.681892561508686</v>
      </c>
      <c r="S617" s="54" t="n">
        <f aca="true">RAND()</f>
        <v>0.310595135004106</v>
      </c>
      <c r="T617" s="54" t="n">
        <f aca="true">RAND()</f>
        <v>0.458337387393545</v>
      </c>
      <c r="U617" s="54" t="n">
        <f aca="true">RAND()</f>
        <v>0.151601771165321</v>
      </c>
    </row>
    <row r="618" customFormat="false" ht="15" hidden="false" customHeight="false" outlineLevel="0" collapsed="false">
      <c r="A618" s="50" t="n">
        <v>538</v>
      </c>
      <c r="B618" s="51" t="n">
        <f aca="false">1+IF($G$6=$E$6,$F$6,IF(P618&lt;($F$6-$E$6)/($G$6-$E$6),$E$6+SQRT(P618*($G$6-$E$6)*($F$6-$E$6)),$G$6-SQRT((1-P618)*($G$6-$E$6)*($G$6-$F$6))))</f>
        <v>0.987713257741262</v>
      </c>
      <c r="C618" s="51" t="n">
        <f aca="false">1+IF($G$7=$E$7,$F$7,IF(Q618&lt;($F$7-$E$7)/($G$7-$E$7),$E$7+SQRT(Q618*($G$7-$E$7)*($F$7-$E$7)),$G$7-SQRT((1-Q618)*($G$7-$E$7)*($G$7-$F$7))))</f>
        <v>1.04535999314213</v>
      </c>
      <c r="D618" s="51" t="n">
        <f aca="false">1+IF($G$8=$E$8,$F$8,IF(R618&lt;($F$8-$E$8)/($G$8-$E$8),$E$8+SQRT(R618*($G$8-$E$8)*($F$8-$E$8)),$G$8-SQRT((1-R618)*($G$8-$E$8)*($G$8-$F$8))))</f>
        <v>1.03704493585473</v>
      </c>
      <c r="E618" s="51" t="n">
        <f aca="false">1+IF($G$9=$E$9,$F$9,IF(S618&lt;($F$9-$E$9)/($G$9-$E$9),$E$9+SQRT(S618*($G$9-$E$9)*($F$9-$E$9)),$G$9-SQRT((1-S618)*($G$9-$E$9)*($G$9-$F$9))))</f>
        <v>1.01547809320959</v>
      </c>
      <c r="F618" s="51" t="n">
        <f aca="false">1+IF($G$10=$E$10,$F$10,IF(T618&lt;($F$10-$E$10)/($G$10-$E$10),$E$10+SQRT(T618*($G$10-$E$10)*($F$10-$E$10)),$G$10-SQRT((1-T618)*($G$10-$E$10)*($G$10-$F$10))))</f>
        <v>1.03471864597257</v>
      </c>
      <c r="G618" s="52" t="n">
        <f aca="false">IF($G$11=$E$11,$F$11,IF(U618&lt;($F$11-$E$11)/($G$11-$E$11),$E$11+SQRT(U618*($G$11-$E$11)*($F$11-$E$11)),$G$11-SQRT((1-U618)*($G$11-$E$11)*($G$11-$F$11))))</f>
        <v>0.0941393576195638</v>
      </c>
      <c r="H618" s="53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-2069437291.94515</v>
      </c>
      <c r="I618" s="53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-10658531.9273821</v>
      </c>
      <c r="J618" s="53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280081411.11462</v>
      </c>
      <c r="K618" s="53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622557286.45525</v>
      </c>
      <c r="L618" s="53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755154351.147733</v>
      </c>
      <c r="M618" s="53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951414978.046051</v>
      </c>
      <c r="N618" s="53" t="n">
        <f aca="false">IF(COUNT('Business Case'!B11:G11)=0,"",H618+NPV(G618,I618:M618))</f>
        <v>-236260801.402478</v>
      </c>
      <c r="P618" s="54" t="n">
        <f aca="true">RAND()</f>
        <v>0.47761304936819</v>
      </c>
      <c r="Q618" s="54" t="n">
        <f aca="true">RAND()</f>
        <v>0.79143750409114</v>
      </c>
      <c r="R618" s="54" t="n">
        <f aca="true">RAND()</f>
        <v>0.822582929257272</v>
      </c>
      <c r="S618" s="54" t="n">
        <f aca="true">RAND()</f>
        <v>0.523736484834186</v>
      </c>
      <c r="T618" s="54" t="n">
        <f aca="true">RAND()</f>
        <v>0.453641480217205</v>
      </c>
      <c r="U618" s="54" t="n">
        <f aca="true">RAND()</f>
        <v>0.0571142716754693</v>
      </c>
    </row>
    <row r="619" customFormat="false" ht="15" hidden="false" customHeight="false" outlineLevel="0" collapsed="false">
      <c r="A619" s="50" t="n">
        <v>539</v>
      </c>
      <c r="B619" s="51" t="n">
        <f aca="false">1+IF($G$6=$E$6,$F$6,IF(P619&lt;($F$6-$E$6)/($G$6-$E$6),$E$6+SQRT(P619*($G$6-$E$6)*($F$6-$E$6)),$G$6-SQRT((1-P619)*($G$6-$E$6)*($G$6-$F$6))))</f>
        <v>0.999008535460424</v>
      </c>
      <c r="C619" s="51" t="n">
        <f aca="false">1+IF($G$7=$E$7,$F$7,IF(Q619&lt;($F$7-$E$7)/($G$7-$E$7),$E$7+SQRT(Q619*($G$7-$E$7)*($F$7-$E$7)),$G$7-SQRT((1-Q619)*($G$7-$E$7)*($G$7-$F$7))))</f>
        <v>0.996335870056865</v>
      </c>
      <c r="D619" s="51" t="n">
        <f aca="false">1+IF($G$8=$E$8,$F$8,IF(R619&lt;($F$8-$E$8)/($G$8-$E$8),$E$8+SQRT(R619*($G$8-$E$8)*($F$8-$E$8)),$G$8-SQRT((1-R619)*($G$8-$E$8)*($G$8-$F$8))))</f>
        <v>0.994676302413206</v>
      </c>
      <c r="E619" s="51" t="n">
        <f aca="false">1+IF($G$9=$E$9,$F$9,IF(S619&lt;($F$9-$E$9)/($G$9-$E$9),$E$9+SQRT(S619*($G$9-$E$9)*($F$9-$E$9)),$G$9-SQRT((1-S619)*($G$9-$E$9)*($G$9-$F$9))))</f>
        <v>1.00286218553786</v>
      </c>
      <c r="F619" s="51" t="n">
        <f aca="false">1+IF($G$10=$E$10,$F$10,IF(T619&lt;($F$10-$E$10)/($G$10-$E$10),$E$10+SQRT(T619*($G$10-$E$10)*($F$10-$E$10)),$G$10-SQRT((1-T619)*($G$10-$E$10)*($G$10-$F$10))))</f>
        <v>1.09515916697349</v>
      </c>
      <c r="G619" s="52" t="n">
        <f aca="false">IF($G$11=$E$11,$F$11,IF(U619&lt;($F$11-$E$11)/($G$11-$E$11),$E$11+SQRT(U619*($G$11-$E$11)*($F$11-$E$11)),$G$11-SQRT((1-U619)*($G$11-$E$11)*($G$11-$F$11))))</f>
        <v>0.0944193208210814</v>
      </c>
      <c r="H619" s="53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-2190318333.94699</v>
      </c>
      <c r="I619" s="53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4211009.48469757</v>
      </c>
      <c r="J619" s="53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312143780.759443</v>
      </c>
      <c r="K619" s="53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674834510.382864</v>
      </c>
      <c r="L619" s="53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811877995.680589</v>
      </c>
      <c r="M619" s="53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1001073750.81438</v>
      </c>
      <c r="N619" s="53" t="n">
        <f aca="false">IF(COUNT('Business Case'!B11:G11)=0,"",H619+NPV(G619,I619:M619))</f>
        <v>-207534593.158139</v>
      </c>
      <c r="P619" s="54" t="n">
        <f aca="true">RAND()</f>
        <v>0.650244653708449</v>
      </c>
      <c r="Q619" s="54" t="n">
        <f aca="true">RAND()</f>
        <v>0.55068248387123</v>
      </c>
      <c r="R619" s="54" t="n">
        <f aca="true">RAND()</f>
        <v>0.307072614971722</v>
      </c>
      <c r="S619" s="54" t="n">
        <f aca="true">RAND()</f>
        <v>0.370949666767967</v>
      </c>
      <c r="T619" s="54" t="n">
        <f aca="true">RAND()</f>
        <v>0.78016799460616</v>
      </c>
      <c r="U619" s="54" t="n">
        <f aca="true">RAND()</f>
        <v>0.0651013217321449</v>
      </c>
    </row>
    <row r="620" customFormat="false" ht="15" hidden="false" customHeight="false" outlineLevel="0" collapsed="false">
      <c r="A620" s="50" t="n">
        <v>540</v>
      </c>
      <c r="B620" s="51" t="n">
        <f aca="false">1+IF($G$6=$E$6,$F$6,IF(P620&lt;($F$6-$E$6)/($G$6-$E$6),$E$6+SQRT(P620*($G$6-$E$6)*($F$6-$E$6)),$G$6-SQRT((1-P620)*($G$6-$E$6)*($G$6-$F$6))))</f>
        <v>1.00566421018988</v>
      </c>
      <c r="C620" s="51" t="n">
        <f aca="false">1+IF($G$7=$E$7,$F$7,IF(Q620&lt;($F$7-$E$7)/($G$7-$E$7),$E$7+SQRT(Q620*($G$7-$E$7)*($F$7-$E$7)),$G$7-SQRT((1-Q620)*($G$7-$E$7)*($G$7-$F$7))))</f>
        <v>0.980227189944852</v>
      </c>
      <c r="D620" s="51" t="n">
        <f aca="false">1+IF($G$8=$E$8,$F$8,IF(R620&lt;($F$8-$E$8)/($G$8-$E$8),$E$8+SQRT(R620*($G$8-$E$8)*($F$8-$E$8)),$G$8-SQRT((1-R620)*($G$8-$E$8)*($G$8-$F$8))))</f>
        <v>1.05584181359227</v>
      </c>
      <c r="E620" s="51" t="n">
        <f aca="false">1+IF($G$9=$E$9,$F$9,IF(S620&lt;($F$9-$E$9)/($G$9-$E$9),$E$9+SQRT(S620*($G$9-$E$9)*($F$9-$E$9)),$G$9-SQRT((1-S620)*($G$9-$E$9)*($G$9-$F$9))))</f>
        <v>1.04641116691556</v>
      </c>
      <c r="F620" s="51" t="n">
        <f aca="false">1+IF($G$10=$E$10,$F$10,IF(T620&lt;($F$10-$E$10)/($G$10-$E$10),$E$10+SQRT(T620*($G$10-$E$10)*($F$10-$E$10)),$G$10-SQRT((1-T620)*($G$10-$E$10)*($G$10-$F$10))))</f>
        <v>1.10077138462106</v>
      </c>
      <c r="G620" s="52" t="n">
        <f aca="false">IF($G$11=$E$11,$F$11,IF(U620&lt;($F$11-$E$11)/($G$11-$E$11),$E$11+SQRT(U620*($G$11-$E$11)*($F$11-$E$11)),$G$11-SQRT((1-U620)*($G$11-$E$11)*($G$11-$F$11))))</f>
        <v>0.111198116168644</v>
      </c>
      <c r="H620" s="53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-2201542769.24211</v>
      </c>
      <c r="I620" s="53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-32374511.6830108</v>
      </c>
      <c r="J620" s="53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245230587.271724</v>
      </c>
      <c r="K620" s="53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577874255.457511</v>
      </c>
      <c r="L620" s="53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704477824.602587</v>
      </c>
      <c r="M620" s="53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891854773.483491</v>
      </c>
      <c r="N620" s="53" t="n">
        <f aca="false">IF(COUNT('Business Case'!B11:G11)=0,"",H620+NPV(G620,I620:M620))</f>
        <v>-622412149.182965</v>
      </c>
      <c r="P620" s="54" t="n">
        <f aca="true">RAND()</f>
        <v>0.754386153774007</v>
      </c>
      <c r="Q620" s="54" t="n">
        <f aca="true">RAND()</f>
        <v>0.464026285648825</v>
      </c>
      <c r="R620" s="54" t="n">
        <f aca="true">RAND()</f>
        <v>0.943882887450896</v>
      </c>
      <c r="S620" s="54" t="n">
        <f aca="true">RAND()</f>
        <v>0.808549131243222</v>
      </c>
      <c r="T620" s="54" t="n">
        <f aca="true">RAND()</f>
        <v>0.803073637799548</v>
      </c>
      <c r="U620" s="54" t="n">
        <f aca="true">RAND()</f>
        <v>0.870878068365516</v>
      </c>
    </row>
    <row r="621" customFormat="false" ht="15" hidden="false" customHeight="false" outlineLevel="0" collapsed="false">
      <c r="A621" s="50" t="n">
        <v>541</v>
      </c>
      <c r="B621" s="51" t="n">
        <f aca="false">1+IF($G$6=$E$6,$F$6,IF(P621&lt;($F$6-$E$6)/($G$6-$E$6),$E$6+SQRT(P621*($G$6-$E$6)*($F$6-$E$6)),$G$6-SQRT((1-P621)*($G$6-$E$6)*($G$6-$F$6))))</f>
        <v>0.978592270523074</v>
      </c>
      <c r="C621" s="51" t="n">
        <f aca="false">1+IF($G$7=$E$7,$F$7,IF(Q621&lt;($F$7-$E$7)/($G$7-$E$7),$E$7+SQRT(Q621*($G$7-$E$7)*($F$7-$E$7)),$G$7-SQRT((1-Q621)*($G$7-$E$7)*($G$7-$F$7))))</f>
        <v>0.84630851216109</v>
      </c>
      <c r="D621" s="51" t="n">
        <f aca="false">1+IF($G$8=$E$8,$F$8,IF(R621&lt;($F$8-$E$8)/($G$8-$E$8),$E$8+SQRT(R621*($G$8-$E$8)*($F$8-$E$8)),$G$8-SQRT((1-R621)*($G$8-$E$8)*($G$8-$F$8))))</f>
        <v>1.03765685399813</v>
      </c>
      <c r="E621" s="51" t="n">
        <f aca="false">1+IF($G$9=$E$9,$F$9,IF(S621&lt;($F$9-$E$9)/($G$9-$E$9),$E$9+SQRT(S621*($G$9-$E$9)*($F$9-$E$9)),$G$9-SQRT((1-S621)*($G$9-$E$9)*($G$9-$F$9))))</f>
        <v>1.014196482414</v>
      </c>
      <c r="F621" s="51" t="n">
        <f aca="false">1+IF($G$10=$E$10,$F$10,IF(T621&lt;($F$10-$E$10)/($G$10-$E$10),$E$10+SQRT(T621*($G$10-$E$10)*($F$10-$E$10)),$G$10-SQRT((1-T621)*($G$10-$E$10)*($G$10-$F$10))))</f>
        <v>1.02333324049849</v>
      </c>
      <c r="G621" s="52" t="n">
        <f aca="false">IF($G$11=$E$11,$F$11,IF(U621&lt;($F$11-$E$11)/($G$11-$E$11),$E$11+SQRT(U621*($G$11-$E$11)*($F$11-$E$11)),$G$11-SQRT((1-U621)*($G$11-$E$11)*($G$11-$F$11))))</f>
        <v>0.0954433939759076</v>
      </c>
      <c r="H621" s="53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-2046666480.99698</v>
      </c>
      <c r="I621" s="53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-60694244.5543405</v>
      </c>
      <c r="J621" s="53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168096994.546377</v>
      </c>
      <c r="K621" s="53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448054895.672018</v>
      </c>
      <c r="L621" s="53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552940921.909549</v>
      </c>
      <c r="M621" s="53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710363461.197985</v>
      </c>
      <c r="N621" s="53" t="n">
        <f aca="false">IF(COUNT('Business Case'!B11:G11)=0,"",H621+NPV(G621,I621:M621))</f>
        <v>-786823599.570308</v>
      </c>
      <c r="P621" s="54" t="n">
        <f aca="true">RAND()</f>
        <v>0.35760980885928</v>
      </c>
      <c r="Q621" s="54" t="n">
        <f aca="true">RAND()</f>
        <v>0.0306354042653404</v>
      </c>
      <c r="R621" s="54" t="n">
        <f aca="true">RAND()</f>
        <v>0.827601729486964</v>
      </c>
      <c r="S621" s="54" t="n">
        <f aca="true">RAND()</f>
        <v>0.509183757991314</v>
      </c>
      <c r="T621" s="54" t="n">
        <f aca="true">RAND()</f>
        <v>0.37577712174472</v>
      </c>
      <c r="U621" s="54" t="n">
        <f aca="true">RAND()</f>
        <v>0.0987684599231579</v>
      </c>
    </row>
    <row r="622" customFormat="false" ht="15" hidden="false" customHeight="false" outlineLevel="0" collapsed="false">
      <c r="A622" s="50" t="n">
        <v>542</v>
      </c>
      <c r="B622" s="51" t="n">
        <f aca="false">1+IF($G$6=$E$6,$F$6,IF(P622&lt;($F$6-$E$6)/($G$6-$E$6),$E$6+SQRT(P622*($G$6-$E$6)*($F$6-$E$6)),$G$6-SQRT((1-P622)*($G$6-$E$6)*($G$6-$F$6))))</f>
        <v>1.02886325360189</v>
      </c>
      <c r="C622" s="51" t="n">
        <f aca="false">1+IF($G$7=$E$7,$F$7,IF(Q622&lt;($F$7-$E$7)/($G$7-$E$7),$E$7+SQRT(Q622*($G$7-$E$7)*($F$7-$E$7)),$G$7-SQRT((1-Q622)*($G$7-$E$7)*($G$7-$F$7))))</f>
        <v>0.977746152904535</v>
      </c>
      <c r="D622" s="51" t="n">
        <f aca="false">1+IF($G$8=$E$8,$F$8,IF(R622&lt;($F$8-$E$8)/($G$8-$E$8),$E$8+SQRT(R622*($G$8-$E$8)*($F$8-$E$8)),$G$8-SQRT((1-R622)*($G$8-$E$8)*($G$8-$F$8))))</f>
        <v>1.02205688305231</v>
      </c>
      <c r="E622" s="51" t="n">
        <f aca="false">1+IF($G$9=$E$9,$F$9,IF(S622&lt;($F$9-$E$9)/($G$9-$E$9),$E$9+SQRT(S622*($G$9-$E$9)*($F$9-$E$9)),$G$9-SQRT((1-S622)*($G$9-$E$9)*($G$9-$F$9))))</f>
        <v>1.00205486034247</v>
      </c>
      <c r="F622" s="51" t="n">
        <f aca="false">1+IF($G$10=$E$10,$F$10,IF(T622&lt;($F$10-$E$10)/($G$10-$E$10),$E$10+SQRT(T622*($G$10-$E$10)*($F$10-$E$10)),$G$10-SQRT((1-T622)*($G$10-$E$10)*($G$10-$F$10))))</f>
        <v>1.10088898529485</v>
      </c>
      <c r="G622" s="52" t="n">
        <f aca="false">IF($G$11=$E$11,$F$11,IF(U622&lt;($F$11-$E$11)/($G$11-$E$11),$E$11+SQRT(U622*($G$11-$E$11)*($F$11-$E$11)),$G$11-SQRT((1-U622)*($G$11-$E$11)*($G$11-$F$11))))</f>
        <v>0.103660855153303</v>
      </c>
      <c r="H622" s="53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-2201777970.5897</v>
      </c>
      <c r="I622" s="53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7661147.26946488</v>
      </c>
      <c r="J622" s="53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320052728.054875</v>
      </c>
      <c r="K622" s="53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687488758.105029</v>
      </c>
      <c r="L622" s="53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826385507.59734</v>
      </c>
      <c r="M622" s="53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1017599731.69846</v>
      </c>
      <c r="N622" s="53" t="n">
        <f aca="false">IF(COUNT('Business Case'!B11:G11)=0,"",H622+NPV(G622,I622:M622))</f>
        <v>-242264149.351127</v>
      </c>
      <c r="P622" s="54" t="n">
        <f aca="true">RAND()</f>
        <v>0.974161016596709</v>
      </c>
      <c r="Q622" s="54" t="n">
        <f aca="true">RAND()</f>
        <v>0.451338498176606</v>
      </c>
      <c r="R622" s="54" t="n">
        <f aca="true">RAND()</f>
        <v>0.6771726152295</v>
      </c>
      <c r="S622" s="54" t="n">
        <f aca="true">RAND()</f>
        <v>0.360449974497836</v>
      </c>
      <c r="T622" s="54" t="n">
        <f aca="true">RAND()</f>
        <v>0.803540135282314</v>
      </c>
      <c r="U622" s="54" t="n">
        <f aca="true">RAND()</f>
        <v>0.555053909464398</v>
      </c>
    </row>
    <row r="623" customFormat="false" ht="15" hidden="false" customHeight="false" outlineLevel="0" collapsed="false">
      <c r="A623" s="50" t="n">
        <v>543</v>
      </c>
      <c r="B623" s="51" t="n">
        <f aca="false">1+IF($G$6=$E$6,$F$6,IF(P623&lt;($F$6-$E$6)/($G$6-$E$6),$E$6+SQRT(P623*($G$6-$E$6)*($F$6-$E$6)),$G$6-SQRT((1-P623)*($G$6-$E$6)*($G$6-$F$6))))</f>
        <v>1.00335789499337</v>
      </c>
      <c r="C623" s="51" t="n">
        <f aca="false">1+IF($G$7=$E$7,$F$7,IF(Q623&lt;($F$7-$E$7)/($G$7-$E$7),$E$7+SQRT(Q623*($G$7-$E$7)*($F$7-$E$7)),$G$7-SQRT((1-Q623)*($G$7-$E$7)*($G$7-$F$7))))</f>
        <v>1.09254489502053</v>
      </c>
      <c r="D623" s="51" t="n">
        <f aca="false">1+IF($G$8=$E$8,$F$8,IF(R623&lt;($F$8-$E$8)/($G$8-$E$8),$E$8+SQRT(R623*($G$8-$E$8)*($F$8-$E$8)),$G$8-SQRT((1-R623)*($G$8-$E$8)*($G$8-$F$8))))</f>
        <v>1.00182710604466</v>
      </c>
      <c r="E623" s="51" t="n">
        <f aca="false">1+IF($G$9=$E$9,$F$9,IF(S623&lt;($F$9-$E$9)/($G$9-$E$9),$E$9+SQRT(S623*($G$9-$E$9)*($F$9-$E$9)),$G$9-SQRT((1-S623)*($G$9-$E$9)*($G$9-$F$9))))</f>
        <v>1.02461393520942</v>
      </c>
      <c r="F623" s="51" t="n">
        <f aca="false">1+IF($G$10=$E$10,$F$10,IF(T623&lt;($F$10-$E$10)/($G$10-$E$10),$E$10+SQRT(T623*($G$10-$E$10)*($F$10-$E$10)),$G$10-SQRT((1-T623)*($G$10-$E$10)*($G$10-$F$10))))</f>
        <v>1.00821330087349</v>
      </c>
      <c r="G623" s="52" t="n">
        <f aca="false">IF($G$11=$E$11,$F$11,IF(U623&lt;($F$11-$E$11)/($G$11-$E$11),$E$11+SQRT(U623*($G$11-$E$11)*($F$11-$E$11)),$G$11-SQRT((1-U623)*($G$11-$E$11)*($G$11-$F$11))))</f>
        <v>0.098416244573533</v>
      </c>
      <c r="H623" s="53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-2016426601.74699</v>
      </c>
      <c r="I623" s="53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34211204.6928899</v>
      </c>
      <c r="J623" s="53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371771551.287325</v>
      </c>
      <c r="K623" s="53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759742562.925436</v>
      </c>
      <c r="L623" s="53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910147818.608524</v>
      </c>
      <c r="M623" s="53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1118516089.44238</v>
      </c>
      <c r="N623" s="53" t="n">
        <f aca="false">IF(COUNT('Business Case'!B11:G11)=0,"",H623+NPV(G623,I623:M623))</f>
        <v>220901761.412208</v>
      </c>
      <c r="P623" s="54" t="n">
        <f aca="true">RAND()</f>
        <v>0.720282529308941</v>
      </c>
      <c r="Q623" s="54" t="n">
        <f aca="true">RAND()</f>
        <v>0.937122112605688</v>
      </c>
      <c r="R623" s="54" t="n">
        <f aca="true">RAND()</f>
        <v>0.412403716408404</v>
      </c>
      <c r="S623" s="54" t="n">
        <f aca="true">RAND()</f>
        <v>0.621129415692715</v>
      </c>
      <c r="T623" s="54" t="n">
        <f aca="true">RAND()</f>
        <v>0.264357240763181</v>
      </c>
      <c r="U623" s="54" t="n">
        <f aca="true">RAND()</f>
        <v>0.236110575738414</v>
      </c>
    </row>
    <row r="624" customFormat="false" ht="15" hidden="false" customHeight="false" outlineLevel="0" collapsed="false">
      <c r="A624" s="50" t="n">
        <v>544</v>
      </c>
      <c r="B624" s="51" t="n">
        <f aca="false">1+IF($G$6=$E$6,$F$6,IF(P624&lt;($F$6-$E$6)/($G$6-$E$6),$E$6+SQRT(P624*($G$6-$E$6)*($F$6-$E$6)),$G$6-SQRT((1-P624)*($G$6-$E$6)*($G$6-$F$6))))</f>
        <v>0.991061378779737</v>
      </c>
      <c r="C624" s="51" t="n">
        <f aca="false">1+IF($G$7=$E$7,$F$7,IF(Q624&lt;($F$7-$E$7)/($G$7-$E$7),$E$7+SQRT(Q624*($G$7-$E$7)*($F$7-$E$7)),$G$7-SQRT((1-Q624)*($G$7-$E$7)*($G$7-$F$7))))</f>
        <v>1.06920857684202</v>
      </c>
      <c r="D624" s="51" t="n">
        <f aca="false">1+IF($G$8=$E$8,$F$8,IF(R624&lt;($F$8-$E$8)/($G$8-$E$8),$E$8+SQRT(R624*($G$8-$E$8)*($F$8-$E$8)),$G$8-SQRT((1-R624)*($G$8-$E$8)*($G$8-$F$8))))</f>
        <v>0.973015991512824</v>
      </c>
      <c r="E624" s="51" t="n">
        <f aca="false">1+IF($G$9=$E$9,$F$9,IF(S624&lt;($F$9-$E$9)/($G$9-$E$9),$E$9+SQRT(S624*($G$9-$E$9)*($F$9-$E$9)),$G$9-SQRT((1-S624)*($G$9-$E$9)*($G$9-$F$9))))</f>
        <v>1.03576354041786</v>
      </c>
      <c r="F624" s="51" t="n">
        <f aca="false">1+IF($G$10=$E$10,$F$10,IF(T624&lt;($F$10-$E$10)/($G$10-$E$10),$E$10+SQRT(T624*($G$10-$E$10)*($F$10-$E$10)),$G$10-SQRT((1-T624)*($G$10-$E$10)*($G$10-$F$10))))</f>
        <v>1.04410309431198</v>
      </c>
      <c r="G624" s="52" t="n">
        <f aca="false">IF($G$11=$E$11,$F$11,IF(U624&lt;($F$11-$E$11)/($G$11-$E$11),$E$11+SQRT(U624*($G$11-$E$11)*($F$11-$E$11)),$G$11-SQRT((1-U624)*($G$11-$E$11)*($G$11-$F$11))))</f>
        <v>0.104656090065127</v>
      </c>
      <c r="H624" s="53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-2088206188.62397</v>
      </c>
      <c r="I624" s="53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28722943.829633</v>
      </c>
      <c r="J624" s="53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364074097.29681</v>
      </c>
      <c r="K624" s="53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751630405.479587</v>
      </c>
      <c r="L624" s="53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900035673.141263</v>
      </c>
      <c r="M624" s="53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1101454197.25733</v>
      </c>
      <c r="N624" s="53" t="n">
        <f aca="false">IF(COUNT('Business Case'!B11:G11)=0,"",H624+NPV(G624,I624:M624))</f>
        <v>67813873.832655</v>
      </c>
      <c r="P624" s="54" t="n">
        <f aca="true">RAND()</f>
        <v>0.526012453549712</v>
      </c>
      <c r="Q624" s="54" t="n">
        <f aca="true">RAND()</f>
        <v>0.875671351316341</v>
      </c>
      <c r="R624" s="54" t="n">
        <f aca="true">RAND()</f>
        <v>0.0814978254336005</v>
      </c>
      <c r="S624" s="54" t="n">
        <f aca="true">RAND()</f>
        <v>0.724911817356808</v>
      </c>
      <c r="T624" s="54" t="n">
        <f aca="true">RAND()</f>
        <v>0.513923095938032</v>
      </c>
      <c r="U624" s="54" t="n">
        <f aca="true">RAND()</f>
        <v>0.607607379850849</v>
      </c>
    </row>
    <row r="625" customFormat="false" ht="15" hidden="false" customHeight="false" outlineLevel="0" collapsed="false">
      <c r="A625" s="50" t="n">
        <v>545</v>
      </c>
      <c r="B625" s="51" t="n">
        <f aca="false">1+IF($G$6=$E$6,$F$6,IF(P625&lt;($F$6-$E$6)/($G$6-$E$6),$E$6+SQRT(P625*($G$6-$E$6)*($F$6-$E$6)),$G$6-SQRT((1-P625)*($G$6-$E$6)*($G$6-$F$6))))</f>
        <v>0.96853467031752</v>
      </c>
      <c r="C625" s="51" t="n">
        <f aca="false">1+IF($G$7=$E$7,$F$7,IF(Q625&lt;($F$7-$E$7)/($G$7-$E$7),$E$7+SQRT(Q625*($G$7-$E$7)*($F$7-$E$7)),$G$7-SQRT((1-Q625)*($G$7-$E$7)*($G$7-$F$7))))</f>
        <v>0.938822297410736</v>
      </c>
      <c r="D625" s="51" t="n">
        <f aca="false">1+IF($G$8=$E$8,$F$8,IF(R625&lt;($F$8-$E$8)/($G$8-$E$8),$E$8+SQRT(R625*($G$8-$E$8)*($F$8-$E$8)),$G$8-SQRT((1-R625)*($G$8-$E$8)*($G$8-$F$8))))</f>
        <v>1.01958210520302</v>
      </c>
      <c r="E625" s="51" t="n">
        <f aca="false">1+IF($G$9=$E$9,$F$9,IF(S625&lt;($F$9-$E$9)/($G$9-$E$9),$E$9+SQRT(S625*($G$9-$E$9)*($F$9-$E$9)),$G$9-SQRT((1-S625)*($G$9-$E$9)*($G$9-$F$9))))</f>
        <v>0.974143979364617</v>
      </c>
      <c r="F625" s="51" t="n">
        <f aca="false">1+IF($G$10=$E$10,$F$10,IF(T625&lt;($F$10-$E$10)/($G$10-$E$10),$E$10+SQRT(T625*($G$10-$E$10)*($F$10-$E$10)),$G$10-SQRT((1-T625)*($G$10-$E$10)*($G$10-$F$10))))</f>
        <v>1.0785879926161</v>
      </c>
      <c r="G625" s="52" t="n">
        <f aca="false">IF($G$11=$E$11,$F$11,IF(U625&lt;($F$11-$E$11)/($G$11-$E$11),$E$11+SQRT(U625*($G$11-$E$11)*($F$11-$E$11)),$G$11-SQRT((1-U625)*($G$11-$E$11)*($G$11-$F$11))))</f>
        <v>0.105308388138285</v>
      </c>
      <c r="H625" s="53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-2157175985.23221</v>
      </c>
      <c r="I625" s="53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-38764976.0933361</v>
      </c>
      <c r="J625" s="53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215989296.933588</v>
      </c>
      <c r="K625" s="53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524672969.591317</v>
      </c>
      <c r="L625" s="53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641015844.595626</v>
      </c>
      <c r="M625" s="53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813852156.569965</v>
      </c>
      <c r="N625" s="53" t="n">
        <f aca="false">IF(COUNT('Business Case'!B11:G11)=0,"",H625+NPV(G625,I625:M625))</f>
        <v>-704120801.135222</v>
      </c>
      <c r="P625" s="54" t="n">
        <f aca="true">RAND()</f>
        <v>0.245376481544827</v>
      </c>
      <c r="Q625" s="54" t="n">
        <f aca="true">RAND()</f>
        <v>0.275309003691354</v>
      </c>
      <c r="R625" s="54" t="n">
        <f aca="true">RAND()</f>
        <v>0.64900749887508</v>
      </c>
      <c r="S625" s="54" t="n">
        <f aca="true">RAND()</f>
        <v>0.0777242319412057</v>
      </c>
      <c r="T625" s="54" t="n">
        <f aca="true">RAND()</f>
        <v>0.705182489260247</v>
      </c>
      <c r="U625" s="54" t="n">
        <f aca="true">RAND()</f>
        <v>0.640260901507882</v>
      </c>
    </row>
    <row r="626" customFormat="false" ht="15" hidden="false" customHeight="false" outlineLevel="0" collapsed="false">
      <c r="A626" s="50" t="n">
        <v>546</v>
      </c>
      <c r="B626" s="51" t="n">
        <f aca="false">1+IF($G$6=$E$6,$F$6,IF(P626&lt;($F$6-$E$6)/($G$6-$E$6),$E$6+SQRT(P626*($G$6-$E$6)*($F$6-$E$6)),$G$6-SQRT((1-P626)*($G$6-$E$6)*($G$6-$F$6))))</f>
        <v>0.999472163418267</v>
      </c>
      <c r="C626" s="51" t="n">
        <f aca="false">1+IF($G$7=$E$7,$F$7,IF(Q626&lt;($F$7-$E$7)/($G$7-$E$7),$E$7+SQRT(Q626*($G$7-$E$7)*($F$7-$E$7)),$G$7-SQRT((1-Q626)*($G$7-$E$7)*($G$7-$F$7))))</f>
        <v>0.954664651531143</v>
      </c>
      <c r="D626" s="51" t="n">
        <f aca="false">1+IF($G$8=$E$8,$F$8,IF(R626&lt;($F$8-$E$8)/($G$8-$E$8),$E$8+SQRT(R626*($G$8-$E$8)*($F$8-$E$8)),$G$8-SQRT((1-R626)*($G$8-$E$8)*($G$8-$F$8))))</f>
        <v>1.04766884595434</v>
      </c>
      <c r="E626" s="51" t="n">
        <f aca="false">1+IF($G$9=$E$9,$F$9,IF(S626&lt;($F$9-$E$9)/($G$9-$E$9),$E$9+SQRT(S626*($G$9-$E$9)*($F$9-$E$9)),$G$9-SQRT((1-S626)*($G$9-$E$9)*($G$9-$F$9))))</f>
        <v>1.01266530647885</v>
      </c>
      <c r="F626" s="51" t="n">
        <f aca="false">1+IF($G$10=$E$10,$F$10,IF(T626&lt;($F$10-$E$10)/($G$10-$E$10),$E$10+SQRT(T626*($G$10-$E$10)*($F$10-$E$10)),$G$10-SQRT((1-T626)*($G$10-$E$10)*($G$10-$F$10))))</f>
        <v>1.06937778164554</v>
      </c>
      <c r="G626" s="52" t="n">
        <f aca="false">IF($G$11=$E$11,$F$11,IF(U626&lt;($F$11-$E$11)/($G$11-$E$11),$E$11+SQRT(U626*($G$11-$E$11)*($F$11-$E$11)),$G$11-SQRT((1-U626)*($G$11-$E$11)*($G$11-$F$11))))</f>
        <v>0.0981054186463825</v>
      </c>
      <c r="H626" s="53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-2138755563.29109</v>
      </c>
      <c r="I626" s="53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-30884390.3845699</v>
      </c>
      <c r="J626" s="53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238633696.977019</v>
      </c>
      <c r="K626" s="53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561620673.420885</v>
      </c>
      <c r="L626" s="53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684435831.208289</v>
      </c>
      <c r="M626" s="53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865802705.542765</v>
      </c>
      <c r="N626" s="53" t="n">
        <f aca="false">IF(COUNT('Business Case'!B11:G11)=0,"",H626+NPV(G626,I626:M626))</f>
        <v>-531877520.312725</v>
      </c>
      <c r="P626" s="54" t="n">
        <f aca="true">RAND()</f>
        <v>0.657898412331224</v>
      </c>
      <c r="Q626" s="54" t="n">
        <f aca="true">RAND()</f>
        <v>0.341730777617856</v>
      </c>
      <c r="R626" s="54" t="n">
        <f aca="true">RAND()</f>
        <v>0.899490045968839</v>
      </c>
      <c r="S626" s="54" t="n">
        <f aca="true">RAND()</f>
        <v>0.491510087171165</v>
      </c>
      <c r="T626" s="54" t="n">
        <f aca="true">RAND()</f>
        <v>0.658756721443211</v>
      </c>
      <c r="U626" s="54" t="n">
        <f aca="true">RAND()</f>
        <v>0.218992704777083</v>
      </c>
    </row>
    <row r="627" customFormat="false" ht="15" hidden="false" customHeight="false" outlineLevel="0" collapsed="false">
      <c r="A627" s="50" t="n">
        <v>547</v>
      </c>
      <c r="B627" s="51" t="n">
        <f aca="false">1+IF($G$6=$E$6,$F$6,IF(P627&lt;($F$6-$E$6)/($G$6-$E$6),$E$6+SQRT(P627*($G$6-$E$6)*($F$6-$E$6)),$G$6-SQRT((1-P627)*($G$6-$E$6)*($G$6-$F$6))))</f>
        <v>1.00851848620307</v>
      </c>
      <c r="C627" s="51" t="n">
        <f aca="false">1+IF($G$7=$E$7,$F$7,IF(Q627&lt;($F$7-$E$7)/($G$7-$E$7),$E$7+SQRT(Q627*($G$7-$E$7)*($F$7-$E$7)),$G$7-SQRT((1-Q627)*($G$7-$E$7)*($G$7-$F$7))))</f>
        <v>1.0825797139967</v>
      </c>
      <c r="D627" s="51" t="n">
        <f aca="false">1+IF($G$8=$E$8,$F$8,IF(R627&lt;($F$8-$E$8)/($G$8-$E$8),$E$8+SQRT(R627*($G$8-$E$8)*($F$8-$E$8)),$G$8-SQRT((1-R627)*($G$8-$E$8)*($G$8-$F$8))))</f>
        <v>1.04521574669201</v>
      </c>
      <c r="E627" s="51" t="n">
        <f aca="false">1+IF($G$9=$E$9,$F$9,IF(S627&lt;($F$9-$E$9)/($G$9-$E$9),$E$9+SQRT(S627*($G$9-$E$9)*($F$9-$E$9)),$G$9-SQRT((1-S627)*($G$9-$E$9)*($G$9-$F$9))))</f>
        <v>1.08084422760577</v>
      </c>
      <c r="F627" s="51" t="n">
        <f aca="false">1+IF($G$10=$E$10,$F$10,IF(T627&lt;($F$10-$E$10)/($G$10-$E$10),$E$10+SQRT(T627*($G$10-$E$10)*($F$10-$E$10)),$G$10-SQRT((1-T627)*($G$10-$E$10)*($G$10-$F$10))))</f>
        <v>0.995945058206844</v>
      </c>
      <c r="G627" s="52" t="n">
        <f aca="false">IF($G$11=$E$11,$F$11,IF(U627&lt;($F$11-$E$11)/($G$11-$E$11),$E$11+SQRT(U627*($G$11-$E$11)*($F$11-$E$11)),$G$11-SQRT((1-U627)*($G$11-$E$11)*($G$11-$F$11))))</f>
        <v>0.10077085855427</v>
      </c>
      <c r="H627" s="53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-1991890116.41369</v>
      </c>
      <c r="I627" s="53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5122099.80754201</v>
      </c>
      <c r="J627" s="53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320133752.363025</v>
      </c>
      <c r="K627" s="53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684942657.828849</v>
      </c>
      <c r="L627" s="53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827679207.188488</v>
      </c>
      <c r="M627" s="53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1035208865.64811</v>
      </c>
      <c r="N627" s="53" t="n">
        <f aca="false">IF(COUNT('Business Case'!B11:G11)=0,"",H627+NPV(G627,I627:M627))</f>
        <v>-5236916.14988327</v>
      </c>
      <c r="P627" s="54" t="n">
        <f aca="true">RAND()</f>
        <v>0.793523810219457</v>
      </c>
      <c r="Q627" s="54" t="n">
        <f aca="true">RAND()</f>
        <v>0.913419143528241</v>
      </c>
      <c r="R627" s="54" t="n">
        <f aca="true">RAND()</f>
        <v>0.883659204019775</v>
      </c>
      <c r="S627" s="54" t="n">
        <f aca="true">RAND()</f>
        <v>0.975537092265352</v>
      </c>
      <c r="T627" s="54" t="n">
        <f aca="true">RAND()</f>
        <v>0.168875869890424</v>
      </c>
      <c r="U627" s="54" t="n">
        <f aca="true">RAND()</f>
        <v>0.383733532100174</v>
      </c>
    </row>
    <row r="628" customFormat="false" ht="15" hidden="false" customHeight="false" outlineLevel="0" collapsed="false">
      <c r="A628" s="50" t="n">
        <v>548</v>
      </c>
      <c r="B628" s="51" t="n">
        <f aca="false">1+IF($G$6=$E$6,$F$6,IF(P628&lt;($F$6-$E$6)/($G$6-$E$6),$E$6+SQRT(P628*($G$6-$E$6)*($F$6-$E$6)),$G$6-SQRT((1-P628)*($G$6-$E$6)*($G$6-$F$6))))</f>
        <v>1.0060781818092</v>
      </c>
      <c r="C628" s="51" t="n">
        <f aca="false">1+IF($G$7=$E$7,$F$7,IF(Q628&lt;($F$7-$E$7)/($G$7-$E$7),$E$7+SQRT(Q628*($G$7-$E$7)*($F$7-$E$7)),$G$7-SQRT((1-Q628)*($G$7-$E$7)*($G$7-$F$7))))</f>
        <v>1.02301320304995</v>
      </c>
      <c r="D628" s="51" t="n">
        <f aca="false">1+IF($G$8=$E$8,$F$8,IF(R628&lt;($F$8-$E$8)/($G$8-$E$8),$E$8+SQRT(R628*($G$8-$E$8)*($F$8-$E$8)),$G$8-SQRT((1-R628)*($G$8-$E$8)*($G$8-$F$8))))</f>
        <v>1.01170192105304</v>
      </c>
      <c r="E628" s="51" t="n">
        <f aca="false">1+IF($G$9=$E$9,$F$9,IF(S628&lt;($F$9-$E$9)/($G$9-$E$9),$E$9+SQRT(S628*($G$9-$E$9)*($F$9-$E$9)),$G$9-SQRT((1-S628)*($G$9-$E$9)*($G$9-$F$9))))</f>
        <v>0.973999482942034</v>
      </c>
      <c r="F628" s="51" t="n">
        <f aca="false">1+IF($G$10=$E$10,$F$10,IF(T628&lt;($F$10-$E$10)/($G$10-$E$10),$E$10+SQRT(T628*($G$10-$E$10)*($F$10-$E$10)),$G$10-SQRT((1-T628)*($G$10-$E$10)*($G$10-$F$10))))</f>
        <v>1.0307796992861</v>
      </c>
      <c r="G628" s="52" t="n">
        <f aca="false">IF($G$11=$E$11,$F$11,IF(U628&lt;($F$11-$E$11)/($G$11-$E$11),$E$11+SQRT(U628*($G$11-$E$11)*($F$11-$E$11)),$G$11-SQRT((1-U628)*($G$11-$E$11)*($G$11-$F$11))))</f>
        <v>0.0955322241697356</v>
      </c>
      <c r="H628" s="53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-2061559398.5722</v>
      </c>
      <c r="I628" s="53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18249238.4807791</v>
      </c>
      <c r="J628" s="53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331434522.053546</v>
      </c>
      <c r="K628" s="53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696158790.590619</v>
      </c>
      <c r="L628" s="53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836124117.574222</v>
      </c>
      <c r="M628" s="53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1031760396.10063</v>
      </c>
      <c r="N628" s="53" t="n">
        <f aca="false">IF(COUNT('Business Case'!B11:G11)=0,"",H628+NPV(G628,I628:M628))</f>
        <v>-5021018.92175269</v>
      </c>
      <c r="P628" s="54" t="n">
        <f aca="true">RAND()</f>
        <v>0.760272968881376</v>
      </c>
      <c r="Q628" s="54" t="n">
        <f aca="true">RAND()</f>
        <v>0.692844826673644</v>
      </c>
      <c r="R628" s="54" t="n">
        <f aca="true">RAND()</f>
        <v>0.551478116553401</v>
      </c>
      <c r="S628" s="54" t="n">
        <f aca="true">RAND()</f>
        <v>0.0767966908646626</v>
      </c>
      <c r="T628" s="54" t="n">
        <f aca="true">RAND()</f>
        <v>0.427289796525934</v>
      </c>
      <c r="U628" s="54" t="n">
        <f aca="true">RAND()</f>
        <v>0.102018347547355</v>
      </c>
    </row>
    <row r="629" customFormat="false" ht="15" hidden="false" customHeight="false" outlineLevel="0" collapsed="false">
      <c r="A629" s="50" t="n">
        <v>549</v>
      </c>
      <c r="B629" s="51" t="n">
        <f aca="false">1+IF($G$6=$E$6,$F$6,IF(P629&lt;($F$6-$E$6)/($G$6-$E$6),$E$6+SQRT(P629*($G$6-$E$6)*($F$6-$E$6)),$G$6-SQRT((1-P629)*($G$6-$E$6)*($G$6-$F$6))))</f>
        <v>0.943091884037224</v>
      </c>
      <c r="C629" s="51" t="n">
        <f aca="false">1+IF($G$7=$E$7,$F$7,IF(Q629&lt;($F$7-$E$7)/($G$7-$E$7),$E$7+SQRT(Q629*($G$7-$E$7)*($F$7-$E$7)),$G$7-SQRT((1-Q629)*($G$7-$E$7)*($G$7-$F$7))))</f>
        <v>0.979814573522163</v>
      </c>
      <c r="D629" s="51" t="n">
        <f aca="false">1+IF($G$8=$E$8,$F$8,IF(R629&lt;($F$8-$E$8)/($G$8-$E$8),$E$8+SQRT(R629*($G$8-$E$8)*($F$8-$E$8)),$G$8-SQRT((1-R629)*($G$8-$E$8)*($G$8-$F$8))))</f>
        <v>0.994075610037206</v>
      </c>
      <c r="E629" s="51" t="n">
        <f aca="false">1+IF($G$9=$E$9,$F$9,IF(S629&lt;($F$9-$E$9)/($G$9-$E$9),$E$9+SQRT(S629*($G$9-$E$9)*($F$9-$E$9)),$G$9-SQRT((1-S629)*($G$9-$E$9)*($G$9-$F$9))))</f>
        <v>1.00177190333664</v>
      </c>
      <c r="F629" s="51" t="n">
        <f aca="false">1+IF($G$10=$E$10,$F$10,IF(T629&lt;($F$10-$E$10)/($G$10-$E$10),$E$10+SQRT(T629*($G$10-$E$10)*($F$10-$E$10)),$G$10-SQRT((1-T629)*($G$10-$E$10)*($G$10-$F$10))))</f>
        <v>1.09975195986439</v>
      </c>
      <c r="G629" s="52" t="n">
        <f aca="false">IF($G$11=$E$11,$F$11,IF(U629&lt;($F$11-$E$11)/($G$11-$E$11),$E$11+SQRT(U629*($G$11-$E$11)*($F$11-$E$11)),$G$11-SQRT((1-U629)*($G$11-$E$11)*($G$11-$F$11))))</f>
        <v>0.112060800148541</v>
      </c>
      <c r="H629" s="53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-2199503919.72878</v>
      </c>
      <c r="I629" s="53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-42077544.2076797</v>
      </c>
      <c r="J629" s="53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216175092.349813</v>
      </c>
      <c r="K629" s="53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529415326.900525</v>
      </c>
      <c r="L629" s="53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647434885.835865</v>
      </c>
      <c r="M629" s="53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823079292.958165</v>
      </c>
      <c r="N629" s="53" t="n">
        <f aca="false">IF(COUNT('Business Case'!B11:G11)=0,"",H629+NPV(G629,I629:M629))</f>
        <v>-770301447.475214</v>
      </c>
      <c r="P629" s="54" t="n">
        <f aca="true">RAND()</f>
        <v>0.0555453237904786</v>
      </c>
      <c r="Q629" s="54" t="n">
        <f aca="true">RAND()</f>
        <v>0.461904012156533</v>
      </c>
      <c r="R629" s="54" t="n">
        <f aca="true">RAND()</f>
        <v>0.298870676946438</v>
      </c>
      <c r="S629" s="54" t="n">
        <f aca="true">RAND()</f>
        <v>0.35674940172621</v>
      </c>
      <c r="T629" s="54" t="n">
        <f aca="true">RAND()</f>
        <v>0.799006608979385</v>
      </c>
      <c r="U629" s="54" t="n">
        <f aca="true">RAND()</f>
        <v>0.894948509530981</v>
      </c>
    </row>
    <row r="630" customFormat="false" ht="15" hidden="false" customHeight="false" outlineLevel="0" collapsed="false">
      <c r="A630" s="50" t="n">
        <v>550</v>
      </c>
      <c r="B630" s="51" t="n">
        <f aca="false">1+IF($G$6=$E$6,$F$6,IF(P630&lt;($F$6-$E$6)/($G$6-$E$6),$E$6+SQRT(P630*($G$6-$E$6)*($F$6-$E$6)),$G$6-SQRT((1-P630)*($G$6-$E$6)*($G$6-$F$6))))</f>
        <v>1.03048821245477</v>
      </c>
      <c r="C630" s="51" t="n">
        <f aca="false">1+IF($G$7=$E$7,$F$7,IF(Q630&lt;($F$7-$E$7)/($G$7-$E$7),$E$7+SQRT(Q630*($G$7-$E$7)*($F$7-$E$7)),$G$7-SQRT((1-Q630)*($G$7-$E$7)*($G$7-$F$7))))</f>
        <v>0.959046690769524</v>
      </c>
      <c r="D630" s="51" t="n">
        <f aca="false">1+IF($G$8=$E$8,$F$8,IF(R630&lt;($F$8-$E$8)/($G$8-$E$8),$E$8+SQRT(R630*($G$8-$E$8)*($F$8-$E$8)),$G$8-SQRT((1-R630)*($G$8-$E$8)*($G$8-$F$8))))</f>
        <v>1.02318135659959</v>
      </c>
      <c r="E630" s="51" t="n">
        <f aca="false">1+IF($G$9=$E$9,$F$9,IF(S630&lt;($F$9-$E$9)/($G$9-$E$9),$E$9+SQRT(S630*($G$9-$E$9)*($F$9-$E$9)),$G$9-SQRT((1-S630)*($G$9-$E$9)*($G$9-$F$9))))</f>
        <v>0.955466285029067</v>
      </c>
      <c r="F630" s="51" t="n">
        <f aca="false">1+IF($G$10=$E$10,$F$10,IF(T630&lt;($F$10-$E$10)/($G$10-$E$10),$E$10+SQRT(T630*($G$10-$E$10)*($F$10-$E$10)),$G$10-SQRT((1-T630)*($G$10-$E$10)*($G$10-$F$10))))</f>
        <v>1.13583051878857</v>
      </c>
      <c r="G630" s="52" t="n">
        <f aca="false">IF($G$11=$E$11,$F$11,IF(U630&lt;($F$11-$E$11)/($G$11-$E$11),$E$11+SQRT(U630*($G$11-$E$11)*($F$11-$E$11)),$G$11-SQRT((1-U630)*($G$11-$E$11)*($G$11-$F$11))))</f>
        <v>0.0979208795946176</v>
      </c>
      <c r="H630" s="53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-2271661037.57715</v>
      </c>
      <c r="I630" s="53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6458335.52261911</v>
      </c>
      <c r="J630" s="53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313599790.967275</v>
      </c>
      <c r="K630" s="53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677532772.35136</v>
      </c>
      <c r="L630" s="53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814068432.374276</v>
      </c>
      <c r="M630" s="53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1001921894.18511</v>
      </c>
      <c r="N630" s="53" t="n">
        <f aca="false">IF(COUNT('Business Case'!B11:G11)=0,"",H630+NPV(G630,I630:M630))</f>
        <v>-305414173.468324</v>
      </c>
      <c r="P630" s="54" t="n">
        <f aca="true">RAND()</f>
        <v>0.981151228686348</v>
      </c>
      <c r="Q630" s="54" t="n">
        <f aca="true">RAND()</f>
        <v>0.361369283496237</v>
      </c>
      <c r="R630" s="54" t="n">
        <f aca="true">RAND()</f>
        <v>0.689580938666987</v>
      </c>
      <c r="S630" s="54" t="n">
        <f aca="true">RAND()</f>
        <v>0.00398403626920016</v>
      </c>
      <c r="T630" s="54" t="n">
        <f aca="true">RAND()</f>
        <v>0.917645553621129</v>
      </c>
      <c r="U630" s="54" t="n">
        <f aca="true">RAND()</f>
        <v>0.209134445174765</v>
      </c>
    </row>
    <row r="631" customFormat="false" ht="15" hidden="false" customHeight="false" outlineLevel="0" collapsed="false">
      <c r="A631" s="50" t="n">
        <v>551</v>
      </c>
      <c r="B631" s="51" t="n">
        <f aca="false">1+IF($G$6=$E$6,$F$6,IF(P631&lt;($F$6-$E$6)/($G$6-$E$6),$E$6+SQRT(P631*($G$6-$E$6)*($F$6-$E$6)),$G$6-SQRT((1-P631)*($G$6-$E$6)*($G$6-$F$6))))</f>
        <v>0.987362624638391</v>
      </c>
      <c r="C631" s="51" t="n">
        <f aca="false">1+IF($G$7=$E$7,$F$7,IF(Q631&lt;($F$7-$E$7)/($G$7-$E$7),$E$7+SQRT(Q631*($G$7-$E$7)*($F$7-$E$7)),$G$7-SQRT((1-Q631)*($G$7-$E$7)*($G$7-$F$7))))</f>
        <v>1.02066351051658</v>
      </c>
      <c r="D631" s="51" t="n">
        <f aca="false">1+IF($G$8=$E$8,$F$8,IF(R631&lt;($F$8-$E$8)/($G$8-$E$8),$E$8+SQRT(R631*($G$8-$E$8)*($F$8-$E$8)),$G$8-SQRT((1-R631)*($G$8-$E$8)*($G$8-$F$8))))</f>
        <v>1.05691106108297</v>
      </c>
      <c r="E631" s="51" t="n">
        <f aca="false">1+IF($G$9=$E$9,$F$9,IF(S631&lt;($F$9-$E$9)/($G$9-$E$9),$E$9+SQRT(S631*($G$9-$E$9)*($F$9-$E$9)),$G$9-SQRT((1-S631)*($G$9-$E$9)*($G$9-$F$9))))</f>
        <v>1.05000708351313</v>
      </c>
      <c r="F631" s="51" t="n">
        <f aca="false">1+IF($G$10=$E$10,$F$10,IF(T631&lt;($F$10-$E$10)/($G$10-$E$10),$E$10+SQRT(T631*($G$10-$E$10)*($F$10-$E$10)),$G$10-SQRT((1-T631)*($G$10-$E$10)*($G$10-$F$10))))</f>
        <v>1.05065436189264</v>
      </c>
      <c r="G631" s="52" t="n">
        <f aca="false">IF($G$11=$E$11,$F$11,IF(U631&lt;($F$11-$E$11)/($G$11-$E$11),$E$11+SQRT(U631*($G$11-$E$11)*($F$11-$E$11)),$G$11-SQRT((1-U631)*($G$11-$E$11)*($G$11-$F$11))))</f>
        <v>0.111775756137371</v>
      </c>
      <c r="H631" s="53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-2101308723.78528</v>
      </c>
      <c r="I631" s="53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-33420868.5344999</v>
      </c>
      <c r="J631" s="53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239777244.13146</v>
      </c>
      <c r="K631" s="53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565508074.892052</v>
      </c>
      <c r="L631" s="53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691402470.93779</v>
      </c>
      <c r="M631" s="53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882958442.635093</v>
      </c>
      <c r="N631" s="53" t="n">
        <f aca="false">IF(COUNT('Business Case'!B11:G11)=0,"",H631+NPV(G631,I631:M631))</f>
        <v>-553498735.007114</v>
      </c>
      <c r="P631" s="54" t="n">
        <f aca="true">RAND()</f>
        <v>0.472679499809656</v>
      </c>
      <c r="Q631" s="54" t="n">
        <f aca="true">RAND()</f>
        <v>0.681372809297236</v>
      </c>
      <c r="R631" s="54" t="n">
        <f aca="true">RAND()</f>
        <v>0.948740471123611</v>
      </c>
      <c r="S631" s="54" t="n">
        <f aca="true">RAND()</f>
        <v>0.833380553409141</v>
      </c>
      <c r="T631" s="54" t="n">
        <f aca="true">RAND()</f>
        <v>0.553917607566107</v>
      </c>
      <c r="U631" s="54" t="n">
        <f aca="true">RAND()</f>
        <v>0.887269688146689</v>
      </c>
    </row>
    <row r="632" customFormat="false" ht="15" hidden="false" customHeight="false" outlineLevel="0" collapsed="false">
      <c r="A632" s="50" t="n">
        <v>552</v>
      </c>
      <c r="B632" s="51" t="n">
        <f aca="false">1+IF($G$6=$E$6,$F$6,IF(P632&lt;($F$6-$E$6)/($G$6-$E$6),$E$6+SQRT(P632*($G$6-$E$6)*($F$6-$E$6)),$G$6-SQRT((1-P632)*($G$6-$E$6)*($G$6-$F$6))))</f>
        <v>1.01032313189686</v>
      </c>
      <c r="C632" s="51" t="n">
        <f aca="false">1+IF($G$7=$E$7,$F$7,IF(Q632&lt;($F$7-$E$7)/($G$7-$E$7),$E$7+SQRT(Q632*($G$7-$E$7)*($F$7-$E$7)),$G$7-SQRT((1-Q632)*($G$7-$E$7)*($G$7-$F$7))))</f>
        <v>0.961068912906323</v>
      </c>
      <c r="D632" s="51" t="n">
        <f aca="false">1+IF($G$8=$E$8,$F$8,IF(R632&lt;($F$8-$E$8)/($G$8-$E$8),$E$8+SQRT(R632*($G$8-$E$8)*($F$8-$E$8)),$G$8-SQRT((1-R632)*($G$8-$E$8)*($G$8-$F$8))))</f>
        <v>0.999218170988651</v>
      </c>
      <c r="E632" s="51" t="n">
        <f aca="false">1+IF($G$9=$E$9,$F$9,IF(S632&lt;($F$9-$E$9)/($G$9-$E$9),$E$9+SQRT(S632*($G$9-$E$9)*($F$9-$E$9)),$G$9-SQRT((1-S632)*($G$9-$E$9)*($G$9-$F$9))))</f>
        <v>1.00764946453197</v>
      </c>
      <c r="F632" s="51" t="n">
        <f aca="false">1+IF($G$10=$E$10,$F$10,IF(T632&lt;($F$10-$E$10)/($G$10-$E$10),$E$10+SQRT(T632*($G$10-$E$10)*($F$10-$E$10)),$G$10-SQRT((1-T632)*($G$10-$E$10)*($G$10-$F$10))))</f>
        <v>0.988024528833707</v>
      </c>
      <c r="G632" s="52" t="n">
        <f aca="false">IF($G$11=$E$11,$F$11,IF(U632&lt;($F$11-$E$11)/($G$11-$E$11),$E$11+SQRT(U632*($G$11-$E$11)*($F$11-$E$11)),$G$11-SQRT((1-U632)*($G$11-$E$11)*($G$11-$F$11))))</f>
        <v>0.104120712033429</v>
      </c>
      <c r="H632" s="53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-1976049057.66741</v>
      </c>
      <c r="I632" s="53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11278765.6084258</v>
      </c>
      <c r="J632" s="53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314983867.542944</v>
      </c>
      <c r="K632" s="53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668090195.919148</v>
      </c>
      <c r="L632" s="53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802882649.621503</v>
      </c>
      <c r="M632" s="53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987448458.104511</v>
      </c>
      <c r="N632" s="53" t="n">
        <f aca="false">IF(COUNT('Business Case'!B11:G11)=0,"",H632+NPV(G632,I632:M632))</f>
        <v>-69098628.0485325</v>
      </c>
      <c r="P632" s="54" t="n">
        <f aca="true">RAND()</f>
        <v>0.816517395747702</v>
      </c>
      <c r="Q632" s="54" t="n">
        <f aca="true">RAND()</f>
        <v>0.370617067211778</v>
      </c>
      <c r="R632" s="54" t="n">
        <f aca="true">RAND()</f>
        <v>0.372681285456631</v>
      </c>
      <c r="S632" s="54" t="n">
        <f aca="true">RAND()</f>
        <v>0.431425239917927</v>
      </c>
      <c r="T632" s="54" t="n">
        <f aca="true">RAND()</f>
        <v>0.115669183442034</v>
      </c>
      <c r="U632" s="54" t="n">
        <f aca="true">RAND()</f>
        <v>0.57974702279118</v>
      </c>
    </row>
    <row r="633" customFormat="false" ht="15" hidden="false" customHeight="false" outlineLevel="0" collapsed="false">
      <c r="A633" s="50" t="n">
        <v>553</v>
      </c>
      <c r="B633" s="51" t="n">
        <f aca="false">1+IF($G$6=$E$6,$F$6,IF(P633&lt;($F$6-$E$6)/($G$6-$E$6),$E$6+SQRT(P633*($G$6-$E$6)*($F$6-$E$6)),$G$6-SQRT((1-P633)*($G$6-$E$6)*($G$6-$F$6))))</f>
        <v>1.01202247126728</v>
      </c>
      <c r="C633" s="51" t="n">
        <f aca="false">1+IF($G$7=$E$7,$F$7,IF(Q633&lt;($F$7-$E$7)/($G$7-$E$7),$E$7+SQRT(Q633*($G$7-$E$7)*($F$7-$E$7)),$G$7-SQRT((1-Q633)*($G$7-$E$7)*($G$7-$F$7))))</f>
        <v>1.0733054894549</v>
      </c>
      <c r="D633" s="51" t="n">
        <f aca="false">1+IF($G$8=$E$8,$F$8,IF(R633&lt;($F$8-$E$8)/($G$8-$E$8),$E$8+SQRT(R633*($G$8-$E$8)*($F$8-$E$8)),$G$8-SQRT((1-R633)*($G$8-$E$8)*($G$8-$F$8))))</f>
        <v>1.00766491776976</v>
      </c>
      <c r="E633" s="51" t="n">
        <f aca="false">1+IF($G$9=$E$9,$F$9,IF(S633&lt;($F$9-$E$9)/($G$9-$E$9),$E$9+SQRT(S633*($G$9-$E$9)*($F$9-$E$9)),$G$9-SQRT((1-S633)*($G$9-$E$9)*($G$9-$F$9))))</f>
        <v>0.975047330254809</v>
      </c>
      <c r="F633" s="51" t="n">
        <f aca="false">1+IF($G$10=$E$10,$F$10,IF(T633&lt;($F$10-$E$10)/($G$10-$E$10),$E$10+SQRT(T633*($G$10-$E$10)*($F$10-$E$10)),$G$10-SQRT((1-T633)*($G$10-$E$10)*($G$10-$F$10))))</f>
        <v>1.05416136489845</v>
      </c>
      <c r="G633" s="52" t="n">
        <f aca="false">IF($G$11=$E$11,$F$11,IF(U633&lt;($F$11-$E$11)/($G$11-$E$11),$E$11+SQRT(U633*($G$11-$E$11)*($F$11-$E$11)),$G$11-SQRT((1-U633)*($G$11-$E$11)*($G$11-$F$11))))</f>
        <v>0.0981206234384896</v>
      </c>
      <c r="H633" s="53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-2108322729.7969</v>
      </c>
      <c r="I633" s="53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35648637.9953241</v>
      </c>
      <c r="J633" s="53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371674231.599779</v>
      </c>
      <c r="K633" s="53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760407893.449156</v>
      </c>
      <c r="L633" s="53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909955817.155341</v>
      </c>
      <c r="M633" s="53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1116422475.9312</v>
      </c>
      <c r="N633" s="53" t="n">
        <f aca="false">IF(COUNT('Business Case'!B11:G11)=0,"",H633+NPV(G633,I633:M633))</f>
        <v>131546263.311996</v>
      </c>
      <c r="P633" s="54" t="n">
        <f aca="true">RAND()</f>
        <v>0.836928726252001</v>
      </c>
      <c r="Q633" s="54" t="n">
        <f aca="true">RAND()</f>
        <v>0.88796099147138</v>
      </c>
      <c r="R633" s="54" t="n">
        <f aca="true">RAND()</f>
        <v>0.496888065263943</v>
      </c>
      <c r="S633" s="54" t="n">
        <f aca="true">RAND()</f>
        <v>0.0836491670524643</v>
      </c>
      <c r="T633" s="54" t="n">
        <f aca="true">RAND()</f>
        <v>0.574621850234326</v>
      </c>
      <c r="U633" s="54" t="n">
        <f aca="true">RAND()</f>
        <v>0.219815083432488</v>
      </c>
    </row>
    <row r="634" customFormat="false" ht="15" hidden="false" customHeight="false" outlineLevel="0" collapsed="false">
      <c r="A634" s="50" t="n">
        <v>554</v>
      </c>
      <c r="B634" s="51" t="n">
        <f aca="false">1+IF($G$6=$E$6,$F$6,IF(P634&lt;($F$6-$E$6)/($G$6-$E$6),$E$6+SQRT(P634*($G$6-$E$6)*($F$6-$E$6)),$G$6-SQRT((1-P634)*($G$6-$E$6)*($G$6-$F$6))))</f>
        <v>1.00921159100697</v>
      </c>
      <c r="C634" s="51" t="n">
        <f aca="false">1+IF($G$7=$E$7,$F$7,IF(Q634&lt;($F$7-$E$7)/($G$7-$E$7),$E$7+SQRT(Q634*($G$7-$E$7)*($F$7-$E$7)),$G$7-SQRT((1-Q634)*($G$7-$E$7)*($G$7-$F$7))))</f>
        <v>1.01742040237594</v>
      </c>
      <c r="D634" s="51" t="n">
        <f aca="false">1+IF($G$8=$E$8,$F$8,IF(R634&lt;($F$8-$E$8)/($G$8-$E$8),$E$8+SQRT(R634*($G$8-$E$8)*($F$8-$E$8)),$G$8-SQRT((1-R634)*($G$8-$E$8)*($G$8-$F$8))))</f>
        <v>1.02936258528446</v>
      </c>
      <c r="E634" s="51" t="n">
        <f aca="false">1+IF($G$9=$E$9,$F$9,IF(S634&lt;($F$9-$E$9)/($G$9-$E$9),$E$9+SQRT(S634*($G$9-$E$9)*($F$9-$E$9)),$G$9-SQRT((1-S634)*($G$9-$E$9)*($G$9-$F$9))))</f>
        <v>1.07295804304537</v>
      </c>
      <c r="F634" s="51" t="n">
        <f aca="false">1+IF($G$10=$E$10,$F$10,IF(T634&lt;($F$10-$E$10)/($G$10-$E$10),$E$10+SQRT(T634*($G$10-$E$10)*($F$10-$E$10)),$G$10-SQRT((1-T634)*($G$10-$E$10)*($G$10-$F$10))))</f>
        <v>1.10011386472081</v>
      </c>
      <c r="G634" s="52" t="n">
        <f aca="false">IF($G$11=$E$11,$F$11,IF(U634&lt;($F$11-$E$11)/($G$11-$E$11),$E$11+SQRT(U634*($G$11-$E$11)*($F$11-$E$11)),$G$11-SQRT((1-U634)*($G$11-$E$11)*($G$11-$F$11))))</f>
        <v>0.0986533934294673</v>
      </c>
      <c r="H634" s="53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-2200227729.44162</v>
      </c>
      <c r="I634" s="53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-10928983.4613575</v>
      </c>
      <c r="J634" s="53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293956974.552585</v>
      </c>
      <c r="K634" s="53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653848625.802567</v>
      </c>
      <c r="L634" s="53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790963225.995326</v>
      </c>
      <c r="M634" s="53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986135937.363273</v>
      </c>
      <c r="N634" s="53" t="n">
        <f aca="false">IF(COUNT('Business Case'!B11:G11)=0,"",H634+NPV(G634,I634:M634))</f>
        <v>-314618467.747917</v>
      </c>
      <c r="P634" s="54" t="n">
        <f aca="true">RAND()</f>
        <v>0.802515389932874</v>
      </c>
      <c r="Q634" s="54" t="n">
        <f aca="true">RAND()</f>
        <v>0.665193338930318</v>
      </c>
      <c r="R634" s="54" t="n">
        <f aca="true">RAND()</f>
        <v>0.753447329896809</v>
      </c>
      <c r="S634" s="54" t="n">
        <f aca="true">RAND()</f>
        <v>0.951248837604256</v>
      </c>
      <c r="T634" s="54" t="n">
        <f aca="true">RAND()</f>
        <v>0.800455199579743</v>
      </c>
      <c r="U634" s="54" t="n">
        <f aca="true">RAND()</f>
        <v>0.249604059483827</v>
      </c>
    </row>
    <row r="635" customFormat="false" ht="15" hidden="false" customHeight="false" outlineLevel="0" collapsed="false">
      <c r="A635" s="50" t="n">
        <v>555</v>
      </c>
      <c r="B635" s="51" t="n">
        <f aca="false">1+IF($G$6=$E$6,$F$6,IF(P635&lt;($F$6-$E$6)/($G$6-$E$6),$E$6+SQRT(P635*($G$6-$E$6)*($F$6-$E$6)),$G$6-SQRT((1-P635)*($G$6-$E$6)*($G$6-$F$6))))</f>
        <v>1.0002664449275</v>
      </c>
      <c r="C635" s="51" t="n">
        <f aca="false">1+IF($G$7=$E$7,$F$7,IF(Q635&lt;($F$7-$E$7)/($G$7-$E$7),$E$7+SQRT(Q635*($G$7-$E$7)*($F$7-$E$7)),$G$7-SQRT((1-Q635)*($G$7-$E$7)*($G$7-$F$7))))</f>
        <v>0.953405778630422</v>
      </c>
      <c r="D635" s="51" t="n">
        <f aca="false">1+IF($G$8=$E$8,$F$8,IF(R635&lt;($F$8-$E$8)/($G$8-$E$8),$E$8+SQRT(R635*($G$8-$E$8)*($F$8-$E$8)),$G$8-SQRT((1-R635)*($G$8-$E$8)*($G$8-$F$8))))</f>
        <v>0.972509686632341</v>
      </c>
      <c r="E635" s="51" t="n">
        <f aca="false">1+IF($G$9=$E$9,$F$9,IF(S635&lt;($F$9-$E$9)/($G$9-$E$9),$E$9+SQRT(S635*($G$9-$E$9)*($F$9-$E$9)),$G$9-SQRT((1-S635)*($G$9-$E$9)*($G$9-$F$9))))</f>
        <v>1.01644142599404</v>
      </c>
      <c r="F635" s="51" t="n">
        <f aca="false">1+IF($G$10=$E$10,$F$10,IF(T635&lt;($F$10-$E$10)/($G$10-$E$10),$E$10+SQRT(T635*($G$10-$E$10)*($F$10-$E$10)),$G$10-SQRT((1-T635)*($G$10-$E$10)*($G$10-$F$10))))</f>
        <v>1.03552285439499</v>
      </c>
      <c r="G635" s="52" t="n">
        <f aca="false">IF($G$11=$E$11,$F$11,IF(U635&lt;($F$11-$E$11)/($G$11-$E$11),$E$11+SQRT(U635*($G$11-$E$11)*($F$11-$E$11)),$G$11-SQRT((1-U635)*($G$11-$E$11)*($G$11-$F$11))))</f>
        <v>0.115763503762632</v>
      </c>
      <c r="H635" s="53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-2071045708.78998</v>
      </c>
      <c r="I635" s="53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8937708.12537752</v>
      </c>
      <c r="J635" s="53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315403396.952932</v>
      </c>
      <c r="K635" s="53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673645228.500235</v>
      </c>
      <c r="L635" s="53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808758941.100303</v>
      </c>
      <c r="M635" s="53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990030597.550161</v>
      </c>
      <c r="N635" s="53" t="n">
        <f aca="false">IF(COUNT('Business Case'!B11:G11)=0,"",H635+NPV(G635,I635:M635))</f>
        <v>-230366700.762523</v>
      </c>
      <c r="P635" s="54" t="n">
        <f aca="true">RAND()</f>
        <v>0.671092625270886</v>
      </c>
      <c r="Q635" s="54" t="n">
        <f aca="true">RAND()</f>
        <v>0.336190470245798</v>
      </c>
      <c r="R635" s="54" t="n">
        <f aca="true">RAND()</f>
        <v>0.0779516911209551</v>
      </c>
      <c r="S635" s="54" t="n">
        <f aca="true">RAND()</f>
        <v>0.534530980672731</v>
      </c>
      <c r="T635" s="54" t="n">
        <f aca="true">RAND()</f>
        <v>0.45894537147256</v>
      </c>
      <c r="U635" s="54" t="n">
        <f aca="true">RAND()</f>
        <v>0.970086832717939</v>
      </c>
    </row>
    <row r="636" customFormat="false" ht="15" hidden="false" customHeight="false" outlineLevel="0" collapsed="false">
      <c r="A636" s="50" t="n">
        <v>556</v>
      </c>
      <c r="B636" s="51" t="n">
        <f aca="false">1+IF($G$6=$E$6,$F$6,IF(P636&lt;($F$6-$E$6)/($G$6-$E$6),$E$6+SQRT(P636*($G$6-$E$6)*($F$6-$E$6)),$G$6-SQRT((1-P636)*($G$6-$E$6)*($G$6-$F$6))))</f>
        <v>0.986100949216389</v>
      </c>
      <c r="C636" s="51" t="n">
        <f aca="false">1+IF($G$7=$E$7,$F$7,IF(Q636&lt;($F$7-$E$7)/($G$7-$E$7),$E$7+SQRT(Q636*($G$7-$E$7)*($F$7-$E$7)),$G$7-SQRT((1-Q636)*($G$7-$E$7)*($G$7-$F$7))))</f>
        <v>1.06666540143277</v>
      </c>
      <c r="D636" s="51" t="n">
        <f aca="false">1+IF($G$8=$E$8,$F$8,IF(R636&lt;($F$8-$E$8)/($G$8-$E$8),$E$8+SQRT(R636*($G$8-$E$8)*($F$8-$E$8)),$G$8-SQRT((1-R636)*($G$8-$E$8)*($G$8-$F$8))))</f>
        <v>1.0227313730217</v>
      </c>
      <c r="E636" s="51" t="n">
        <f aca="false">1+IF($G$9=$E$9,$F$9,IF(S636&lt;($F$9-$E$9)/($G$9-$E$9),$E$9+SQRT(S636*($G$9-$E$9)*($F$9-$E$9)),$G$9-SQRT((1-S636)*($G$9-$E$9)*($G$9-$F$9))))</f>
        <v>0.987390491365003</v>
      </c>
      <c r="F636" s="51" t="n">
        <f aca="false">1+IF($G$10=$E$10,$F$10,IF(T636&lt;($F$10-$E$10)/($G$10-$E$10),$E$10+SQRT(T636*($G$10-$E$10)*($F$10-$E$10)),$G$10-SQRT((1-T636)*($G$10-$E$10)*($G$10-$F$10))))</f>
        <v>1.08919262304453</v>
      </c>
      <c r="G636" s="52" t="n">
        <f aca="false">IF($G$11=$E$11,$F$11,IF(U636&lt;($F$11-$E$11)/($G$11-$E$11),$E$11+SQRT(U636*($G$11-$E$11)*($F$11-$E$11)),$G$11-SQRT((1-U636)*($G$11-$E$11)*($G$11-$F$11))))</f>
        <v>0.108125333700473</v>
      </c>
      <c r="H636" s="53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-2178385246.08906</v>
      </c>
      <c r="I636" s="53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-780822.065966889</v>
      </c>
      <c r="J636" s="53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302291919.454402</v>
      </c>
      <c r="K636" s="53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659824292.126999</v>
      </c>
      <c r="L636" s="53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797200121.573641</v>
      </c>
      <c r="M636" s="53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997133824.076165</v>
      </c>
      <c r="N636" s="53" t="n">
        <f aca="false">IF(COUNT('Business Case'!B11:G11)=0,"",H636+NPV(G636,I636:M636))</f>
        <v>-322525707.136649</v>
      </c>
      <c r="P636" s="54" t="n">
        <f aca="true">RAND()</f>
        <v>0.455139113261216</v>
      </c>
      <c r="Q636" s="54" t="n">
        <f aca="true">RAND()</f>
        <v>0.867720851078837</v>
      </c>
      <c r="R636" s="54" t="n">
        <f aca="true">RAND()</f>
        <v>0.684644650386619</v>
      </c>
      <c r="S636" s="54" t="n">
        <f aca="true">RAND()</f>
        <v>0.186406512602182</v>
      </c>
      <c r="T636" s="54" t="n">
        <f aca="true">RAND()</f>
        <v>0.754434504244978</v>
      </c>
      <c r="U636" s="54" t="n">
        <f aca="true">RAND()</f>
        <v>0.764987167124806</v>
      </c>
    </row>
    <row r="637" customFormat="false" ht="15" hidden="false" customHeight="false" outlineLevel="0" collapsed="false">
      <c r="A637" s="50" t="n">
        <v>557</v>
      </c>
      <c r="B637" s="51" t="n">
        <f aca="false">1+IF($G$6=$E$6,$F$6,IF(P637&lt;($F$6-$E$6)/($G$6-$E$6),$E$6+SQRT(P637*($G$6-$E$6)*($F$6-$E$6)),$G$6-SQRT((1-P637)*($G$6-$E$6)*($G$6-$F$6))))</f>
        <v>0.972372056460723</v>
      </c>
      <c r="C637" s="51" t="n">
        <f aca="false">1+IF($G$7=$E$7,$F$7,IF(Q637&lt;($F$7-$E$7)/($G$7-$E$7),$E$7+SQRT(Q637*($G$7-$E$7)*($F$7-$E$7)),$G$7-SQRT((1-Q637)*($G$7-$E$7)*($G$7-$F$7))))</f>
        <v>0.922417504262931</v>
      </c>
      <c r="D637" s="51" t="n">
        <f aca="false">1+IF($G$8=$E$8,$F$8,IF(R637&lt;($F$8-$E$8)/($G$8-$E$8),$E$8+SQRT(R637*($G$8-$E$8)*($F$8-$E$8)),$G$8-SQRT((1-R637)*($G$8-$E$8)*($G$8-$F$8))))</f>
        <v>0.971609293634858</v>
      </c>
      <c r="E637" s="51" t="n">
        <f aca="false">1+IF($G$9=$E$9,$F$9,IF(S637&lt;($F$9-$E$9)/($G$9-$E$9),$E$9+SQRT(S637*($G$9-$E$9)*($F$9-$E$9)),$G$9-SQRT((1-S637)*($G$9-$E$9)*($G$9-$F$9))))</f>
        <v>0.998588756544921</v>
      </c>
      <c r="F637" s="51" t="n">
        <f aca="false">1+IF($G$10=$E$10,$F$10,IF(T637&lt;($F$10-$E$10)/($G$10-$E$10),$E$10+SQRT(T637*($G$10-$E$10)*($F$10-$E$10)),$G$10-SQRT((1-T637)*($G$10-$E$10)*($G$10-$F$10))))</f>
        <v>1.00107009120778</v>
      </c>
      <c r="G637" s="52" t="n">
        <f aca="false">IF($G$11=$E$11,$F$11,IF(U637&lt;($F$11-$E$11)/($G$11-$E$11),$E$11+SQRT(U637*($G$11-$E$11)*($F$11-$E$11)),$G$11-SQRT((1-U637)*($G$11-$E$11)*($G$11-$F$11))))</f>
        <v>0.0951971666630203</v>
      </c>
      <c r="H637" s="53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-2002140182.41556</v>
      </c>
      <c r="I637" s="53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-12748391.1585693</v>
      </c>
      <c r="J637" s="53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263106554.991288</v>
      </c>
      <c r="K637" s="53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589015005.701535</v>
      </c>
      <c r="L637" s="53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711964659.089461</v>
      </c>
      <c r="M637" s="53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882453684.781652</v>
      </c>
      <c r="N637" s="53" t="n">
        <f aca="false">IF(COUNT('Business Case'!B11:G11)=0,"",H637+NPV(G637,I637:M637))</f>
        <v>-291120020.999524</v>
      </c>
      <c r="P637" s="54" t="n">
        <f aca="true">RAND()</f>
        <v>0.285711697700539</v>
      </c>
      <c r="Q637" s="54" t="n">
        <f aca="true">RAND()</f>
        <v>0.214086362142354</v>
      </c>
      <c r="R637" s="54" t="n">
        <f aca="true">RAND()</f>
        <v>0.0718402417534631</v>
      </c>
      <c r="S637" s="54" t="n">
        <f aca="true">RAND()</f>
        <v>0.314782301677549</v>
      </c>
      <c r="T637" s="54" t="n">
        <f aca="true">RAND()</f>
        <v>0.208537827758384</v>
      </c>
      <c r="U637" s="54" t="n">
        <f aca="true">RAND()</f>
        <v>0.0900351377440315</v>
      </c>
    </row>
    <row r="638" customFormat="false" ht="15" hidden="false" customHeight="false" outlineLevel="0" collapsed="false">
      <c r="A638" s="50" t="n">
        <v>558</v>
      </c>
      <c r="B638" s="51" t="n">
        <f aca="false">1+IF($G$6=$E$6,$F$6,IF(P638&lt;($F$6-$E$6)/($G$6-$E$6),$E$6+SQRT(P638*($G$6-$E$6)*($F$6-$E$6)),$G$6-SQRT((1-P638)*($G$6-$E$6)*($G$6-$F$6))))</f>
        <v>1.00031729377291</v>
      </c>
      <c r="C638" s="51" t="n">
        <f aca="false">1+IF($G$7=$E$7,$F$7,IF(Q638&lt;($F$7-$E$7)/($G$7-$E$7),$E$7+SQRT(Q638*($G$7-$E$7)*($F$7-$E$7)),$G$7-SQRT((1-Q638)*($G$7-$E$7)*($G$7-$F$7))))</f>
        <v>1.02783963418117</v>
      </c>
      <c r="D638" s="51" t="n">
        <f aca="false">1+IF($G$8=$E$8,$F$8,IF(R638&lt;($F$8-$E$8)/($G$8-$E$8),$E$8+SQRT(R638*($G$8-$E$8)*($F$8-$E$8)),$G$8-SQRT((1-R638)*($G$8-$E$8)*($G$8-$F$8))))</f>
        <v>1.00812061938396</v>
      </c>
      <c r="E638" s="51" t="n">
        <f aca="false">1+IF($G$9=$E$9,$F$9,IF(S638&lt;($F$9-$E$9)/($G$9-$E$9),$E$9+SQRT(S638*($G$9-$E$9)*($F$9-$E$9)),$G$9-SQRT((1-S638)*($G$9-$E$9)*($G$9-$F$9))))</f>
        <v>1.01757035484439</v>
      </c>
      <c r="F638" s="51" t="n">
        <f aca="false">1+IF($G$10=$E$10,$F$10,IF(T638&lt;($F$10-$E$10)/($G$10-$E$10),$E$10+SQRT(T638*($G$10-$E$10)*($F$10-$E$10)),$G$10-SQRT((1-T638)*($G$10-$E$10)*($G$10-$F$10))))</f>
        <v>1.10885697714056</v>
      </c>
      <c r="G638" s="52" t="n">
        <f aca="false">IF($G$11=$E$11,$F$11,IF(U638&lt;($F$11-$E$11)/($G$11-$E$11),$E$11+SQRT(U638*($G$11-$E$11)*($F$11-$E$11)),$G$11-SQRT((1-U638)*($G$11-$E$11)*($G$11-$F$11))))</f>
        <v>0.0975190521143555</v>
      </c>
      <c r="H638" s="53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-2217713954.28112</v>
      </c>
      <c r="I638" s="53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2812965.8418007</v>
      </c>
      <c r="J638" s="53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314510246.922147</v>
      </c>
      <c r="K638" s="53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681650376.859522</v>
      </c>
      <c r="L638" s="53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821082879.263383</v>
      </c>
      <c r="M638" s="53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1016516627.17065</v>
      </c>
      <c r="N638" s="53" t="n">
        <f aca="false">IF(COUNT('Business Case'!B11:G11)=0,"",H638+NPV(G638,I638:M638))</f>
        <v>-234191927.984078</v>
      </c>
      <c r="P638" s="54" t="n">
        <f aca="true">RAND()</f>
        <v>0.671933922186379</v>
      </c>
      <c r="Q638" s="54" t="n">
        <f aca="true">RAND()</f>
        <v>0.715749429009686</v>
      </c>
      <c r="R638" s="54" t="n">
        <f aca="true">RAND()</f>
        <v>0.503207177139895</v>
      </c>
      <c r="S638" s="54" t="n">
        <f aca="true">RAND()</f>
        <v>0.547023573301337</v>
      </c>
      <c r="T638" s="54" t="n">
        <f aca="true">RAND()</f>
        <v>0.833858987680868</v>
      </c>
      <c r="U638" s="54" t="n">
        <f aca="true">RAND()</f>
        <v>0.18845381566131</v>
      </c>
    </row>
    <row r="639" customFormat="false" ht="15" hidden="false" customHeight="false" outlineLevel="0" collapsed="false">
      <c r="A639" s="50" t="n">
        <v>559</v>
      </c>
      <c r="B639" s="51" t="n">
        <f aca="false">1+IF($G$6=$E$6,$F$6,IF(P639&lt;($F$6-$E$6)/($G$6-$E$6),$E$6+SQRT(P639*($G$6-$E$6)*($F$6-$E$6)),$G$6-SQRT((1-P639)*($G$6-$E$6)*($G$6-$F$6))))</f>
        <v>0.978339686007795</v>
      </c>
      <c r="C639" s="51" t="n">
        <f aca="false">1+IF($G$7=$E$7,$F$7,IF(Q639&lt;($F$7-$E$7)/($G$7-$E$7),$E$7+SQRT(Q639*($G$7-$E$7)*($F$7-$E$7)),$G$7-SQRT((1-Q639)*($G$7-$E$7)*($G$7-$F$7))))</f>
        <v>0.901346229073174</v>
      </c>
      <c r="D639" s="51" t="n">
        <f aca="false">1+IF($G$8=$E$8,$F$8,IF(R639&lt;($F$8-$E$8)/($G$8-$E$8),$E$8+SQRT(R639*($G$8-$E$8)*($F$8-$E$8)),$G$8-SQRT((1-R639)*($G$8-$E$8)*($G$8-$F$8))))</f>
        <v>1.04150046259936</v>
      </c>
      <c r="E639" s="51" t="n">
        <f aca="false">1+IF($G$9=$E$9,$F$9,IF(S639&lt;($F$9-$E$9)/($G$9-$E$9),$E$9+SQRT(S639*($G$9-$E$9)*($F$9-$E$9)),$G$9-SQRT((1-S639)*($G$9-$E$9)*($G$9-$F$9))))</f>
        <v>1.01013216975827</v>
      </c>
      <c r="F639" s="51" t="n">
        <f aca="false">1+IF($G$10=$E$10,$F$10,IF(T639&lt;($F$10-$E$10)/($G$10-$E$10),$E$10+SQRT(T639*($G$10-$E$10)*($F$10-$E$10)),$G$10-SQRT((1-T639)*($G$10-$E$10)*($G$10-$F$10))))</f>
        <v>1.15357110696671</v>
      </c>
      <c r="G639" s="52" t="n">
        <f aca="false">IF($G$11=$E$11,$F$11,IF(U639&lt;($F$11-$E$11)/($G$11-$E$11),$E$11+SQRT(U639*($G$11-$E$11)*($F$11-$E$11)),$G$11-SQRT((1-U639)*($G$11-$E$11)*($G$11-$F$11))))</f>
        <v>0.101911109546374</v>
      </c>
      <c r="H639" s="53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-2307142213.93343</v>
      </c>
      <c r="I639" s="53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-63001432.1677368</v>
      </c>
      <c r="J639" s="53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178708734.165206</v>
      </c>
      <c r="K639" s="53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478097455.846485</v>
      </c>
      <c r="L639" s="53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589143306.800386</v>
      </c>
      <c r="M639" s="53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756760182.103119</v>
      </c>
      <c r="N639" s="53" t="n">
        <f aca="false">IF(COUNT('Business Case'!B11:G11)=0,"",H639+NPV(G639,I639:M639))</f>
        <v>-994363270.954327</v>
      </c>
      <c r="P639" s="54" t="n">
        <f aca="true">RAND()</f>
        <v>0.354533225363348</v>
      </c>
      <c r="Q639" s="54" t="n">
        <f aca="true">RAND()</f>
        <v>0.146729402105032</v>
      </c>
      <c r="R639" s="54" t="n">
        <f aca="true">RAND()</f>
        <v>0.857479386532378</v>
      </c>
      <c r="S639" s="54" t="n">
        <f aca="true">RAND()</f>
        <v>0.461584872509602</v>
      </c>
      <c r="T639" s="54" t="n">
        <f aca="true">RAND()</f>
        <v>0.956887157834072</v>
      </c>
      <c r="U639" s="54" t="n">
        <f aca="true">RAND()</f>
        <v>0.454653403594509</v>
      </c>
    </row>
    <row r="640" customFormat="false" ht="15" hidden="false" customHeight="false" outlineLevel="0" collapsed="false">
      <c r="A640" s="50" t="n">
        <v>560</v>
      </c>
      <c r="B640" s="51" t="n">
        <f aca="false">1+IF($G$6=$E$6,$F$6,IF(P640&lt;($F$6-$E$6)/($G$6-$E$6),$E$6+SQRT(P640*($G$6-$E$6)*($F$6-$E$6)),$G$6-SQRT((1-P640)*($G$6-$E$6)*($G$6-$F$6))))</f>
        <v>0.982454648383013</v>
      </c>
      <c r="C640" s="51" t="n">
        <f aca="false">1+IF($G$7=$E$7,$F$7,IF(Q640&lt;($F$7-$E$7)/($G$7-$E$7),$E$7+SQRT(Q640*($G$7-$E$7)*($F$7-$E$7)),$G$7-SQRT((1-Q640)*($G$7-$E$7)*($G$7-$F$7))))</f>
        <v>1.02561829599184</v>
      </c>
      <c r="D640" s="51" t="n">
        <f aca="false">1+IF($G$8=$E$8,$F$8,IF(R640&lt;($F$8-$E$8)/($G$8-$E$8),$E$8+SQRT(R640*($G$8-$E$8)*($F$8-$E$8)),$G$8-SQRT((1-R640)*($G$8-$E$8)*($G$8-$F$8))))</f>
        <v>1.03519949242009</v>
      </c>
      <c r="E640" s="51" t="n">
        <f aca="false">1+IF($G$9=$E$9,$F$9,IF(S640&lt;($F$9-$E$9)/($G$9-$E$9),$E$9+SQRT(S640*($G$9-$E$9)*($F$9-$E$9)),$G$9-SQRT((1-S640)*($G$9-$E$9)*($G$9-$F$9))))</f>
        <v>1.00239737864724</v>
      </c>
      <c r="F640" s="51" t="n">
        <f aca="false">1+IF($G$10=$E$10,$F$10,IF(T640&lt;($F$10-$E$10)/($G$10-$E$10),$E$10+SQRT(T640*($G$10-$E$10)*($F$10-$E$10)),$G$10-SQRT((1-T640)*($G$10-$E$10)*($G$10-$F$10))))</f>
        <v>0.966189028934533</v>
      </c>
      <c r="G640" s="52" t="n">
        <f aca="false">IF($G$11=$E$11,$F$11,IF(U640&lt;($F$11-$E$11)/($G$11-$E$11),$E$11+SQRT(U640*($G$11-$E$11)*($F$11-$E$11)),$G$11-SQRT((1-U640)*($G$11-$E$11)*($G$11-$F$11))))</f>
        <v>0.0999369807351805</v>
      </c>
      <c r="H640" s="53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-1932378057.86907</v>
      </c>
      <c r="I640" s="53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-9594312.48448227</v>
      </c>
      <c r="J640" s="53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272206385.457068</v>
      </c>
      <c r="K640" s="53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602316534.845345</v>
      </c>
      <c r="L640" s="53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731073567.685157</v>
      </c>
      <c r="M640" s="53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922602635.411278</v>
      </c>
      <c r="N640" s="53" t="n">
        <f aca="false">IF(COUNT('Business Case'!B11:G11)=0,"",H640+NPV(G640,I640:M640))</f>
        <v>-191028510.960545</v>
      </c>
      <c r="P640" s="54" t="n">
        <f aca="true">RAND()</f>
        <v>0.406310740067276</v>
      </c>
      <c r="Q640" s="54" t="n">
        <f aca="true">RAND()</f>
        <v>0.705317937295757</v>
      </c>
      <c r="R640" s="54" t="n">
        <f aca="true">RAND()</f>
        <v>0.807011011594487</v>
      </c>
      <c r="S640" s="54" t="n">
        <f aca="true">RAND()</f>
        <v>0.364915220337955</v>
      </c>
      <c r="T640" s="54" t="n">
        <f aca="true">RAND()</f>
        <v>0.0209667726274529</v>
      </c>
      <c r="U640" s="54" t="n">
        <f aca="true">RAND()</f>
        <v>0.329145287104497</v>
      </c>
    </row>
    <row r="641" customFormat="false" ht="15" hidden="false" customHeight="false" outlineLevel="0" collapsed="false">
      <c r="A641" s="50" t="n">
        <v>561</v>
      </c>
      <c r="B641" s="51" t="n">
        <f aca="false">1+IF($G$6=$E$6,$F$6,IF(P641&lt;($F$6-$E$6)/($G$6-$E$6),$E$6+SQRT(P641*($G$6-$E$6)*($F$6-$E$6)),$G$6-SQRT((1-P641)*($G$6-$E$6)*($G$6-$F$6))))</f>
        <v>0.979337513793287</v>
      </c>
      <c r="C641" s="51" t="n">
        <f aca="false">1+IF($G$7=$E$7,$F$7,IF(Q641&lt;($F$7-$E$7)/($G$7-$E$7),$E$7+SQRT(Q641*($G$7-$E$7)*($F$7-$E$7)),$G$7-SQRT((1-Q641)*($G$7-$E$7)*($G$7-$F$7))))</f>
        <v>0.856155235450052</v>
      </c>
      <c r="D641" s="51" t="n">
        <f aca="false">1+IF($G$8=$E$8,$F$8,IF(R641&lt;($F$8-$E$8)/($G$8-$E$8),$E$8+SQRT(R641*($G$8-$E$8)*($F$8-$E$8)),$G$8-SQRT((1-R641)*($G$8-$E$8)*($G$8-$F$8))))</f>
        <v>0.981558872852585</v>
      </c>
      <c r="E641" s="51" t="n">
        <f aca="false">1+IF($G$9=$E$9,$F$9,IF(S641&lt;($F$9-$E$9)/($G$9-$E$9),$E$9+SQRT(S641*($G$9-$E$9)*($F$9-$E$9)),$G$9-SQRT((1-S641)*($G$9-$E$9)*($G$9-$F$9))))</f>
        <v>1.02641481002354</v>
      </c>
      <c r="F641" s="51" t="n">
        <f aca="false">1+IF($G$10=$E$10,$F$10,IF(T641&lt;($F$10-$E$10)/($G$10-$E$10),$E$10+SQRT(T641*($G$10-$E$10)*($F$10-$E$10)),$G$10-SQRT((1-T641)*($G$10-$E$10)*($G$10-$F$10))))</f>
        <v>1.01244825864196</v>
      </c>
      <c r="G641" s="52" t="n">
        <f aca="false">IF($G$11=$E$11,$F$11,IF(U641&lt;($F$11-$E$11)/($G$11-$E$11),$E$11+SQRT(U641*($G$11-$E$11)*($F$11-$E$11)),$G$11-SQRT((1-U641)*($G$11-$E$11)*($G$11-$F$11))))</f>
        <v>0.106057926776816</v>
      </c>
      <c r="H641" s="53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-2024896517.28391</v>
      </c>
      <c r="I641" s="53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-34104435.0493529</v>
      </c>
      <c r="J641" s="53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222458164.225236</v>
      </c>
      <c r="K641" s="53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529643176.431922</v>
      </c>
      <c r="L641" s="53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644141391.17305</v>
      </c>
      <c r="M641" s="53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803516806.912511</v>
      </c>
      <c r="N641" s="53" t="n">
        <f aca="false">IF(COUNT('Business Case'!B11:G11)=0,"",H641+NPV(G641,I641:M641))</f>
        <v>-566659328.581971</v>
      </c>
      <c r="P641" s="54" t="n">
        <f aca="true">RAND()</f>
        <v>0.366764639913385</v>
      </c>
      <c r="Q641" s="54" t="n">
        <f aca="true">RAND()</f>
        <v>0.0450487209778682</v>
      </c>
      <c r="R641" s="54" t="n">
        <f aca="true">RAND()</f>
        <v>0.153224993188554</v>
      </c>
      <c r="S641" s="54" t="n">
        <f aca="true">RAND()</f>
        <v>0.639014654408553</v>
      </c>
      <c r="T641" s="54" t="n">
        <f aca="true">RAND()</f>
        <v>0.2964868862713</v>
      </c>
      <c r="U641" s="54" t="n">
        <f aca="true">RAND()</f>
        <v>0.676030990398952</v>
      </c>
    </row>
    <row r="642" customFormat="false" ht="15" hidden="false" customHeight="false" outlineLevel="0" collapsed="false">
      <c r="A642" s="50" t="n">
        <v>562</v>
      </c>
      <c r="B642" s="51" t="n">
        <f aca="false">1+IF($G$6=$E$6,$F$6,IF(P642&lt;($F$6-$E$6)/($G$6-$E$6),$E$6+SQRT(P642*($G$6-$E$6)*($F$6-$E$6)),$G$6-SQRT((1-P642)*($G$6-$E$6)*($G$6-$F$6))))</f>
        <v>0.997847993295506</v>
      </c>
      <c r="C642" s="51" t="n">
        <f aca="false">1+IF($G$7=$E$7,$F$7,IF(Q642&lt;($F$7-$E$7)/($G$7-$E$7),$E$7+SQRT(Q642*($G$7-$E$7)*($F$7-$E$7)),$G$7-SQRT((1-Q642)*($G$7-$E$7)*($G$7-$F$7))))</f>
        <v>1.06953440899312</v>
      </c>
      <c r="D642" s="51" t="n">
        <f aca="false">1+IF($G$8=$E$8,$F$8,IF(R642&lt;($F$8-$E$8)/($G$8-$E$8),$E$8+SQRT(R642*($G$8-$E$8)*($F$8-$E$8)),$G$8-SQRT((1-R642)*($G$8-$E$8)*($G$8-$F$8))))</f>
        <v>1.0492667210193</v>
      </c>
      <c r="E642" s="51" t="n">
        <f aca="false">1+IF($G$9=$E$9,$F$9,IF(S642&lt;($F$9-$E$9)/($G$9-$E$9),$E$9+SQRT(S642*($G$9-$E$9)*($F$9-$E$9)),$G$9-SQRT((1-S642)*($G$9-$E$9)*($G$9-$F$9))))</f>
        <v>1.00569711813424</v>
      </c>
      <c r="F642" s="51" t="n">
        <f aca="false">1+IF($G$10=$E$10,$F$10,IF(T642&lt;($F$10-$E$10)/($G$10-$E$10),$E$10+SQRT(T642*($G$10-$E$10)*($F$10-$E$10)),$G$10-SQRT((1-T642)*($G$10-$E$10)*($G$10-$F$10))))</f>
        <v>1.00194937995373</v>
      </c>
      <c r="G642" s="52" t="n">
        <f aca="false">IF($G$11=$E$11,$F$11,IF(U642&lt;($F$11-$E$11)/($G$11-$E$11),$E$11+SQRT(U642*($G$11-$E$11)*($F$11-$E$11)),$G$11-SQRT((1-U642)*($G$11-$E$11)*($G$11-$F$11))))</f>
        <v>0.104062345419422</v>
      </c>
      <c r="H642" s="53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-2003898759.90747</v>
      </c>
      <c r="I642" s="53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1119684.25213219</v>
      </c>
      <c r="J642" s="53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300769783.172386</v>
      </c>
      <c r="K642" s="53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650517351.090326</v>
      </c>
      <c r="L642" s="53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787284281.713116</v>
      </c>
      <c r="M642" s="53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990143885.45133</v>
      </c>
      <c r="N642" s="53" t="n">
        <f aca="false">IF(COUNT('Business Case'!B11:G11)=0,"",H642+NPV(G642,I642:M642))</f>
        <v>-139343265.540539</v>
      </c>
      <c r="P642" s="54" t="n">
        <f aca="true">RAND()</f>
        <v>0.631282297930958</v>
      </c>
      <c r="Q642" s="54" t="n">
        <f aca="true">RAND()</f>
        <v>0.876672165026909</v>
      </c>
      <c r="R642" s="54" t="n">
        <f aca="true">RAND()</f>
        <v>0.90917938106676</v>
      </c>
      <c r="S642" s="54" t="n">
        <f aca="true">RAND()</f>
        <v>0.407131098120866</v>
      </c>
      <c r="T642" s="54" t="n">
        <f aca="true">RAND()</f>
        <v>0.21551903798579</v>
      </c>
      <c r="U642" s="54" t="n">
        <f aca="true">RAND()</f>
        <v>0.576651944116952</v>
      </c>
    </row>
    <row r="643" customFormat="false" ht="15" hidden="false" customHeight="false" outlineLevel="0" collapsed="false">
      <c r="A643" s="50" t="n">
        <v>563</v>
      </c>
      <c r="B643" s="51" t="n">
        <f aca="false">1+IF($G$6=$E$6,$F$6,IF(P643&lt;($F$6-$E$6)/($G$6-$E$6),$E$6+SQRT(P643*($G$6-$E$6)*($F$6-$E$6)),$G$6-SQRT((1-P643)*($G$6-$E$6)*($G$6-$F$6))))</f>
        <v>1.01271105346011</v>
      </c>
      <c r="C643" s="51" t="n">
        <f aca="false">1+IF($G$7=$E$7,$F$7,IF(Q643&lt;($F$7-$E$7)/($G$7-$E$7),$E$7+SQRT(Q643*($G$7-$E$7)*($F$7-$E$7)),$G$7-SQRT((1-Q643)*($G$7-$E$7)*($G$7-$F$7))))</f>
        <v>0.900207262995789</v>
      </c>
      <c r="D643" s="51" t="n">
        <f aca="false">1+IF($G$8=$E$8,$F$8,IF(R643&lt;($F$8-$E$8)/($G$8-$E$8),$E$8+SQRT(R643*($G$8-$E$8)*($F$8-$E$8)),$G$8-SQRT((1-R643)*($G$8-$E$8)*($G$8-$F$8))))</f>
        <v>1.00264589912564</v>
      </c>
      <c r="E643" s="51" t="n">
        <f aca="false">1+IF($G$9=$E$9,$F$9,IF(S643&lt;($F$9-$E$9)/($G$9-$E$9),$E$9+SQRT(S643*($G$9-$E$9)*($F$9-$E$9)),$G$9-SQRT((1-S643)*($G$9-$E$9)*($G$9-$F$9))))</f>
        <v>1.05280029892043</v>
      </c>
      <c r="F643" s="51" t="n">
        <f aca="false">1+IF($G$10=$E$10,$F$10,IF(T643&lt;($F$10-$E$10)/($G$10-$E$10),$E$10+SQRT(T643*($G$10-$E$10)*($F$10-$E$10)),$G$10-SQRT((1-T643)*($G$10-$E$10)*($G$10-$F$10))))</f>
        <v>0.993054305213769</v>
      </c>
      <c r="G643" s="52" t="n">
        <f aca="false">IF($G$11=$E$11,$F$11,IF(U643&lt;($F$11-$E$11)/($G$11-$E$11),$E$11+SQRT(U643*($G$11-$E$11)*($F$11-$E$11)),$G$11-SQRT((1-U643)*($G$11-$E$11)*($G$11-$F$11))))</f>
        <v>0.11089925875496</v>
      </c>
      <c r="H643" s="53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-1986108610.42754</v>
      </c>
      <c r="I643" s="53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-11620121.2776408</v>
      </c>
      <c r="J643" s="53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273033318.470606</v>
      </c>
      <c r="K643" s="53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607339473.479541</v>
      </c>
      <c r="L643" s="53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733730572.060973</v>
      </c>
      <c r="M643" s="53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907016974.720398</v>
      </c>
      <c r="N643" s="53" t="n">
        <f aca="false">IF(COUNT('Business Case'!B11:G11)=0,"",H643+NPV(G643,I643:M643))</f>
        <v>-314460250.698999</v>
      </c>
      <c r="P643" s="54" t="n">
        <f aca="true">RAND()</f>
        <v>0.844856957654827</v>
      </c>
      <c r="Q643" s="54" t="n">
        <f aca="true">RAND()</f>
        <v>0.143449936530103</v>
      </c>
      <c r="R643" s="54" t="n">
        <f aca="true">RAND()</f>
        <v>0.424648372876895</v>
      </c>
      <c r="S643" s="54" t="n">
        <f aca="true">RAND()</f>
        <v>0.851479214533312</v>
      </c>
      <c r="T643" s="54" t="n">
        <f aca="true">RAND()</f>
        <v>0.14829385579523</v>
      </c>
      <c r="U643" s="54" t="n">
        <f aca="true">RAND()</f>
        <v>0.861960847984723</v>
      </c>
    </row>
    <row r="644" customFormat="false" ht="15" hidden="false" customHeight="false" outlineLevel="0" collapsed="false">
      <c r="A644" s="50" t="n">
        <v>564</v>
      </c>
      <c r="B644" s="51" t="n">
        <f aca="false">1+IF($G$6=$E$6,$F$6,IF(P644&lt;($F$6-$E$6)/($G$6-$E$6),$E$6+SQRT(P644*($G$6-$E$6)*($F$6-$E$6)),$G$6-SQRT((1-P644)*($G$6-$E$6)*($G$6-$F$6))))</f>
        <v>0.942352095873525</v>
      </c>
      <c r="C644" s="51" t="n">
        <f aca="false">1+IF($G$7=$E$7,$F$7,IF(Q644&lt;($F$7-$E$7)/($G$7-$E$7),$E$7+SQRT(Q644*($G$7-$E$7)*($F$7-$E$7)),$G$7-SQRT((1-Q644)*($G$7-$E$7)*($G$7-$F$7))))</f>
        <v>0.992750103974373</v>
      </c>
      <c r="D644" s="51" t="n">
        <f aca="false">1+IF($G$8=$E$8,$F$8,IF(R644&lt;($F$8-$E$8)/($G$8-$E$8),$E$8+SQRT(R644*($G$8-$E$8)*($F$8-$E$8)),$G$8-SQRT((1-R644)*($G$8-$E$8)*($G$8-$F$8))))</f>
        <v>1.01536350095963</v>
      </c>
      <c r="E644" s="51" t="n">
        <f aca="false">1+IF($G$9=$E$9,$F$9,IF(S644&lt;($F$9-$E$9)/($G$9-$E$9),$E$9+SQRT(S644*($G$9-$E$9)*($F$9-$E$9)),$G$9-SQRT((1-S644)*($G$9-$E$9)*($G$9-$F$9))))</f>
        <v>0.993515390935778</v>
      </c>
      <c r="F644" s="51" t="n">
        <f aca="false">1+IF($G$10=$E$10,$F$10,IF(T644&lt;($F$10-$E$10)/($G$10-$E$10),$E$10+SQRT(T644*($G$10-$E$10)*($F$10-$E$10)),$G$10-SQRT((1-T644)*($G$10-$E$10)*($G$10-$F$10))))</f>
        <v>1.07397538457038</v>
      </c>
      <c r="G644" s="52" t="n">
        <f aca="false">IF($G$11=$E$11,$F$11,IF(U644&lt;($F$11-$E$11)/($G$11-$E$11),$E$11+SQRT(U644*($G$11-$E$11)*($F$11-$E$11)),$G$11-SQRT((1-U644)*($G$11-$E$11)*($G$11-$F$11))))</f>
        <v>0.097888597365403</v>
      </c>
      <c r="H644" s="53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-2147950769.14075</v>
      </c>
      <c r="I644" s="53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-46930935.1573038</v>
      </c>
      <c r="J644" s="53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203310920.851175</v>
      </c>
      <c r="K644" s="53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507251546.088174</v>
      </c>
      <c r="L644" s="53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622997074.169452</v>
      </c>
      <c r="M644" s="53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800820742.600938</v>
      </c>
      <c r="N644" s="53" t="n">
        <f aca="false">IF(COUNT('Business Case'!B11:G11)=0,"",H644+NPV(G644,I644:M644))</f>
        <v>-707871607.845387</v>
      </c>
      <c r="P644" s="54" t="n">
        <f aca="true">RAND()</f>
        <v>0.0520433531186719</v>
      </c>
      <c r="Q644" s="54" t="n">
        <f aca="true">RAND()</f>
        <v>0.530751465459022</v>
      </c>
      <c r="R644" s="54" t="n">
        <f aca="true">RAND()</f>
        <v>0.598281056904304</v>
      </c>
      <c r="S644" s="54" t="n">
        <f aca="true">RAND()</f>
        <v>0.252478566439146</v>
      </c>
      <c r="T644" s="54" t="n">
        <f aca="true">RAND()</f>
        <v>0.682355926116304</v>
      </c>
      <c r="U644" s="54" t="n">
        <f aca="true">RAND()</f>
        <v>0.207433227978143</v>
      </c>
    </row>
    <row r="645" customFormat="false" ht="15" hidden="false" customHeight="false" outlineLevel="0" collapsed="false">
      <c r="A645" s="50" t="n">
        <v>565</v>
      </c>
      <c r="B645" s="51" t="n">
        <f aca="false">1+IF($G$6=$E$6,$F$6,IF(P645&lt;($F$6-$E$6)/($G$6-$E$6),$E$6+SQRT(P645*($G$6-$E$6)*($F$6-$E$6)),$G$6-SQRT((1-P645)*($G$6-$E$6)*($G$6-$F$6))))</f>
        <v>0.950462524904335</v>
      </c>
      <c r="C645" s="51" t="n">
        <f aca="false">1+IF($G$7=$E$7,$F$7,IF(Q645&lt;($F$7-$E$7)/($G$7-$E$7),$E$7+SQRT(Q645*($G$7-$E$7)*($F$7-$E$7)),$G$7-SQRT((1-Q645)*($G$7-$E$7)*($G$7-$F$7))))</f>
        <v>1.02434987368563</v>
      </c>
      <c r="D645" s="51" t="n">
        <f aca="false">1+IF($G$8=$E$8,$F$8,IF(R645&lt;($F$8-$E$8)/($G$8-$E$8),$E$8+SQRT(R645*($G$8-$E$8)*($F$8-$E$8)),$G$8-SQRT((1-R645)*($G$8-$E$8)*($G$8-$F$8))))</f>
        <v>1.02869430350877</v>
      </c>
      <c r="E645" s="51" t="n">
        <f aca="false">1+IF($G$9=$E$9,$F$9,IF(S645&lt;($F$9-$E$9)/($G$9-$E$9),$E$9+SQRT(S645*($G$9-$E$9)*($F$9-$E$9)),$G$9-SQRT((1-S645)*($G$9-$E$9)*($G$9-$F$9))))</f>
        <v>0.968654371534747</v>
      </c>
      <c r="F645" s="51" t="n">
        <f aca="false">1+IF($G$10=$E$10,$F$10,IF(T645&lt;($F$10-$E$10)/($G$10-$E$10),$E$10+SQRT(T645*($G$10-$E$10)*($F$10-$E$10)),$G$10-SQRT((1-T645)*($G$10-$E$10)*($G$10-$F$10))))</f>
        <v>1.05142611161939</v>
      </c>
      <c r="G645" s="52" t="n">
        <f aca="false">IF($G$11=$E$11,$F$11,IF(U645&lt;($F$11-$E$11)/($G$11-$E$11),$E$11+SQRT(U645*($G$11-$E$11)*($F$11-$E$11)),$G$11-SQRT((1-U645)*($G$11-$E$11)*($G$11-$F$11))))</f>
        <v>0.104327753339209</v>
      </c>
      <c r="H645" s="53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-2102852223.23878</v>
      </c>
      <c r="I645" s="53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-35335510.8803636</v>
      </c>
      <c r="J645" s="53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222685984.747772</v>
      </c>
      <c r="K645" s="53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533278785.956877</v>
      </c>
      <c r="L645" s="53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652933780.309134</v>
      </c>
      <c r="M645" s="53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837996840.59497</v>
      </c>
      <c r="N645" s="53" t="n">
        <f aca="false">IF(COUNT('Business Case'!B11:G11)=0,"",H645+NPV(G645,I645:M645))</f>
        <v>-607056018.645836</v>
      </c>
      <c r="P645" s="54" t="n">
        <f aca="true">RAND()</f>
        <v>0.0966630649528337</v>
      </c>
      <c r="Q645" s="54" t="n">
        <f aca="true">RAND()</f>
        <v>0.699277062041578</v>
      </c>
      <c r="R645" s="54" t="n">
        <f aca="true">RAND()</f>
        <v>0.746896683418218</v>
      </c>
      <c r="S645" s="54" t="n">
        <f aca="true">RAND()</f>
        <v>0.046398076980851</v>
      </c>
      <c r="T645" s="54" t="n">
        <f aca="true">RAND()</f>
        <v>0.55851599382932</v>
      </c>
      <c r="U645" s="54" t="n">
        <f aca="true">RAND()</f>
        <v>0.590634474338895</v>
      </c>
    </row>
    <row r="646" customFormat="false" ht="15" hidden="false" customHeight="false" outlineLevel="0" collapsed="false">
      <c r="A646" s="50" t="n">
        <v>566</v>
      </c>
      <c r="B646" s="51" t="n">
        <f aca="false">1+IF($G$6=$E$6,$F$6,IF(P646&lt;($F$6-$E$6)/($G$6-$E$6),$E$6+SQRT(P646*($G$6-$E$6)*($F$6-$E$6)),$G$6-SQRT((1-P646)*($G$6-$E$6)*($G$6-$F$6))))</f>
        <v>1.00111194100915</v>
      </c>
      <c r="C646" s="51" t="n">
        <f aca="false">1+IF($G$7=$E$7,$F$7,IF(Q646&lt;($F$7-$E$7)/($G$7-$E$7),$E$7+SQRT(Q646*($G$7-$E$7)*($F$7-$E$7)),$G$7-SQRT((1-Q646)*($G$7-$E$7)*($G$7-$F$7))))</f>
        <v>0.931002973057363</v>
      </c>
      <c r="D646" s="51" t="n">
        <f aca="false">1+IF($G$8=$E$8,$F$8,IF(R646&lt;($F$8-$E$8)/($G$8-$E$8),$E$8+SQRT(R646*($G$8-$E$8)*($F$8-$E$8)),$G$8-SQRT((1-R646)*($G$8-$E$8)*($G$8-$F$8))))</f>
        <v>1.02202226822825</v>
      </c>
      <c r="E646" s="51" t="n">
        <f aca="false">1+IF($G$9=$E$9,$F$9,IF(S646&lt;($F$9-$E$9)/($G$9-$E$9),$E$9+SQRT(S646*($G$9-$E$9)*($F$9-$E$9)),$G$9-SQRT((1-S646)*($G$9-$E$9)*($G$9-$F$9))))</f>
        <v>1.06808655877467</v>
      </c>
      <c r="F646" s="51" t="n">
        <f aca="false">1+IF($G$10=$E$10,$F$10,IF(T646&lt;($F$10-$E$10)/($G$10-$E$10),$E$10+SQRT(T646*($G$10-$E$10)*($F$10-$E$10)),$G$10-SQRT((1-T646)*($G$10-$E$10)*($G$10-$F$10))))</f>
        <v>1.03288212132359</v>
      </c>
      <c r="G646" s="52" t="n">
        <f aca="false">IF($G$11=$E$11,$F$11,IF(U646&lt;($F$11-$E$11)/($G$11-$E$11),$E$11+SQRT(U646*($G$11-$E$11)*($F$11-$E$11)),$G$11-SQRT((1-U646)*($G$11-$E$11)*($G$11-$F$11))))</f>
        <v>0.0991753082351987</v>
      </c>
      <c r="H646" s="53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-2065764242.64719</v>
      </c>
      <c r="I646" s="53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-27175427.4657162</v>
      </c>
      <c r="J646" s="53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249136125.806757</v>
      </c>
      <c r="K646" s="53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577091785.14541</v>
      </c>
      <c r="L646" s="53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701406876.201616</v>
      </c>
      <c r="M646" s="53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878568696.011212</v>
      </c>
      <c r="N646" s="53" t="n">
        <f aca="false">IF(COUNT('Business Case'!B11:G11)=0,"",H646+NPV(G646,I646:M646))</f>
        <v>-421645467.448982</v>
      </c>
      <c r="P646" s="54" t="n">
        <f aca="true">RAND()</f>
        <v>0.684941430817461</v>
      </c>
      <c r="Q646" s="54" t="n">
        <f aca="true">RAND()</f>
        <v>0.245168270712404</v>
      </c>
      <c r="R646" s="54" t="n">
        <f aca="true">RAND()</f>
        <v>0.676786790250266</v>
      </c>
      <c r="S646" s="54" t="n">
        <f aca="true">RAND()</f>
        <v>0.932102151277169</v>
      </c>
      <c r="T646" s="54" t="n">
        <f aca="true">RAND()</f>
        <v>0.441432292533965</v>
      </c>
      <c r="U646" s="54" t="n">
        <f aca="true">RAND()</f>
        <v>0.280620937369684</v>
      </c>
    </row>
    <row r="647" customFormat="false" ht="15" hidden="false" customHeight="false" outlineLevel="0" collapsed="false">
      <c r="A647" s="50" t="n">
        <v>567</v>
      </c>
      <c r="B647" s="51" t="n">
        <f aca="false">1+IF($G$6=$E$6,$F$6,IF(P647&lt;($F$6-$E$6)/($G$6-$E$6),$E$6+SQRT(P647*($G$6-$E$6)*($F$6-$E$6)),$G$6-SQRT((1-P647)*($G$6-$E$6)*($G$6-$F$6))))</f>
        <v>0.98869751827533</v>
      </c>
      <c r="C647" s="51" t="n">
        <f aca="false">1+IF($G$7=$E$7,$F$7,IF(Q647&lt;($F$7-$E$7)/($G$7-$E$7),$E$7+SQRT(Q647*($G$7-$E$7)*($F$7-$E$7)),$G$7-SQRT((1-Q647)*($G$7-$E$7)*($G$7-$F$7))))</f>
        <v>0.860052847595781</v>
      </c>
      <c r="D647" s="51" t="n">
        <f aca="false">1+IF($G$8=$E$8,$F$8,IF(R647&lt;($F$8-$E$8)/($G$8-$E$8),$E$8+SQRT(R647*($G$8-$E$8)*($F$8-$E$8)),$G$8-SQRT((1-R647)*($G$8-$E$8)*($G$8-$F$8))))</f>
        <v>0.996482544666997</v>
      </c>
      <c r="E647" s="51" t="n">
        <f aca="false">1+IF($G$9=$E$9,$F$9,IF(S647&lt;($F$9-$E$9)/($G$9-$E$9),$E$9+SQRT(S647*($G$9-$E$9)*($F$9-$E$9)),$G$9-SQRT((1-S647)*($G$9-$E$9)*($G$9-$F$9))))</f>
        <v>0.98025213305787</v>
      </c>
      <c r="F647" s="51" t="n">
        <f aca="false">1+IF($G$10=$E$10,$F$10,IF(T647&lt;($F$10-$E$10)/($G$10-$E$10),$E$10+SQRT(T647*($G$10-$E$10)*($F$10-$E$10)),$G$10-SQRT((1-T647)*($G$10-$E$10)*($G$10-$F$10))))</f>
        <v>1.08994786664388</v>
      </c>
      <c r="G647" s="52" t="n">
        <f aca="false">IF($G$11=$E$11,$F$11,IF(U647&lt;($F$11-$E$11)/($G$11-$E$11),$E$11+SQRT(U647*($G$11-$E$11)*($F$11-$E$11)),$G$11-SQRT((1-U647)*($G$11-$E$11)*($G$11-$F$11))))</f>
        <v>0.101792952585879</v>
      </c>
      <c r="H647" s="53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-2179895733.28777</v>
      </c>
      <c r="I647" s="53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-34714224.6091643</v>
      </c>
      <c r="J647" s="53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223039407.660515</v>
      </c>
      <c r="K647" s="53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535290433.262388</v>
      </c>
      <c r="L647" s="53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650595788.614698</v>
      </c>
      <c r="M647" s="53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812226917.224658</v>
      </c>
      <c r="N647" s="53" t="n">
        <f aca="false">IF(COUNT('Business Case'!B11:G11)=0,"",H647+NPV(G647,I647:M647))</f>
        <v>-685741539.215735</v>
      </c>
      <c r="P647" s="54" t="n">
        <f aca="true">RAND()</f>
        <v>0.491598855957217</v>
      </c>
      <c r="Q647" s="54" t="n">
        <f aca="true">RAND()</f>
        <v>0.0515192072051731</v>
      </c>
      <c r="R647" s="54" t="n">
        <f aca="true">RAND()</f>
        <v>0.332404147495289</v>
      </c>
      <c r="S647" s="54" t="n">
        <f aca="true">RAND()</f>
        <v>0.122025540606809</v>
      </c>
      <c r="T647" s="54" t="n">
        <f aca="true">RAND()</f>
        <v>0.757770558875355</v>
      </c>
      <c r="U647" s="54" t="n">
        <f aca="true">RAND()</f>
        <v>0.447505707433275</v>
      </c>
    </row>
    <row r="648" customFormat="false" ht="15" hidden="false" customHeight="false" outlineLevel="0" collapsed="false">
      <c r="A648" s="50" t="n">
        <v>568</v>
      </c>
      <c r="B648" s="51" t="n">
        <f aca="false">1+IF($G$6=$E$6,$F$6,IF(P648&lt;($F$6-$E$6)/($G$6-$E$6),$E$6+SQRT(P648*($G$6-$E$6)*($F$6-$E$6)),$G$6-SQRT((1-P648)*($G$6-$E$6)*($G$6-$F$6))))</f>
        <v>0.986860564774231</v>
      </c>
      <c r="C648" s="51" t="n">
        <f aca="false">1+IF($G$7=$E$7,$F$7,IF(Q648&lt;($F$7-$E$7)/($G$7-$E$7),$E$7+SQRT(Q648*($G$7-$E$7)*($F$7-$E$7)),$G$7-SQRT((1-Q648)*($G$7-$E$7)*($G$7-$F$7))))</f>
        <v>1.00508641180188</v>
      </c>
      <c r="D648" s="51" t="n">
        <f aca="false">1+IF($G$8=$E$8,$F$8,IF(R648&lt;($F$8-$E$8)/($G$8-$E$8),$E$8+SQRT(R648*($G$8-$E$8)*($F$8-$E$8)),$G$8-SQRT((1-R648)*($G$8-$E$8)*($G$8-$F$8))))</f>
        <v>0.995711684298419</v>
      </c>
      <c r="E648" s="51" t="n">
        <f aca="false">1+IF($G$9=$E$9,$F$9,IF(S648&lt;($F$9-$E$9)/($G$9-$E$9),$E$9+SQRT(S648*($G$9-$E$9)*($F$9-$E$9)),$G$9-SQRT((1-S648)*($G$9-$E$9)*($G$9-$F$9))))</f>
        <v>0.963402930793</v>
      </c>
      <c r="F648" s="51" t="n">
        <f aca="false">1+IF($G$10=$E$10,$F$10,IF(T648&lt;($F$10-$E$10)/($G$10-$E$10),$E$10+SQRT(T648*($G$10-$E$10)*($F$10-$E$10)),$G$10-SQRT((1-T648)*($G$10-$E$10)*($G$10-$F$10))))</f>
        <v>1.08796539652844</v>
      </c>
      <c r="G648" s="52" t="n">
        <f aca="false">IF($G$11=$E$11,$F$11,IF(U648&lt;($F$11-$E$11)/($G$11-$E$11),$E$11+SQRT(U648*($G$11-$E$11)*($F$11-$E$11)),$G$11-SQRT((1-U648)*($G$11-$E$11)*($G$11-$F$11))))</f>
        <v>0.105716334585123</v>
      </c>
      <c r="H648" s="53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-2175930793.05687</v>
      </c>
      <c r="I648" s="53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2892354.94287813</v>
      </c>
      <c r="J648" s="53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302996212.962206</v>
      </c>
      <c r="K648" s="53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657498340.807955</v>
      </c>
      <c r="L648" s="53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791812337.924292</v>
      </c>
      <c r="M648" s="53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980348915.695377</v>
      </c>
      <c r="N648" s="53" t="n">
        <f aca="false">IF(COUNT('Business Case'!B11:G11)=0,"",H648+NPV(G648,I648:M648))</f>
        <v>-316253206.066509</v>
      </c>
      <c r="P648" s="54" t="n">
        <f aca="true">RAND()</f>
        <v>0.465659908534281</v>
      </c>
      <c r="Q648" s="54" t="n">
        <f aca="true">RAND()</f>
        <v>0.600000989629452</v>
      </c>
      <c r="R648" s="54" t="n">
        <f aca="true">RAND()</f>
        <v>0.321470474061284</v>
      </c>
      <c r="S648" s="54" t="n">
        <f aca="true">RAND()</f>
        <v>0.023951807178926</v>
      </c>
      <c r="T648" s="54" t="n">
        <f aca="true">RAND()</f>
        <v>0.748964952499393</v>
      </c>
      <c r="U648" s="54" t="n">
        <f aca="true">RAND()</f>
        <v>0.659961503859759</v>
      </c>
    </row>
    <row r="649" customFormat="false" ht="15" hidden="false" customHeight="false" outlineLevel="0" collapsed="false">
      <c r="A649" s="50" t="n">
        <v>569</v>
      </c>
      <c r="B649" s="51" t="n">
        <f aca="false">1+IF($G$6=$E$6,$F$6,IF(P649&lt;($F$6-$E$6)/($G$6-$E$6),$E$6+SQRT(P649*($G$6-$E$6)*($F$6-$E$6)),$G$6-SQRT((1-P649)*($G$6-$E$6)*($G$6-$F$6))))</f>
        <v>0.964828513941916</v>
      </c>
      <c r="C649" s="51" t="n">
        <f aca="false">1+IF($G$7=$E$7,$F$7,IF(Q649&lt;($F$7-$E$7)/($G$7-$E$7),$E$7+SQRT(Q649*($G$7-$E$7)*($F$7-$E$7)),$G$7-SQRT((1-Q649)*($G$7-$E$7)*($G$7-$F$7))))</f>
        <v>1.01304612592665</v>
      </c>
      <c r="D649" s="51" t="n">
        <f aca="false">1+IF($G$8=$E$8,$F$8,IF(R649&lt;($F$8-$E$8)/($G$8-$E$8),$E$8+SQRT(R649*($G$8-$E$8)*($F$8-$E$8)),$G$8-SQRT((1-R649)*($G$8-$E$8)*($G$8-$F$8))))</f>
        <v>1.03482764574288</v>
      </c>
      <c r="E649" s="51" t="n">
        <f aca="false">1+IF($G$9=$E$9,$F$9,IF(S649&lt;($F$9-$E$9)/($G$9-$E$9),$E$9+SQRT(S649*($G$9-$E$9)*($F$9-$E$9)),$G$9-SQRT((1-S649)*($G$9-$E$9)*($G$9-$F$9))))</f>
        <v>1.00675154285221</v>
      </c>
      <c r="F649" s="51" t="n">
        <f aca="false">1+IF($G$10=$E$10,$F$10,IF(T649&lt;($F$10-$E$10)/($G$10-$E$10),$E$10+SQRT(T649*($G$10-$E$10)*($F$10-$E$10)),$G$10-SQRT((1-T649)*($G$10-$E$10)*($G$10-$F$10))))</f>
        <v>1.04941675922961</v>
      </c>
      <c r="G649" s="52" t="n">
        <f aca="false">IF($G$11=$E$11,$F$11,IF(U649&lt;($F$11-$E$11)/($G$11-$E$11),$E$11+SQRT(U649*($G$11-$E$11)*($F$11-$E$11)),$G$11-SQRT((1-U649)*($G$11-$E$11)*($G$11-$F$11))))</f>
        <v>0.0948048252053842</v>
      </c>
      <c r="H649" s="53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-2098833518.45922</v>
      </c>
      <c r="I649" s="53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-34857215.4394732</v>
      </c>
      <c r="J649" s="53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229056548.899568</v>
      </c>
      <c r="K649" s="53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545441151.20009</v>
      </c>
      <c r="L649" s="53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667191895.621083</v>
      </c>
      <c r="M649" s="53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852979088.648302</v>
      </c>
      <c r="N649" s="53" t="n">
        <f aca="false">IF(COUNT('Business Case'!B11:G11)=0,"",H649+NPV(G649,I649:M649))</f>
        <v>-517177279.763404</v>
      </c>
      <c r="P649" s="54" t="n">
        <f aca="true">RAND()</f>
        <v>0.209332881483388</v>
      </c>
      <c r="Q649" s="54" t="n">
        <f aca="true">RAND()</f>
        <v>0.642735930977152</v>
      </c>
      <c r="R649" s="54" t="n">
        <f aca="true">RAND()</f>
        <v>0.803794077968175</v>
      </c>
      <c r="S649" s="54" t="n">
        <f aca="true">RAND()</f>
        <v>0.420315015970469</v>
      </c>
      <c r="T649" s="54" t="n">
        <f aca="true">RAND()</f>
        <v>0.546493751981744</v>
      </c>
      <c r="U649" s="54" t="n">
        <f aca="true">RAND()</f>
        <v>0.0769544841809843</v>
      </c>
    </row>
    <row r="650" customFormat="false" ht="15" hidden="false" customHeight="false" outlineLevel="0" collapsed="false">
      <c r="A650" s="50" t="n">
        <v>570</v>
      </c>
      <c r="B650" s="51" t="n">
        <f aca="false">1+IF($G$6=$E$6,$F$6,IF(P650&lt;($F$6-$E$6)/($G$6-$E$6),$E$6+SQRT(P650*($G$6-$E$6)*($F$6-$E$6)),$G$6-SQRT((1-P650)*($G$6-$E$6)*($G$6-$F$6))))</f>
        <v>1.01033464200975</v>
      </c>
      <c r="C650" s="51" t="n">
        <f aca="false">1+IF($G$7=$E$7,$F$7,IF(Q650&lt;($F$7-$E$7)/($G$7-$E$7),$E$7+SQRT(Q650*($G$7-$E$7)*($F$7-$E$7)),$G$7-SQRT((1-Q650)*($G$7-$E$7)*($G$7-$F$7))))</f>
        <v>0.953182619869825</v>
      </c>
      <c r="D650" s="51" t="n">
        <f aca="false">1+IF($G$8=$E$8,$F$8,IF(R650&lt;($F$8-$E$8)/($G$8-$E$8),$E$8+SQRT(R650*($G$8-$E$8)*($F$8-$E$8)),$G$8-SQRT((1-R650)*($G$8-$E$8)*($G$8-$F$8))))</f>
        <v>0.962068039110929</v>
      </c>
      <c r="E650" s="51" t="n">
        <f aca="false">1+IF($G$9=$E$9,$F$9,IF(S650&lt;($F$9-$E$9)/($G$9-$E$9),$E$9+SQRT(S650*($G$9-$E$9)*($F$9-$E$9)),$G$9-SQRT((1-S650)*($G$9-$E$9)*($G$9-$F$9))))</f>
        <v>1.0317221528531</v>
      </c>
      <c r="F650" s="51" t="n">
        <f aca="false">1+IF($G$10=$E$10,$F$10,IF(T650&lt;($F$10-$E$10)/($G$10-$E$10),$E$10+SQRT(T650*($G$10-$E$10)*($F$10-$E$10)),$G$10-SQRT((1-T650)*($G$10-$E$10)*($G$10-$F$10))))</f>
        <v>1.13117500521923</v>
      </c>
      <c r="G650" s="52" t="n">
        <f aca="false">IF($G$11=$E$11,$F$11,IF(U650&lt;($F$11-$E$11)/($G$11-$E$11),$E$11+SQRT(U650*($G$11-$E$11)*($F$11-$E$11)),$G$11-SQRT((1-U650)*($G$11-$E$11)*($G$11-$F$11))))</f>
        <v>0.0961333897586281</v>
      </c>
      <c r="H650" s="53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-2262350010.43846</v>
      </c>
      <c r="I650" s="53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9597443.72356576</v>
      </c>
      <c r="J650" s="53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328946930.65024</v>
      </c>
      <c r="K650" s="53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704855167.837875</v>
      </c>
      <c r="L650" s="53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844587431.843749</v>
      </c>
      <c r="M650" s="53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1027640824.51049</v>
      </c>
      <c r="N650" s="53" t="n">
        <f aca="false">IF(COUNT('Business Case'!B11:G11)=0,"",H650+NPV(G650,I650:M650))</f>
        <v>-210158621.661536</v>
      </c>
      <c r="P650" s="54" t="n">
        <f aca="true">RAND()</f>
        <v>0.816659694856338</v>
      </c>
      <c r="Q650" s="54" t="n">
        <f aca="true">RAND()</f>
        <v>0.33521307185976</v>
      </c>
      <c r="R650" s="54" t="n">
        <f aca="true">RAND()</f>
        <v>0.0224057796896799</v>
      </c>
      <c r="S650" s="54" t="n">
        <f aca="true">RAND()</f>
        <v>0.689209039265618</v>
      </c>
      <c r="T650" s="54" t="n">
        <f aca="true">RAND()</f>
        <v>0.90526240186854</v>
      </c>
      <c r="U650" s="54" t="n">
        <f aca="true">RAND()</f>
        <v>0.125394899770814</v>
      </c>
    </row>
    <row r="651" customFormat="false" ht="15" hidden="false" customHeight="false" outlineLevel="0" collapsed="false">
      <c r="A651" s="50" t="n">
        <v>571</v>
      </c>
      <c r="B651" s="51" t="n">
        <f aca="false">1+IF($G$6=$E$6,$F$6,IF(P651&lt;($F$6-$E$6)/($G$6-$E$6),$E$6+SQRT(P651*($G$6-$E$6)*($F$6-$E$6)),$G$6-SQRT((1-P651)*($G$6-$E$6)*($G$6-$F$6))))</f>
        <v>0.987017536064669</v>
      </c>
      <c r="C651" s="51" t="n">
        <f aca="false">1+IF($G$7=$E$7,$F$7,IF(Q651&lt;($F$7-$E$7)/($G$7-$E$7),$E$7+SQRT(Q651*($G$7-$E$7)*($F$7-$E$7)),$G$7-SQRT((1-Q651)*($G$7-$E$7)*($G$7-$F$7))))</f>
        <v>0.941007450708257</v>
      </c>
      <c r="D651" s="51" t="n">
        <f aca="false">1+IF($G$8=$E$8,$F$8,IF(R651&lt;($F$8-$E$8)/($G$8-$E$8),$E$8+SQRT(R651*($G$8-$E$8)*($F$8-$E$8)),$G$8-SQRT((1-R651)*($G$8-$E$8)*($G$8-$F$8))))</f>
        <v>0.99800208063221</v>
      </c>
      <c r="E651" s="51" t="n">
        <f aca="false">1+IF($G$9=$E$9,$F$9,IF(S651&lt;($F$9-$E$9)/($G$9-$E$9),$E$9+SQRT(S651*($G$9-$E$9)*($F$9-$E$9)),$G$9-SQRT((1-S651)*($G$9-$E$9)*($G$9-$F$9))))</f>
        <v>1.07090004757123</v>
      </c>
      <c r="F651" s="51" t="n">
        <f aca="false">1+IF($G$10=$E$10,$F$10,IF(T651&lt;($F$10-$E$10)/($G$10-$E$10),$E$10+SQRT(T651*($G$10-$E$10)*($F$10-$E$10)),$G$10-SQRT((1-T651)*($G$10-$E$10)*($G$10-$F$10))))</f>
        <v>0.993061985560221</v>
      </c>
      <c r="G651" s="52" t="n">
        <f aca="false">IF($G$11=$E$11,$F$11,IF(U651&lt;($F$11-$E$11)/($G$11-$E$11),$E$11+SQRT(U651*($G$11-$E$11)*($F$11-$E$11)),$G$11-SQRT((1-U651)*($G$11-$E$11)*($G$11-$F$11))))</f>
        <v>0.102842295856269</v>
      </c>
      <c r="H651" s="53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-1986123971.12044</v>
      </c>
      <c r="I651" s="53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-19748215.1191909</v>
      </c>
      <c r="J651" s="53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260240273.027064</v>
      </c>
      <c r="K651" s="53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589881860.45133</v>
      </c>
      <c r="L651" s="53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715310368.463278</v>
      </c>
      <c r="M651" s="53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891854934.260858</v>
      </c>
      <c r="N651" s="53" t="n">
        <f aca="false">IF(COUNT('Business Case'!B11:G11)=0,"",H651+NPV(G651,I651:M651))</f>
        <v>-320072177.781774</v>
      </c>
      <c r="P651" s="54" t="n">
        <f aca="true">RAND()</f>
        <v>0.467848972935339</v>
      </c>
      <c r="Q651" s="54" t="n">
        <f aca="true">RAND()</f>
        <v>0.284044302217736</v>
      </c>
      <c r="R651" s="54" t="n">
        <f aca="true">RAND()</f>
        <v>0.354492268464796</v>
      </c>
      <c r="S651" s="54" t="n">
        <f aca="true">RAND()</f>
        <v>0.943546184576232</v>
      </c>
      <c r="T651" s="54" t="n">
        <f aca="true">RAND()</f>
        <v>0.148346768031094</v>
      </c>
      <c r="U651" s="54" t="n">
        <f aca="true">RAND()</f>
        <v>0.509355314193646</v>
      </c>
    </row>
    <row r="652" customFormat="false" ht="15" hidden="false" customHeight="false" outlineLevel="0" collapsed="false">
      <c r="A652" s="50" t="n">
        <v>572</v>
      </c>
      <c r="B652" s="51" t="n">
        <f aca="false">1+IF($G$6=$E$6,$F$6,IF(P652&lt;($F$6-$E$6)/($G$6-$E$6),$E$6+SQRT(P652*($G$6-$E$6)*($F$6-$E$6)),$G$6-SQRT((1-P652)*($G$6-$E$6)*($G$6-$F$6))))</f>
        <v>0.963456964564311</v>
      </c>
      <c r="C652" s="51" t="n">
        <f aca="false">1+IF($G$7=$E$7,$F$7,IF(Q652&lt;($F$7-$E$7)/($G$7-$E$7),$E$7+SQRT(Q652*($G$7-$E$7)*($F$7-$E$7)),$G$7-SQRT((1-Q652)*($G$7-$E$7)*($G$7-$F$7))))</f>
        <v>1.05205627954011</v>
      </c>
      <c r="D652" s="51" t="n">
        <f aca="false">1+IF($G$8=$E$8,$F$8,IF(R652&lt;($F$8-$E$8)/($G$8-$E$8),$E$8+SQRT(R652*($G$8-$E$8)*($F$8-$E$8)),$G$8-SQRT((1-R652)*($G$8-$E$8)*($G$8-$F$8))))</f>
        <v>1.01144866671128</v>
      </c>
      <c r="E652" s="51" t="n">
        <f aca="false">1+IF($G$9=$E$9,$F$9,IF(S652&lt;($F$9-$E$9)/($G$9-$E$9),$E$9+SQRT(S652*($G$9-$E$9)*($F$9-$E$9)),$G$9-SQRT((1-S652)*($G$9-$E$9)*($G$9-$F$9))))</f>
        <v>1.02326743558507</v>
      </c>
      <c r="F652" s="51" t="n">
        <f aca="false">1+IF($G$10=$E$10,$F$10,IF(T652&lt;($F$10-$E$10)/($G$10-$E$10),$E$10+SQRT(T652*($G$10-$E$10)*($F$10-$E$10)),$G$10-SQRT((1-T652)*($G$10-$E$10)*($G$10-$F$10))))</f>
        <v>1.04455400086647</v>
      </c>
      <c r="G652" s="52" t="n">
        <f aca="false">IF($G$11=$E$11,$F$11,IF(U652&lt;($F$11-$E$11)/($G$11-$E$11),$E$11+SQRT(U652*($G$11-$E$11)*($F$11-$E$11)),$G$11-SQRT((1-U652)*($G$11-$E$11)*($G$11-$F$11))))</f>
        <v>0.105806705590703</v>
      </c>
      <c r="H652" s="53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-2089108001.73294</v>
      </c>
      <c r="I652" s="53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-17023816.9195935</v>
      </c>
      <c r="J652" s="53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268461987.216814</v>
      </c>
      <c r="K652" s="53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606175491.396545</v>
      </c>
      <c r="L652" s="53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736367820.528119</v>
      </c>
      <c r="M652" s="53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929034989.835033</v>
      </c>
      <c r="N652" s="53" t="n">
        <f aca="false">IF(COUNT('Business Case'!B11:G11)=0,"",H652+NPV(G652,I652:M652))</f>
        <v>-382327737.425568</v>
      </c>
      <c r="P652" s="54" t="n">
        <f aca="true">RAND()</f>
        <v>0.196719559285808</v>
      </c>
      <c r="Q652" s="54" t="n">
        <f aca="true">RAND()</f>
        <v>0.817276716618577</v>
      </c>
      <c r="R652" s="54" t="n">
        <f aca="true">RAND()</f>
        <v>0.548145644647963</v>
      </c>
      <c r="S652" s="54" t="n">
        <f aca="true">RAND()</f>
        <v>0.607474237220523</v>
      </c>
      <c r="T652" s="54" t="n">
        <f aca="true">RAND()</f>
        <v>0.516730827067557</v>
      </c>
      <c r="U652" s="54" t="n">
        <f aca="true">RAND()</f>
        <v>0.664250656351693</v>
      </c>
    </row>
    <row r="653" customFormat="false" ht="15" hidden="false" customHeight="false" outlineLevel="0" collapsed="false">
      <c r="A653" s="50" t="n">
        <v>573</v>
      </c>
      <c r="B653" s="51" t="n">
        <f aca="false">1+IF($G$6=$E$6,$F$6,IF(P653&lt;($F$6-$E$6)/($G$6-$E$6),$E$6+SQRT(P653*($G$6-$E$6)*($F$6-$E$6)),$G$6-SQRT((1-P653)*($G$6-$E$6)*($G$6-$F$6))))</f>
        <v>0.990003449842915</v>
      </c>
      <c r="C653" s="51" t="n">
        <f aca="false">1+IF($G$7=$E$7,$F$7,IF(Q653&lt;($F$7-$E$7)/($G$7-$E$7),$E$7+SQRT(Q653*($G$7-$E$7)*($F$7-$E$7)),$G$7-SQRT((1-Q653)*($G$7-$E$7)*($G$7-$F$7))))</f>
        <v>1.04883159853124</v>
      </c>
      <c r="D653" s="51" t="n">
        <f aca="false">1+IF($G$8=$E$8,$F$8,IF(R653&lt;($F$8-$E$8)/($G$8-$E$8),$E$8+SQRT(R653*($G$8-$E$8)*($F$8-$E$8)),$G$8-SQRT((1-R653)*($G$8-$E$8)*($G$8-$F$8))))</f>
        <v>0.967462537076042</v>
      </c>
      <c r="E653" s="51" t="n">
        <f aca="false">1+IF($G$9=$E$9,$F$9,IF(S653&lt;($F$9-$E$9)/($G$9-$E$9),$E$9+SQRT(S653*($G$9-$E$9)*($F$9-$E$9)),$G$9-SQRT((1-S653)*($G$9-$E$9)*($G$9-$F$9))))</f>
        <v>1.03987020067113</v>
      </c>
      <c r="F653" s="51" t="n">
        <f aca="false">1+IF($G$10=$E$10,$F$10,IF(T653&lt;($F$10-$E$10)/($G$10-$E$10),$E$10+SQRT(T653*($G$10-$E$10)*($F$10-$E$10)),$G$10-SQRT((1-T653)*($G$10-$E$10)*($G$10-$F$10))))</f>
        <v>0.980686157016188</v>
      </c>
      <c r="G653" s="52" t="n">
        <f aca="false">IF($G$11=$E$11,$F$11,IF(U653&lt;($F$11-$E$11)/($G$11-$E$11),$E$11+SQRT(U653*($G$11-$E$11)*($F$11-$E$11)),$G$11-SQRT((1-U653)*($G$11-$E$11)*($G$11-$F$11))))</f>
        <v>0.104418893861371</v>
      </c>
      <c r="H653" s="53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-1961372314.03238</v>
      </c>
      <c r="I653" s="53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31266884.6267347</v>
      </c>
      <c r="J653" s="53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362299830.830597</v>
      </c>
      <c r="K653" s="53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742367084.885268</v>
      </c>
      <c r="L653" s="53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888596669.179937</v>
      </c>
      <c r="M653" s="53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1085965648.09354</v>
      </c>
      <c r="N653" s="53" t="n">
        <f aca="false">IF(COUNT('Business Case'!B11:G11)=0,"",H653+NPV(G653,I653:M653))</f>
        <v>173236983.515222</v>
      </c>
      <c r="P653" s="54" t="n">
        <f aca="true">RAND()</f>
        <v>0.510466978115577</v>
      </c>
      <c r="Q653" s="54" t="n">
        <f aca="true">RAND()</f>
        <v>0.805046753223907</v>
      </c>
      <c r="R653" s="54" t="n">
        <f aca="true">RAND()</f>
        <v>0.0469138770972532</v>
      </c>
      <c r="S653" s="54" t="n">
        <f aca="true">RAND()</f>
        <v>0.758960482178007</v>
      </c>
      <c r="T653" s="54" t="n">
        <f aca="true">RAND()</f>
        <v>0.0753312185937718</v>
      </c>
      <c r="U653" s="54" t="n">
        <f aca="true">RAND()</f>
        <v>0.595381885827957</v>
      </c>
    </row>
    <row r="654" customFormat="false" ht="15" hidden="false" customHeight="false" outlineLevel="0" collapsed="false">
      <c r="A654" s="50" t="n">
        <v>574</v>
      </c>
      <c r="B654" s="51" t="n">
        <f aca="false">1+IF($G$6=$E$6,$F$6,IF(P654&lt;($F$6-$E$6)/($G$6-$E$6),$E$6+SQRT(P654*($G$6-$E$6)*($F$6-$E$6)),$G$6-SQRT((1-P654)*($G$6-$E$6)*($G$6-$F$6))))</f>
        <v>0.989314400996317</v>
      </c>
      <c r="C654" s="51" t="n">
        <f aca="false">1+IF($G$7=$E$7,$F$7,IF(Q654&lt;($F$7-$E$7)/($G$7-$E$7),$E$7+SQRT(Q654*($G$7-$E$7)*($F$7-$E$7)),$G$7-SQRT((1-Q654)*($G$7-$E$7)*($G$7-$F$7))))</f>
        <v>1.06076769320174</v>
      </c>
      <c r="D654" s="51" t="n">
        <f aca="false">1+IF($G$8=$E$8,$F$8,IF(R654&lt;($F$8-$E$8)/($G$8-$E$8),$E$8+SQRT(R654*($G$8-$E$8)*($F$8-$E$8)),$G$8-SQRT((1-R654)*($G$8-$E$8)*($G$8-$F$8))))</f>
        <v>1.0591132200593</v>
      </c>
      <c r="E654" s="51" t="n">
        <f aca="false">1+IF($G$9=$E$9,$F$9,IF(S654&lt;($F$9-$E$9)/($G$9-$E$9),$E$9+SQRT(S654*($G$9-$E$9)*($F$9-$E$9)),$G$9-SQRT((1-S654)*($G$9-$E$9)*($G$9-$F$9))))</f>
        <v>1.02646087291374</v>
      </c>
      <c r="F654" s="51" t="n">
        <f aca="false">1+IF($G$10=$E$10,$F$10,IF(T654&lt;($F$10-$E$10)/($G$10-$E$10),$E$10+SQRT(T654*($G$10-$E$10)*($F$10-$E$10)),$G$10-SQRT((1-T654)*($G$10-$E$10)*($G$10-$F$10))))</f>
        <v>1.07787227048718</v>
      </c>
      <c r="G654" s="52" t="n">
        <f aca="false">IF($G$11=$E$11,$F$11,IF(U654&lt;($F$11-$E$11)/($G$11-$E$11),$E$11+SQRT(U654*($G$11-$E$11)*($F$11-$E$11)),$G$11-SQRT((1-U654)*($G$11-$E$11)*($G$11-$F$11))))</f>
        <v>0.102827995359931</v>
      </c>
      <c r="H654" s="53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-2155744540.97437</v>
      </c>
      <c r="I654" s="53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-23719914.5371501</v>
      </c>
      <c r="J654" s="53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260712728.121751</v>
      </c>
      <c r="K654" s="53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599038984.305011</v>
      </c>
      <c r="L654" s="53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730118261.203978</v>
      </c>
      <c r="M654" s="53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929594439.273641</v>
      </c>
      <c r="N654" s="53" t="n">
        <f aca="false">IF(COUNT('Business Case'!B11:G11)=0,"",H654+NPV(G654,I654:M654))</f>
        <v>-452850627.196458</v>
      </c>
      <c r="P654" s="54" t="n">
        <f aca="true">RAND()</f>
        <v>0.500467310987318</v>
      </c>
      <c r="Q654" s="54" t="n">
        <f aca="true">RAND()</f>
        <v>0.848335150923058</v>
      </c>
      <c r="R654" s="54" t="n">
        <f aca="true">RAND()</f>
        <v>0.958052156125842</v>
      </c>
      <c r="S654" s="54" t="n">
        <f aca="true">RAND()</f>
        <v>0.639466452492724</v>
      </c>
      <c r="T654" s="54" t="n">
        <f aca="true">RAND()</f>
        <v>0.701696353680891</v>
      </c>
      <c r="U654" s="54" t="n">
        <f aca="true">RAND()</f>
        <v>0.508537094402389</v>
      </c>
    </row>
    <row r="655" customFormat="false" ht="15" hidden="false" customHeight="false" outlineLevel="0" collapsed="false">
      <c r="A655" s="50" t="n">
        <v>575</v>
      </c>
      <c r="B655" s="51" t="n">
        <f aca="false">1+IF($G$6=$E$6,$F$6,IF(P655&lt;($F$6-$E$6)/($G$6-$E$6),$E$6+SQRT(P655*($G$6-$E$6)*($F$6-$E$6)),$G$6-SQRT((1-P655)*($G$6-$E$6)*($G$6-$F$6))))</f>
        <v>0.960881539872767</v>
      </c>
      <c r="C655" s="51" t="n">
        <f aca="false">1+IF($G$7=$E$7,$F$7,IF(Q655&lt;($F$7-$E$7)/($G$7-$E$7),$E$7+SQRT(Q655*($G$7-$E$7)*($F$7-$E$7)),$G$7-SQRT((1-Q655)*($G$7-$E$7)*($G$7-$F$7))))</f>
        <v>0.915272156704314</v>
      </c>
      <c r="D655" s="51" t="n">
        <f aca="false">1+IF($G$8=$E$8,$F$8,IF(R655&lt;($F$8-$E$8)/($G$8-$E$8),$E$8+SQRT(R655*($G$8-$E$8)*($F$8-$E$8)),$G$8-SQRT((1-R655)*($G$8-$E$8)*($G$8-$F$8))))</f>
        <v>1.06953028777482</v>
      </c>
      <c r="E655" s="51" t="n">
        <f aca="false">1+IF($G$9=$E$9,$F$9,IF(S655&lt;($F$9-$E$9)/($G$9-$E$9),$E$9+SQRT(S655*($G$9-$E$9)*($F$9-$E$9)),$G$9-SQRT((1-S655)*($G$9-$E$9)*($G$9-$F$9))))</f>
        <v>1.03415497442339</v>
      </c>
      <c r="F655" s="51" t="n">
        <f aca="false">1+IF($G$10=$E$10,$F$10,IF(T655&lt;($F$10-$E$10)/($G$10-$E$10),$E$10+SQRT(T655*($G$10-$E$10)*($F$10-$E$10)),$G$10-SQRT((1-T655)*($G$10-$E$10)*($G$10-$F$10))))</f>
        <v>1.02156748715104</v>
      </c>
      <c r="G655" s="52" t="n">
        <f aca="false">IF($G$11=$E$11,$F$11,IF(U655&lt;($F$11-$E$11)/($G$11-$E$11),$E$11+SQRT(U655*($G$11-$E$11)*($F$11-$E$11)),$G$11-SQRT((1-U655)*($G$11-$E$11)*($G$11-$F$11))))</f>
        <v>0.103861147176286</v>
      </c>
      <c r="H655" s="53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-2043134974.30208</v>
      </c>
      <c r="I655" s="53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-75581771.1336624</v>
      </c>
      <c r="J655" s="53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143641671.1172</v>
      </c>
      <c r="K655" s="53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413943487.725615</v>
      </c>
      <c r="L655" s="53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517412386.680179</v>
      </c>
      <c r="M655" s="53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684581686.8037</v>
      </c>
      <c r="N655" s="53" t="n">
        <f aca="false">IF(COUNT('Business Case'!B11:G11)=0,"",H655+NPV(G655,I655:M655))</f>
        <v>-919802540.04997</v>
      </c>
      <c r="P655" s="54" t="n">
        <f aca="true">RAND()</f>
        <v>0.174093781496736</v>
      </c>
      <c r="Q655" s="54" t="n">
        <f aca="true">RAND()</f>
        <v>0.18982385873234</v>
      </c>
      <c r="R655" s="54" t="n">
        <f aca="true">RAND()</f>
        <v>0.989460108261714</v>
      </c>
      <c r="S655" s="54" t="n">
        <f aca="true">RAND()</f>
        <v>0.710962173787708</v>
      </c>
      <c r="T655" s="54" t="n">
        <f aca="true">RAND()</f>
        <v>0.363236767168104</v>
      </c>
      <c r="U655" s="54" t="n">
        <f aca="true">RAND()</f>
        <v>0.565895715890825</v>
      </c>
    </row>
    <row r="656" customFormat="false" ht="15" hidden="false" customHeight="false" outlineLevel="0" collapsed="false">
      <c r="A656" s="50" t="n">
        <v>576</v>
      </c>
      <c r="B656" s="51" t="n">
        <f aca="false">1+IF($G$6=$E$6,$F$6,IF(P656&lt;($F$6-$E$6)/($G$6-$E$6),$E$6+SQRT(P656*($G$6-$E$6)*($F$6-$E$6)),$G$6-SQRT((1-P656)*($G$6-$E$6)*($G$6-$F$6))))</f>
        <v>0.937822522906312</v>
      </c>
      <c r="C656" s="51" t="n">
        <f aca="false">1+IF($G$7=$E$7,$F$7,IF(Q656&lt;($F$7-$E$7)/($G$7-$E$7),$E$7+SQRT(Q656*($G$7-$E$7)*($F$7-$E$7)),$G$7-SQRT((1-Q656)*($G$7-$E$7)*($G$7-$F$7))))</f>
        <v>1.06254535052752</v>
      </c>
      <c r="D656" s="51" t="n">
        <f aca="false">1+IF($G$8=$E$8,$F$8,IF(R656&lt;($F$8-$E$8)/($G$8-$E$8),$E$8+SQRT(R656*($G$8-$E$8)*($F$8-$E$8)),$G$8-SQRT((1-R656)*($G$8-$E$8)*($G$8-$F$8))))</f>
        <v>1.04143408112417</v>
      </c>
      <c r="E656" s="51" t="n">
        <f aca="false">1+IF($G$9=$E$9,$F$9,IF(S656&lt;($F$9-$E$9)/($G$9-$E$9),$E$9+SQRT(S656*($G$9-$E$9)*($F$9-$E$9)),$G$9-SQRT((1-S656)*($G$9-$E$9)*($G$9-$F$9))))</f>
        <v>1.03618545679688</v>
      </c>
      <c r="F656" s="51" t="n">
        <f aca="false">1+IF($G$10=$E$10,$F$10,IF(T656&lt;($F$10-$E$10)/($G$10-$E$10),$E$10+SQRT(T656*($G$10-$E$10)*($F$10-$E$10)),$G$10-SQRT((1-T656)*($G$10-$E$10)*($G$10-$F$10))))</f>
        <v>1.04736291385832</v>
      </c>
      <c r="G656" s="52" t="n">
        <f aca="false">IF($G$11=$E$11,$F$11,IF(U656&lt;($F$11-$E$11)/($G$11-$E$11),$E$11+SQRT(U656*($G$11-$E$11)*($F$11-$E$11)),$G$11-SQRT((1-U656)*($G$11-$E$11)*($G$11-$F$11))))</f>
        <v>0.104315186584182</v>
      </c>
      <c r="H656" s="53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-2094725827.71663</v>
      </c>
      <c r="I656" s="53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-54027112.8838566</v>
      </c>
      <c r="J656" s="53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195685106.930194</v>
      </c>
      <c r="K656" s="53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497765472.437159</v>
      </c>
      <c r="L656" s="53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615441191.945548</v>
      </c>
      <c r="M656" s="53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804851912.915932</v>
      </c>
      <c r="N656" s="53" t="n">
        <f aca="false">IF(COUNT('Business Case'!B11:G11)=0,"",H656+NPV(G656,I656:M656))</f>
        <v>-709691554.617567</v>
      </c>
      <c r="P656" s="54" t="n">
        <f aca="true">RAND()</f>
        <v>0.0330877419527082</v>
      </c>
      <c r="Q656" s="54" t="n">
        <f aca="true">RAND()</f>
        <v>0.854317795917047</v>
      </c>
      <c r="R656" s="54" t="n">
        <f aca="true">RAND()</f>
        <v>0.856987490506059</v>
      </c>
      <c r="S656" s="54" t="n">
        <f aca="true">RAND()</f>
        <v>0.728513605051796</v>
      </c>
      <c r="T656" s="54" t="n">
        <f aca="true">RAND()</f>
        <v>0.534038398683524</v>
      </c>
      <c r="U656" s="54" t="n">
        <f aca="true">RAND()</f>
        <v>0.589977713518312</v>
      </c>
    </row>
    <row r="657" customFormat="false" ht="15" hidden="false" customHeight="false" outlineLevel="0" collapsed="false">
      <c r="A657" s="50" t="n">
        <v>577</v>
      </c>
      <c r="B657" s="51" t="n">
        <f aca="false">1+IF($G$6=$E$6,$F$6,IF(P657&lt;($F$6-$E$6)/($G$6-$E$6),$E$6+SQRT(P657*($G$6-$E$6)*($F$6-$E$6)),$G$6-SQRT((1-P657)*($G$6-$E$6)*($G$6-$F$6))))</f>
        <v>0.945934568878661</v>
      </c>
      <c r="C657" s="51" t="n">
        <f aca="false">1+IF($G$7=$E$7,$F$7,IF(Q657&lt;($F$7-$E$7)/($G$7-$E$7),$E$7+SQRT(Q657*($G$7-$E$7)*($F$7-$E$7)),$G$7-SQRT((1-Q657)*($G$7-$E$7)*($G$7-$F$7))))</f>
        <v>1.08918540957549</v>
      </c>
      <c r="D657" s="51" t="n">
        <f aca="false">1+IF($G$8=$E$8,$F$8,IF(R657&lt;($F$8-$E$8)/($G$8-$E$8),$E$8+SQRT(R657*($G$8-$E$8)*($F$8-$E$8)),$G$8-SQRT((1-R657)*($G$8-$E$8)*($G$8-$F$8))))</f>
        <v>0.971071103994757</v>
      </c>
      <c r="E657" s="51" t="n">
        <f aca="false">1+IF($G$9=$E$9,$F$9,IF(S657&lt;($F$9-$E$9)/($G$9-$E$9),$E$9+SQRT(S657*($G$9-$E$9)*($F$9-$E$9)),$G$9-SQRT((1-S657)*($G$9-$E$9)*($G$9-$F$9))))</f>
        <v>1.06540508637502</v>
      </c>
      <c r="F657" s="51" t="n">
        <f aca="false">1+IF($G$10=$E$10,$F$10,IF(T657&lt;($F$10-$E$10)/($G$10-$E$10),$E$10+SQRT(T657*($G$10-$E$10)*($F$10-$E$10)),$G$10-SQRT((1-T657)*($G$10-$E$10)*($G$10-$F$10))))</f>
        <v>1.07113296014572</v>
      </c>
      <c r="G657" s="52" t="n">
        <f aca="false">IF($G$11=$E$11,$F$11,IF(U657&lt;($F$11-$E$11)/($G$11-$E$11),$E$11+SQRT(U657*($G$11-$E$11)*($F$11-$E$11)),$G$11-SQRT((1-U657)*($G$11-$E$11)*($G$11-$F$11))))</f>
        <v>0.113987879756568</v>
      </c>
      <c r="H657" s="53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-2142265920.29144</v>
      </c>
      <c r="I657" s="53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-9581946.4648037</v>
      </c>
      <c r="J657" s="53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292860661.470017</v>
      </c>
      <c r="K657" s="53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648859917.412123</v>
      </c>
      <c r="L657" s="53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785281223.458745</v>
      </c>
      <c r="M657" s="53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981120292.167998</v>
      </c>
      <c r="N657" s="53" t="n">
        <f aca="false">IF(COUNT('Business Case'!B11:G11)=0,"",H657+NPV(G657,I657:M657))</f>
        <v>-363688799.374123</v>
      </c>
      <c r="P657" s="54" t="n">
        <f aca="true">RAND()</f>
        <v>0.0700626940543754</v>
      </c>
      <c r="Q657" s="54" t="n">
        <f aca="true">RAND()</f>
        <v>0.929554011266646</v>
      </c>
      <c r="R657" s="54" t="n">
        <f aca="true">RAND()</f>
        <v>0.0683063728550562</v>
      </c>
      <c r="S657" s="54" t="n">
        <f aca="true">RAND()</f>
        <v>0.920212796752024</v>
      </c>
      <c r="T657" s="54" t="n">
        <f aca="true">RAND()</f>
        <v>0.667865720783914</v>
      </c>
      <c r="U657" s="54" t="n">
        <f aca="true">RAND()</f>
        <v>0.939757350297523</v>
      </c>
    </row>
    <row r="658" customFormat="false" ht="15" hidden="false" customHeight="false" outlineLevel="0" collapsed="false">
      <c r="A658" s="50" t="n">
        <v>578</v>
      </c>
      <c r="B658" s="51" t="n">
        <f aca="false">1+IF($G$6=$E$6,$F$6,IF(P658&lt;($F$6-$E$6)/($G$6-$E$6),$E$6+SQRT(P658*($G$6-$E$6)*($F$6-$E$6)),$G$6-SQRT((1-P658)*($G$6-$E$6)*($G$6-$F$6))))</f>
        <v>0.957865423786396</v>
      </c>
      <c r="C658" s="51" t="n">
        <f aca="false">1+IF($G$7=$E$7,$F$7,IF(Q658&lt;($F$7-$E$7)/($G$7-$E$7),$E$7+SQRT(Q658*($G$7-$E$7)*($F$7-$E$7)),$G$7-SQRT((1-Q658)*($G$7-$E$7)*($G$7-$F$7))))</f>
        <v>0.963789669576776</v>
      </c>
      <c r="D658" s="51" t="n">
        <f aca="false">1+IF($G$8=$E$8,$F$8,IF(R658&lt;($F$8-$E$8)/($G$8-$E$8),$E$8+SQRT(R658*($G$8-$E$8)*($F$8-$E$8)),$G$8-SQRT((1-R658)*($G$8-$E$8)*($G$8-$F$8))))</f>
        <v>1.01129306996947</v>
      </c>
      <c r="E658" s="51" t="n">
        <f aca="false">1+IF($G$9=$E$9,$F$9,IF(S658&lt;($F$9-$E$9)/($G$9-$E$9),$E$9+SQRT(S658*($G$9-$E$9)*($F$9-$E$9)),$G$9-SQRT((1-S658)*($G$9-$E$9)*($G$9-$F$9))))</f>
        <v>0.977527090627659</v>
      </c>
      <c r="F658" s="51" t="n">
        <f aca="false">1+IF($G$10=$E$10,$F$10,IF(T658&lt;($F$10-$E$10)/($G$10-$E$10),$E$10+SQRT(T658*($G$10-$E$10)*($F$10-$E$10)),$G$10-SQRT((1-T658)*($G$10-$E$10)*($G$10-$F$10))))</f>
        <v>1.07284923546873</v>
      </c>
      <c r="G658" s="52" t="n">
        <f aca="false">IF($G$11=$E$11,$F$11,IF(U658&lt;($F$11-$E$11)/($G$11-$E$11),$E$11+SQRT(U658*($G$11-$E$11)*($F$11-$E$11)),$G$11-SQRT((1-U658)*($G$11-$E$11)*($G$11-$F$11))))</f>
        <v>0.0998833711654192</v>
      </c>
      <c r="H658" s="53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-2145698470.93746</v>
      </c>
      <c r="I658" s="53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-36950442.8014396</v>
      </c>
      <c r="J658" s="53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220246082.918286</v>
      </c>
      <c r="K658" s="53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531085070.411449</v>
      </c>
      <c r="L658" s="53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648722374.109383</v>
      </c>
      <c r="M658" s="53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824200580.628527</v>
      </c>
      <c r="N658" s="53" t="n">
        <f aca="false">IF(COUNT('Business Case'!B11:G11)=0,"",H658+NPV(G658,I658:M658))</f>
        <v>-642784987.802149</v>
      </c>
      <c r="P658" s="54" t="n">
        <f aca="true">RAND()</f>
        <v>0.149353158179517</v>
      </c>
      <c r="Q658" s="54" t="n">
        <f aca="true">RAND()</f>
        <v>0.383243655143851</v>
      </c>
      <c r="R658" s="54" t="n">
        <f aca="true">RAND()</f>
        <v>0.546092092863484</v>
      </c>
      <c r="S658" s="54" t="n">
        <f aca="true">RAND()</f>
        <v>0.10103209578978</v>
      </c>
      <c r="T658" s="54" t="n">
        <f aca="true">RAND()</f>
        <v>0.676653661582268</v>
      </c>
      <c r="U658" s="54" t="n">
        <f aca="true">RAND()</f>
        <v>0.325603418644801</v>
      </c>
    </row>
    <row r="659" customFormat="false" ht="15" hidden="false" customHeight="false" outlineLevel="0" collapsed="false">
      <c r="A659" s="50" t="n">
        <v>579</v>
      </c>
      <c r="B659" s="51" t="n">
        <f aca="false">1+IF($G$6=$E$6,$F$6,IF(P659&lt;($F$6-$E$6)/($G$6-$E$6),$E$6+SQRT(P659*($G$6-$E$6)*($F$6-$E$6)),$G$6-SQRT((1-P659)*($G$6-$E$6)*($G$6-$F$6))))</f>
        <v>1.01106971582406</v>
      </c>
      <c r="C659" s="51" t="n">
        <f aca="false">1+IF($G$7=$E$7,$F$7,IF(Q659&lt;($F$7-$E$7)/($G$7-$E$7),$E$7+SQRT(Q659*($G$7-$E$7)*($F$7-$E$7)),$G$7-SQRT((1-Q659)*($G$7-$E$7)*($G$7-$F$7))))</f>
        <v>0.944810851756868</v>
      </c>
      <c r="D659" s="51" t="n">
        <f aca="false">1+IF($G$8=$E$8,$F$8,IF(R659&lt;($F$8-$E$8)/($G$8-$E$8),$E$8+SQRT(R659*($G$8-$E$8)*($F$8-$E$8)),$G$8-SQRT((1-R659)*($G$8-$E$8)*($G$8-$F$8))))</f>
        <v>1.04357025268146</v>
      </c>
      <c r="E659" s="51" t="n">
        <f aca="false">1+IF($G$9=$E$9,$F$9,IF(S659&lt;($F$9-$E$9)/($G$9-$E$9),$E$9+SQRT(S659*($G$9-$E$9)*($F$9-$E$9)),$G$9-SQRT((1-S659)*($G$9-$E$9)*($G$9-$F$9))))</f>
        <v>1.02636440540125</v>
      </c>
      <c r="F659" s="51" t="n">
        <f aca="false">1+IF($G$10=$E$10,$F$10,IF(T659&lt;($F$10-$E$10)/($G$10-$E$10),$E$10+SQRT(T659*($G$10-$E$10)*($F$10-$E$10)),$G$10-SQRT((1-T659)*($G$10-$E$10)*($G$10-$F$10))))</f>
        <v>1.05770399073432</v>
      </c>
      <c r="G659" s="52" t="n">
        <f aca="false">IF($G$11=$E$11,$F$11,IF(U659&lt;($F$11-$E$11)/($G$11-$E$11),$E$11+SQRT(U659*($G$11-$E$11)*($F$11-$E$11)),$G$11-SQRT((1-U659)*($G$11-$E$11)*($G$11-$F$11))))</f>
        <v>0.104183603649801</v>
      </c>
      <c r="H659" s="53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-2115407981.46865</v>
      </c>
      <c r="I659" s="53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-23547071.0742457</v>
      </c>
      <c r="J659" s="53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254146453.479148</v>
      </c>
      <c r="K659" s="53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584725177.569257</v>
      </c>
      <c r="L659" s="53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710303804.491154</v>
      </c>
      <c r="M659" s="53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891881457.547033</v>
      </c>
      <c r="N659" s="53" t="n">
        <f aca="false">IF(COUNT('Business Case'!B11:G11)=0,"",H659+NPV(G659,I659:M659))</f>
        <v>-472733050.621483</v>
      </c>
      <c r="P659" s="54" t="n">
        <f aca="true">RAND()</f>
        <v>0.825633053645659</v>
      </c>
      <c r="Q659" s="54" t="n">
        <f aca="true">RAND()</f>
        <v>0.29957403980785</v>
      </c>
      <c r="R659" s="54" t="n">
        <f aca="true">RAND()</f>
        <v>0.872391683683421</v>
      </c>
      <c r="S659" s="54" t="n">
        <f aca="true">RAND()</f>
        <v>0.638519947205928</v>
      </c>
      <c r="T659" s="54" t="n">
        <f aca="true">RAND()</f>
        <v>0.59503691494125</v>
      </c>
      <c r="U659" s="54" t="n">
        <f aca="true">RAND()</f>
        <v>0.58306934415567</v>
      </c>
    </row>
    <row r="660" customFormat="false" ht="15" hidden="false" customHeight="false" outlineLevel="0" collapsed="false">
      <c r="A660" s="50" t="n">
        <v>580</v>
      </c>
      <c r="B660" s="51" t="n">
        <f aca="false">1+IF($G$6=$E$6,$F$6,IF(P660&lt;($F$6-$E$6)/($G$6-$E$6),$E$6+SQRT(P660*($G$6-$E$6)*($F$6-$E$6)),$G$6-SQRT((1-P660)*($G$6-$E$6)*($G$6-$F$6))))</f>
        <v>0.98746940059359</v>
      </c>
      <c r="C660" s="51" t="n">
        <f aca="false">1+IF($G$7=$E$7,$F$7,IF(Q660&lt;($F$7-$E$7)/($G$7-$E$7),$E$7+SQRT(Q660*($G$7-$E$7)*($F$7-$E$7)),$G$7-SQRT((1-Q660)*($G$7-$E$7)*($G$7-$F$7))))</f>
        <v>1.01443234025076</v>
      </c>
      <c r="D660" s="51" t="n">
        <f aca="false">1+IF($G$8=$E$8,$F$8,IF(R660&lt;($F$8-$E$8)/($G$8-$E$8),$E$8+SQRT(R660*($G$8-$E$8)*($F$8-$E$8)),$G$8-SQRT((1-R660)*($G$8-$E$8)*($G$8-$F$8))))</f>
        <v>0.999749979607286</v>
      </c>
      <c r="E660" s="51" t="n">
        <f aca="false">1+IF($G$9=$E$9,$F$9,IF(S660&lt;($F$9-$E$9)/($G$9-$E$9),$E$9+SQRT(S660*($G$9-$E$9)*($F$9-$E$9)),$G$9-SQRT((1-S660)*($G$9-$E$9)*($G$9-$F$9))))</f>
        <v>1.04603766032909</v>
      </c>
      <c r="F660" s="51" t="n">
        <f aca="false">1+IF($G$10=$E$10,$F$10,IF(T660&lt;($F$10-$E$10)/($G$10-$E$10),$E$10+SQRT(T660*($G$10-$E$10)*($F$10-$E$10)),$G$10-SQRT((1-T660)*($G$10-$E$10)*($G$10-$F$10))))</f>
        <v>1.00860657139065</v>
      </c>
      <c r="G660" s="52" t="n">
        <f aca="false">IF($G$11=$E$11,$F$11,IF(U660&lt;($F$11-$E$11)/($G$11-$E$11),$E$11+SQRT(U660*($G$11-$E$11)*($F$11-$E$11)),$G$11-SQRT((1-U660)*($G$11-$E$11)*($G$11-$F$11))))</f>
        <v>0.102162493851996</v>
      </c>
      <c r="H660" s="53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-2017213142.78131</v>
      </c>
      <c r="I660" s="53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-233252.728266865</v>
      </c>
      <c r="J660" s="53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301069918.176582</v>
      </c>
      <c r="K660" s="53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652803417.650963</v>
      </c>
      <c r="L660" s="53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787857282.082748</v>
      </c>
      <c r="M660" s="53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978264389.798679</v>
      </c>
      <c r="N660" s="53" t="n">
        <f aca="false">IF(COUNT('Business Case'!B11:G11)=0,"",H660+NPV(G660,I660:M660))</f>
        <v>-146606608.748214</v>
      </c>
      <c r="P660" s="54" t="n">
        <f aca="true">RAND()</f>
        <v>0.474179168381079</v>
      </c>
      <c r="Q660" s="54" t="n">
        <f aca="true">RAND()</f>
        <v>0.649931612002189</v>
      </c>
      <c r="R660" s="54" t="n">
        <f aca="true">RAND()</f>
        <v>0.38077853398852</v>
      </c>
      <c r="S660" s="54" t="n">
        <f aca="true">RAND()</f>
        <v>0.805871059816061</v>
      </c>
      <c r="T660" s="54" t="n">
        <f aca="true">RAND()</f>
        <v>0.267371109703186</v>
      </c>
      <c r="U660" s="54" t="n">
        <f aca="true">RAND()</f>
        <v>0.469705624033191</v>
      </c>
    </row>
    <row r="661" customFormat="false" ht="15" hidden="false" customHeight="false" outlineLevel="0" collapsed="false">
      <c r="A661" s="50" t="n">
        <v>581</v>
      </c>
      <c r="B661" s="51" t="n">
        <f aca="false">1+IF($G$6=$E$6,$F$6,IF(P661&lt;($F$6-$E$6)/($G$6-$E$6),$E$6+SQRT(P661*($G$6-$E$6)*($F$6-$E$6)),$G$6-SQRT((1-P661)*($G$6-$E$6)*($G$6-$F$6))))</f>
        <v>1.00195894415875</v>
      </c>
      <c r="C661" s="51" t="n">
        <f aca="false">1+IF($G$7=$E$7,$F$7,IF(Q661&lt;($F$7-$E$7)/($G$7-$E$7),$E$7+SQRT(Q661*($G$7-$E$7)*($F$7-$E$7)),$G$7-SQRT((1-Q661)*($G$7-$E$7)*($G$7-$F$7))))</f>
        <v>0.890674107375289</v>
      </c>
      <c r="D661" s="51" t="n">
        <f aca="false">1+IF($G$8=$E$8,$F$8,IF(R661&lt;($F$8-$E$8)/($G$8-$E$8),$E$8+SQRT(R661*($G$8-$E$8)*($F$8-$E$8)),$G$8-SQRT((1-R661)*($G$8-$E$8)*($G$8-$F$8))))</f>
        <v>1.05161515659328</v>
      </c>
      <c r="E661" s="51" t="n">
        <f aca="false">1+IF($G$9=$E$9,$F$9,IF(S661&lt;($F$9-$E$9)/($G$9-$E$9),$E$9+SQRT(S661*($G$9-$E$9)*($F$9-$E$9)),$G$9-SQRT((1-S661)*($G$9-$E$9)*($G$9-$F$9))))</f>
        <v>0.987016028080727</v>
      </c>
      <c r="F661" s="51" t="n">
        <f aca="false">1+IF($G$10=$E$10,$F$10,IF(T661&lt;($F$10-$E$10)/($G$10-$E$10),$E$10+SQRT(T661*($G$10-$E$10)*($F$10-$E$10)),$G$10-SQRT((1-T661)*($G$10-$E$10)*($G$10-$F$10))))</f>
        <v>1.02906246255455</v>
      </c>
      <c r="G661" s="52" t="n">
        <f aca="false">IF($G$11=$E$11,$F$11,IF(U661&lt;($F$11-$E$11)/($G$11-$E$11),$E$11+SQRT(U661*($G$11-$E$11)*($F$11-$E$11)),$G$11-SQRT((1-U661)*($G$11-$E$11)*($G$11-$F$11))))</f>
        <v>0.0982887135338901</v>
      </c>
      <c r="H661" s="53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-2058124925.10911</v>
      </c>
      <c r="I661" s="53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-38055617.4354054</v>
      </c>
      <c r="J661" s="53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213411685.742804</v>
      </c>
      <c r="K661" s="53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516332112.048742</v>
      </c>
      <c r="L661" s="53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630996543.218199</v>
      </c>
      <c r="M661" s="53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800627525.49016</v>
      </c>
      <c r="N661" s="53" t="n">
        <f aca="false">IF(COUNT('Business Case'!B11:G11)=0,"",H661+NPV(G661,I661:M661))</f>
        <v>-591424105.765947</v>
      </c>
      <c r="P661" s="54" t="n">
        <f aca="true">RAND()</f>
        <v>0.698516264684012</v>
      </c>
      <c r="Q661" s="54" t="n">
        <f aca="true">RAND()</f>
        <v>0.117454196404363</v>
      </c>
      <c r="R661" s="54" t="n">
        <f aca="true">RAND()</f>
        <v>0.922528910074589</v>
      </c>
      <c r="S661" s="54" t="n">
        <f aca="true">RAND()</f>
        <v>0.182691511316418</v>
      </c>
      <c r="T661" s="54" t="n">
        <f aca="true">RAND()</f>
        <v>0.415607165841741</v>
      </c>
      <c r="U661" s="54" t="n">
        <f aca="true">RAND()</f>
        <v>0.229009240156309</v>
      </c>
    </row>
    <row r="662" customFormat="false" ht="15" hidden="false" customHeight="false" outlineLevel="0" collapsed="false">
      <c r="A662" s="50" t="n">
        <v>582</v>
      </c>
      <c r="B662" s="51" t="n">
        <f aca="false">1+IF($G$6=$E$6,$F$6,IF(P662&lt;($F$6-$E$6)/($G$6-$E$6),$E$6+SQRT(P662*($G$6-$E$6)*($F$6-$E$6)),$G$6-SQRT((1-P662)*($G$6-$E$6)*($G$6-$F$6))))</f>
        <v>0.980073826148141</v>
      </c>
      <c r="C662" s="51" t="n">
        <f aca="false">1+IF($G$7=$E$7,$F$7,IF(Q662&lt;($F$7-$E$7)/($G$7-$E$7),$E$7+SQRT(Q662*($G$7-$E$7)*($F$7-$E$7)),$G$7-SQRT((1-Q662)*($G$7-$E$7)*($G$7-$F$7))))</f>
        <v>1.05825631767302</v>
      </c>
      <c r="D662" s="51" t="n">
        <f aca="false">1+IF($G$8=$E$8,$F$8,IF(R662&lt;($F$8-$E$8)/($G$8-$E$8),$E$8+SQRT(R662*($G$8-$E$8)*($F$8-$E$8)),$G$8-SQRT((1-R662)*($G$8-$E$8)*($G$8-$F$8))))</f>
        <v>0.970692371039142</v>
      </c>
      <c r="E662" s="51" t="n">
        <f aca="false">1+IF($G$9=$E$9,$F$9,IF(S662&lt;($F$9-$E$9)/($G$9-$E$9),$E$9+SQRT(S662*($G$9-$E$9)*($F$9-$E$9)),$G$9-SQRT((1-S662)*($G$9-$E$9)*($G$9-$F$9))))</f>
        <v>1.07759136350535</v>
      </c>
      <c r="F662" s="51" t="n">
        <f aca="false">1+IF($G$10=$E$10,$F$10,IF(T662&lt;($F$10-$E$10)/($G$10-$E$10),$E$10+SQRT(T662*($G$10-$E$10)*($F$10-$E$10)),$G$10-SQRT((1-T662)*($G$10-$E$10)*($G$10-$F$10))))</f>
        <v>1.07542284620504</v>
      </c>
      <c r="G662" s="52" t="n">
        <f aca="false">IF($G$11=$E$11,$F$11,IF(U662&lt;($F$11-$E$11)/($G$11-$E$11),$E$11+SQRT(U662*($G$11-$E$11)*($F$11-$E$11)),$G$11-SQRT((1-U662)*($G$11-$E$11)*($G$11-$F$11))))</f>
        <v>0.0988178732636553</v>
      </c>
      <c r="H662" s="53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-2150845692.41008</v>
      </c>
      <c r="I662" s="53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9108330.12465258</v>
      </c>
      <c r="J662" s="53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332759294.221317</v>
      </c>
      <c r="K662" s="53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710181400.628233</v>
      </c>
      <c r="L662" s="53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853909626.967819</v>
      </c>
      <c r="M662" s="53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1051054770.99166</v>
      </c>
      <c r="N662" s="53" t="n">
        <f aca="false">IF(COUNT('Business Case'!B11:G11)=0,"",H662+NPV(G662,I662:M662))</f>
        <v>-89777037.1591055</v>
      </c>
      <c r="P662" s="54" t="n">
        <f aca="true">RAND()</f>
        <v>0.37592339459136</v>
      </c>
      <c r="Q662" s="54" t="n">
        <f aca="true">RAND()</f>
        <v>0.839678033392134</v>
      </c>
      <c r="R662" s="54" t="n">
        <f aca="true">RAND()</f>
        <v>0.0658729568033115</v>
      </c>
      <c r="S662" s="54" t="n">
        <f aca="true">RAND()</f>
        <v>0.966523534030028</v>
      </c>
      <c r="T662" s="54" t="n">
        <f aca="true">RAND()</f>
        <v>0.689610655046936</v>
      </c>
      <c r="U662" s="54" t="n">
        <f aca="true">RAND()</f>
        <v>0.259182962979621</v>
      </c>
    </row>
    <row r="663" customFormat="false" ht="15" hidden="false" customHeight="false" outlineLevel="0" collapsed="false">
      <c r="A663" s="50" t="n">
        <v>583</v>
      </c>
      <c r="B663" s="51" t="n">
        <f aca="false">1+IF($G$6=$E$6,$F$6,IF(P663&lt;($F$6-$E$6)/($G$6-$E$6),$E$6+SQRT(P663*($G$6-$E$6)*($F$6-$E$6)),$G$6-SQRT((1-P663)*($G$6-$E$6)*($G$6-$F$6))))</f>
        <v>0.940025676053215</v>
      </c>
      <c r="C663" s="51" t="n">
        <f aca="false">1+IF($G$7=$E$7,$F$7,IF(Q663&lt;($F$7-$E$7)/($G$7-$E$7),$E$7+SQRT(Q663*($G$7-$E$7)*($F$7-$E$7)),$G$7-SQRT((1-Q663)*($G$7-$E$7)*($G$7-$F$7))))</f>
        <v>0.986723469049098</v>
      </c>
      <c r="D663" s="51" t="n">
        <f aca="false">1+IF($G$8=$E$8,$F$8,IF(R663&lt;($F$8-$E$8)/($G$8-$E$8),$E$8+SQRT(R663*($G$8-$E$8)*($F$8-$E$8)),$G$8-SQRT((1-R663)*($G$8-$E$8)*($G$8-$F$8))))</f>
        <v>1.02665244144291</v>
      </c>
      <c r="E663" s="51" t="n">
        <f aca="false">1+IF($G$9=$E$9,$F$9,IF(S663&lt;($F$9-$E$9)/($G$9-$E$9),$E$9+SQRT(S663*($G$9-$E$9)*($F$9-$E$9)),$G$9-SQRT((1-S663)*($G$9-$E$9)*($G$9-$F$9))))</f>
        <v>1.00074823735207</v>
      </c>
      <c r="F663" s="51" t="n">
        <f aca="false">1+IF($G$10=$E$10,$F$10,IF(T663&lt;($F$10-$E$10)/($G$10-$E$10),$E$10+SQRT(T663*($G$10-$E$10)*($F$10-$E$10)),$G$10-SQRT((1-T663)*($G$10-$E$10)*($G$10-$F$10))))</f>
        <v>1.05759424244847</v>
      </c>
      <c r="G663" s="52" t="n">
        <f aca="false">IF($G$11=$E$11,$F$11,IF(U663&lt;($F$11-$E$11)/($G$11-$E$11),$E$11+SQRT(U663*($G$11-$E$11)*($F$11-$E$11)),$G$11-SQRT((1-U663)*($G$11-$E$11)*($G$11-$F$11))))</f>
        <v>0.103478934626761</v>
      </c>
      <c r="H663" s="53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-2115188484.89695</v>
      </c>
      <c r="I663" s="53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-55009566.4801802</v>
      </c>
      <c r="J663" s="53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186130643.968243</v>
      </c>
      <c r="K663" s="53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480150566.539091</v>
      </c>
      <c r="L663" s="53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592586605.57676</v>
      </c>
      <c r="M663" s="53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768894434.461831</v>
      </c>
      <c r="N663" s="53" t="n">
        <f aca="false">IF(COUNT('Business Case'!B11:G11)=0,"",H663+NPV(G663,I663:M663))</f>
        <v>-785228962.502527</v>
      </c>
      <c r="P663" s="54" t="n">
        <f aca="true">RAND()</f>
        <v>0.0417737188946133</v>
      </c>
      <c r="Q663" s="54" t="n">
        <f aca="true">RAND()</f>
        <v>0.498080769910422</v>
      </c>
      <c r="R663" s="54" t="n">
        <f aca="true">RAND()</f>
        <v>0.72634980730747</v>
      </c>
      <c r="S663" s="54" t="n">
        <f aca="true">RAND()</f>
        <v>0.343272507418594</v>
      </c>
      <c r="T663" s="54" t="n">
        <f aca="true">RAND()</f>
        <v>0.594412004323512</v>
      </c>
      <c r="U663" s="54" t="n">
        <f aca="true">RAND()</f>
        <v>0.545090664888608</v>
      </c>
    </row>
    <row r="664" customFormat="false" ht="15" hidden="false" customHeight="false" outlineLevel="0" collapsed="false">
      <c r="A664" s="50" t="n">
        <v>584</v>
      </c>
      <c r="B664" s="51" t="n">
        <f aca="false">1+IF($G$6=$E$6,$F$6,IF(P664&lt;($F$6-$E$6)/($G$6-$E$6),$E$6+SQRT(P664*($G$6-$E$6)*($F$6-$E$6)),$G$6-SQRT((1-P664)*($G$6-$E$6)*($G$6-$F$6))))</f>
        <v>0.996010040937704</v>
      </c>
      <c r="C664" s="51" t="n">
        <f aca="false">1+IF($G$7=$E$7,$F$7,IF(Q664&lt;($F$7-$E$7)/($G$7-$E$7),$E$7+SQRT(Q664*($G$7-$E$7)*($F$7-$E$7)),$G$7-SQRT((1-Q664)*($G$7-$E$7)*($G$7-$F$7))))</f>
        <v>1.06102207671653</v>
      </c>
      <c r="D664" s="51" t="n">
        <f aca="false">1+IF($G$8=$E$8,$F$8,IF(R664&lt;($F$8-$E$8)/($G$8-$E$8),$E$8+SQRT(R664*($G$8-$E$8)*($F$8-$E$8)),$G$8-SQRT((1-R664)*($G$8-$E$8)*($G$8-$F$8))))</f>
        <v>0.977066131397223</v>
      </c>
      <c r="E664" s="51" t="n">
        <f aca="false">1+IF($G$9=$E$9,$F$9,IF(S664&lt;($F$9-$E$9)/($G$9-$E$9),$E$9+SQRT(S664*($G$9-$E$9)*($F$9-$E$9)),$G$9-SQRT((1-S664)*($G$9-$E$9)*($G$9-$F$9))))</f>
        <v>1.00191571225814</v>
      </c>
      <c r="F664" s="51" t="n">
        <f aca="false">1+IF($G$10=$E$10,$F$10,IF(T664&lt;($F$10-$E$10)/($G$10-$E$10),$E$10+SQRT(T664*($G$10-$E$10)*($F$10-$E$10)),$G$10-SQRT((1-T664)*($G$10-$E$10)*($G$10-$F$10))))</f>
        <v>1.10704733553291</v>
      </c>
      <c r="G664" s="52" t="n">
        <f aca="false">IF($G$11=$E$11,$F$11,IF(U664&lt;($F$11-$E$11)/($G$11-$E$11),$E$11+SQRT(U664*($G$11-$E$11)*($F$11-$E$11)),$G$11-SQRT((1-U664)*($G$11-$E$11)*($G$11-$F$11))))</f>
        <v>0.118660897651719</v>
      </c>
      <c r="H664" s="53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-2214094671.06582</v>
      </c>
      <c r="I664" s="53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26923217.9501043</v>
      </c>
      <c r="J664" s="53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361807506.941321</v>
      </c>
      <c r="K664" s="53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752044162.709182</v>
      </c>
      <c r="L664" s="53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900194874.509397</v>
      </c>
      <c r="M664" s="53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1101069259.59335</v>
      </c>
      <c r="N664" s="53" t="n">
        <f aca="false">IF(COUNT('Business Case'!B11:G11)=0,"",H664+NPV(G664,I664:M664))</f>
        <v>-160331785.33634</v>
      </c>
      <c r="P664" s="54" t="n">
        <f aca="true">RAND()</f>
        <v>0.601825658682433</v>
      </c>
      <c r="Q664" s="54" t="n">
        <f aca="true">RAND()</f>
        <v>0.849198650822114</v>
      </c>
      <c r="R664" s="54" t="n">
        <f aca="true">RAND()</f>
        <v>0.112703918278733</v>
      </c>
      <c r="S664" s="54" t="n">
        <f aca="true">RAND()</f>
        <v>0.35863149987813</v>
      </c>
      <c r="T664" s="54" t="n">
        <f aca="true">RAND()</f>
        <v>0.827196043369364</v>
      </c>
      <c r="U664" s="54" t="n">
        <f aca="true">RAND()</f>
        <v>0.997011341501381</v>
      </c>
    </row>
    <row r="665" customFormat="false" ht="15" hidden="false" customHeight="false" outlineLevel="0" collapsed="false">
      <c r="A665" s="50" t="n">
        <v>585</v>
      </c>
      <c r="B665" s="51" t="n">
        <f aca="false">1+IF($G$6=$E$6,$F$6,IF(P665&lt;($F$6-$E$6)/($G$6-$E$6),$E$6+SQRT(P665*($G$6-$E$6)*($F$6-$E$6)),$G$6-SQRT((1-P665)*($G$6-$E$6)*($G$6-$F$6))))</f>
        <v>0.952751288252263</v>
      </c>
      <c r="C665" s="51" t="n">
        <f aca="false">1+IF($G$7=$E$7,$F$7,IF(Q665&lt;($F$7-$E$7)/($G$7-$E$7),$E$7+SQRT(Q665*($G$7-$E$7)*($F$7-$E$7)),$G$7-SQRT((1-Q665)*($G$7-$E$7)*($G$7-$F$7))))</f>
        <v>0.998113221324447</v>
      </c>
      <c r="D665" s="51" t="n">
        <f aca="false">1+IF($G$8=$E$8,$F$8,IF(R665&lt;($F$8-$E$8)/($G$8-$E$8),$E$8+SQRT(R665*($G$8-$E$8)*($F$8-$E$8)),$G$8-SQRT((1-R665)*($G$8-$E$8)*($G$8-$F$8))))</f>
        <v>1.00288484962523</v>
      </c>
      <c r="E665" s="51" t="n">
        <f aca="false">1+IF($G$9=$E$9,$F$9,IF(S665&lt;($F$9-$E$9)/($G$9-$E$9),$E$9+SQRT(S665*($G$9-$E$9)*($F$9-$E$9)),$G$9-SQRT((1-S665)*($G$9-$E$9)*($G$9-$F$9))))</f>
        <v>1.08487919434149</v>
      </c>
      <c r="F665" s="51" t="n">
        <f aca="false">1+IF($G$10=$E$10,$F$10,IF(T665&lt;($F$10-$E$10)/($G$10-$E$10),$E$10+SQRT(T665*($G$10-$E$10)*($F$10-$E$10)),$G$10-SQRT((1-T665)*($G$10-$E$10)*($G$10-$F$10))))</f>
        <v>1.0050305557968</v>
      </c>
      <c r="G665" s="52" t="n">
        <f aca="false">IF($G$11=$E$11,$F$11,IF(U665&lt;($F$11-$E$11)/($G$11-$E$11),$E$11+SQRT(U665*($G$11-$E$11)*($F$11-$E$11)),$G$11-SQRT((1-U665)*($G$11-$E$11)*($G$11-$F$11))))</f>
        <v>0.0965082210962944</v>
      </c>
      <c r="H665" s="53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-2010061111.5936</v>
      </c>
      <c r="I665" s="53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-37598946.5739515</v>
      </c>
      <c r="J665" s="53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228872421.468747</v>
      </c>
      <c r="K665" s="53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545595317.301286</v>
      </c>
      <c r="L665" s="53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667284065.049927</v>
      </c>
      <c r="M665" s="53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848041336.255834</v>
      </c>
      <c r="N665" s="53" t="n">
        <f aca="false">IF(COUNT('Business Case'!B11:G11)=0,"",H665+NPV(G665,I665:M665))</f>
        <v>-443549205.543876</v>
      </c>
      <c r="P665" s="54" t="n">
        <f aca="true">RAND()</f>
        <v>0.111734050227379</v>
      </c>
      <c r="Q665" s="54" t="n">
        <f aca="true">RAND()</f>
        <v>0.560697835193562</v>
      </c>
      <c r="R665" s="54" t="n">
        <f aca="true">RAND()</f>
        <v>0.428197459872767</v>
      </c>
      <c r="S665" s="54" t="n">
        <f aca="true">RAND()</f>
        <v>0.984757415749163</v>
      </c>
      <c r="T665" s="54" t="n">
        <f aca="true">RAND()</f>
        <v>0.239738316541918</v>
      </c>
      <c r="U665" s="54" t="n">
        <f aca="true">RAND()</f>
        <v>0.141189806127504</v>
      </c>
    </row>
    <row r="666" customFormat="false" ht="15" hidden="false" customHeight="false" outlineLevel="0" collapsed="false">
      <c r="A666" s="50" t="n">
        <v>586</v>
      </c>
      <c r="B666" s="51" t="n">
        <f aca="false">1+IF($G$6=$E$6,$F$6,IF(P666&lt;($F$6-$E$6)/($G$6-$E$6),$E$6+SQRT(P666*($G$6-$E$6)*($F$6-$E$6)),$G$6-SQRT((1-P666)*($G$6-$E$6)*($G$6-$F$6))))</f>
        <v>0.999990391943738</v>
      </c>
      <c r="C666" s="51" t="n">
        <f aca="false">1+IF($G$7=$E$7,$F$7,IF(Q666&lt;($F$7-$E$7)/($G$7-$E$7),$E$7+SQRT(Q666*($G$7-$E$7)*($F$7-$E$7)),$G$7-SQRT((1-Q666)*($G$7-$E$7)*($G$7-$F$7))))</f>
        <v>1.03567640260076</v>
      </c>
      <c r="D666" s="51" t="n">
        <f aca="false">1+IF($G$8=$E$8,$F$8,IF(R666&lt;($F$8-$E$8)/($G$8-$E$8),$E$8+SQRT(R666*($G$8-$E$8)*($F$8-$E$8)),$G$8-SQRT((1-R666)*($G$8-$E$8)*($G$8-$F$8))))</f>
        <v>1.03854186217996</v>
      </c>
      <c r="E666" s="51" t="n">
        <f aca="false">1+IF($G$9=$E$9,$F$9,IF(S666&lt;($F$9-$E$9)/($G$9-$E$9),$E$9+SQRT(S666*($G$9-$E$9)*($F$9-$E$9)),$G$9-SQRT((1-S666)*($G$9-$E$9)*($G$9-$F$9))))</f>
        <v>1.00611167064579</v>
      </c>
      <c r="F666" s="51" t="n">
        <f aca="false">1+IF($G$10=$E$10,$F$10,IF(T666&lt;($F$10-$E$10)/($G$10-$E$10),$E$10+SQRT(T666*($G$10-$E$10)*($F$10-$E$10)),$G$10-SQRT((1-T666)*($G$10-$E$10)*($G$10-$F$10))))</f>
        <v>1.06751964106587</v>
      </c>
      <c r="G666" s="52" t="n">
        <f aca="false">IF($G$11=$E$11,$F$11,IF(U666&lt;($F$11-$E$11)/($G$11-$E$11),$E$11+SQRT(U666*($G$11-$E$11)*($F$11-$E$11)),$G$11-SQRT((1-U666)*($G$11-$E$11)*($G$11-$F$11))))</f>
        <v>0.115494200059544</v>
      </c>
      <c r="H666" s="53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-2135039282.13174</v>
      </c>
      <c r="I666" s="53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-5842322.57262836</v>
      </c>
      <c r="J666" s="53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291825347.386587</v>
      </c>
      <c r="K666" s="53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642868999.399095</v>
      </c>
      <c r="L666" s="53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777884188.625118</v>
      </c>
      <c r="M666" s="53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974743667.776346</v>
      </c>
      <c r="N666" s="53" t="n">
        <f aca="false">IF(COUNT('Business Case'!B11:G11)=0,"",H666+NPV(G666,I666:M666))</f>
        <v>-375851007.518976</v>
      </c>
      <c r="P666" s="54" t="n">
        <f aca="true">RAND()</f>
        <v>0.666506542011755</v>
      </c>
      <c r="Q666" s="54" t="n">
        <f aca="true">RAND()</f>
        <v>0.751049811003743</v>
      </c>
      <c r="R666" s="54" t="n">
        <f aca="true">RAND()</f>
        <v>0.834732962355281</v>
      </c>
      <c r="S666" s="54" t="n">
        <f aca="true">RAND()</f>
        <v>0.412332107405015</v>
      </c>
      <c r="T666" s="54" t="n">
        <f aca="true">RAND()</f>
        <v>0.648979089933673</v>
      </c>
      <c r="U666" s="54" t="n">
        <f aca="true">RAND()</f>
        <v>0.966162944827651</v>
      </c>
    </row>
    <row r="667" customFormat="false" ht="15" hidden="false" customHeight="false" outlineLevel="0" collapsed="false">
      <c r="A667" s="50" t="n">
        <v>587</v>
      </c>
      <c r="B667" s="51" t="n">
        <f aca="false">1+IF($G$6=$E$6,$F$6,IF(P667&lt;($F$6-$E$6)/($G$6-$E$6),$E$6+SQRT(P667*($G$6-$E$6)*($F$6-$E$6)),$G$6-SQRT((1-P667)*($G$6-$E$6)*($G$6-$F$6))))</f>
        <v>0.967426060729684</v>
      </c>
      <c r="C667" s="51" t="n">
        <f aca="false">1+IF($G$7=$E$7,$F$7,IF(Q667&lt;($F$7-$E$7)/($G$7-$E$7),$E$7+SQRT(Q667*($G$7-$E$7)*($F$7-$E$7)),$G$7-SQRT((1-Q667)*($G$7-$E$7)*($G$7-$F$7))))</f>
        <v>0.904629550928762</v>
      </c>
      <c r="D667" s="51" t="n">
        <f aca="false">1+IF($G$8=$E$8,$F$8,IF(R667&lt;($F$8-$E$8)/($G$8-$E$8),$E$8+SQRT(R667*($G$8-$E$8)*($F$8-$E$8)),$G$8-SQRT((1-R667)*($G$8-$E$8)*($G$8-$F$8))))</f>
        <v>1.02204383475044</v>
      </c>
      <c r="E667" s="51" t="n">
        <f aca="false">1+IF($G$9=$E$9,$F$9,IF(S667&lt;($F$9-$E$9)/($G$9-$E$9),$E$9+SQRT(S667*($G$9-$E$9)*($F$9-$E$9)),$G$9-SQRT((1-S667)*($G$9-$E$9)*($G$9-$F$9))))</f>
        <v>1.0274033945772</v>
      </c>
      <c r="F667" s="51" t="n">
        <f aca="false">1+IF($G$10=$E$10,$F$10,IF(T667&lt;($F$10-$E$10)/($G$10-$E$10),$E$10+SQRT(T667*($G$10-$E$10)*($F$10-$E$10)),$G$10-SQRT((1-T667)*($G$10-$E$10)*($G$10-$F$10))))</f>
        <v>1.02894530974987</v>
      </c>
      <c r="G667" s="52" t="n">
        <f aca="false">IF($G$11=$E$11,$F$11,IF(U667&lt;($F$11-$E$11)/($G$11-$E$11),$E$11+SQRT(U667*($G$11-$E$11)*($F$11-$E$11)),$G$11-SQRT((1-U667)*($G$11-$E$11)*($G$11-$F$11))))</f>
        <v>0.101967683781689</v>
      </c>
      <c r="H667" s="53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-2057890619.49974</v>
      </c>
      <c r="I667" s="53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-50845261.0565208</v>
      </c>
      <c r="J667" s="53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192669180.167847</v>
      </c>
      <c r="K667" s="53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487630886.879708</v>
      </c>
      <c r="L667" s="53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599047973.019179</v>
      </c>
      <c r="M667" s="53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765398804.541598</v>
      </c>
      <c r="N667" s="53" t="n">
        <f aca="false">IF(COUNT('Business Case'!B11:G11)=0,"",H667+NPV(G667,I667:M667))</f>
        <v>-703695457.942592</v>
      </c>
      <c r="P667" s="54" t="n">
        <f aca="true">RAND()</f>
        <v>0.234294920451637</v>
      </c>
      <c r="Q667" s="54" t="n">
        <f aca="true">RAND()</f>
        <v>0.156390613250778</v>
      </c>
      <c r="R667" s="54" t="n">
        <f aca="true">RAND()</f>
        <v>0.677027202842901</v>
      </c>
      <c r="S667" s="54" t="n">
        <f aca="true">RAND()</f>
        <v>0.648648858739087</v>
      </c>
      <c r="T667" s="54" t="n">
        <f aca="true">RAND()</f>
        <v>0.41480585886865</v>
      </c>
      <c r="U667" s="54" t="n">
        <f aca="true">RAND()</f>
        <v>0.45805928633808</v>
      </c>
    </row>
    <row r="668" customFormat="false" ht="15" hidden="false" customHeight="false" outlineLevel="0" collapsed="false">
      <c r="A668" s="50" t="n">
        <v>588</v>
      </c>
      <c r="B668" s="51" t="n">
        <f aca="false">1+IF($G$6=$E$6,$F$6,IF(P668&lt;($F$6-$E$6)/($G$6-$E$6),$E$6+SQRT(P668*($G$6-$E$6)*($F$6-$E$6)),$G$6-SQRT((1-P668)*($G$6-$E$6)*($G$6-$F$6))))</f>
        <v>0.96041649174844</v>
      </c>
      <c r="C668" s="51" t="n">
        <f aca="false">1+IF($G$7=$E$7,$F$7,IF(Q668&lt;($F$7-$E$7)/($G$7-$E$7),$E$7+SQRT(Q668*($G$7-$E$7)*($F$7-$E$7)),$G$7-SQRT((1-Q668)*($G$7-$E$7)*($G$7-$F$7))))</f>
        <v>0.913604261448345</v>
      </c>
      <c r="D668" s="51" t="n">
        <f aca="false">1+IF($G$8=$E$8,$F$8,IF(R668&lt;($F$8-$E$8)/($G$8-$E$8),$E$8+SQRT(R668*($G$8-$E$8)*($F$8-$E$8)),$G$8-SQRT((1-R668)*($G$8-$E$8)*($G$8-$F$8))))</f>
        <v>0.997572992521979</v>
      </c>
      <c r="E668" s="51" t="n">
        <f aca="false">1+IF($G$9=$E$9,$F$9,IF(S668&lt;($F$9-$E$9)/($G$9-$E$9),$E$9+SQRT(S668*($G$9-$E$9)*($F$9-$E$9)),$G$9-SQRT((1-S668)*($G$9-$E$9)*($G$9-$F$9))))</f>
        <v>1.05063096007979</v>
      </c>
      <c r="F668" s="51" t="n">
        <f aca="false">1+IF($G$10=$E$10,$F$10,IF(T668&lt;($F$10-$E$10)/($G$10-$E$10),$E$10+SQRT(T668*($G$10-$E$10)*($F$10-$E$10)),$G$10-SQRT((1-T668)*($G$10-$E$10)*($G$10-$F$10))))</f>
        <v>0.97673304571754</v>
      </c>
      <c r="G668" s="52" t="n">
        <f aca="false">IF($G$11=$E$11,$F$11,IF(U668&lt;($F$11-$E$11)/($G$11-$E$11),$E$11+SQRT(U668*($G$11-$E$11)*($F$11-$E$11)),$G$11-SQRT((1-U668)*($G$11-$E$11)*($G$11-$F$11))))</f>
        <v>0.107706571926977</v>
      </c>
      <c r="H668" s="53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-1953466091.43508</v>
      </c>
      <c r="I668" s="53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-40429721.789201</v>
      </c>
      <c r="J668" s="53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211700104.201344</v>
      </c>
      <c r="K668" s="53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512666582.477766</v>
      </c>
      <c r="L668" s="53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627034204.931044</v>
      </c>
      <c r="M668" s="53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793818114.108077</v>
      </c>
      <c r="N668" s="53" t="n">
        <f aca="false">IF(COUNT('Business Case'!B11:G11)=0,"",H668+NPV(G668,I668:M668))</f>
        <v>-547773647.645179</v>
      </c>
      <c r="P668" s="54" t="n">
        <f aca="true">RAND()</f>
        <v>0.170155500547049</v>
      </c>
      <c r="Q668" s="54" t="n">
        <f aca="true">RAND()</f>
        <v>0.18437040313177</v>
      </c>
      <c r="R668" s="54" t="n">
        <f aca="true">RAND()</f>
        <v>0.348183018076341</v>
      </c>
      <c r="S668" s="54" t="n">
        <f aca="true">RAND()</f>
        <v>0.837513193157141</v>
      </c>
      <c r="T668" s="54" t="n">
        <f aca="true">RAND()</f>
        <v>0.0571724586668883</v>
      </c>
      <c r="U668" s="54" t="n">
        <f aca="true">RAND()</f>
        <v>0.74811937702234</v>
      </c>
    </row>
    <row r="669" customFormat="false" ht="15" hidden="false" customHeight="false" outlineLevel="0" collapsed="false">
      <c r="A669" s="50" t="n">
        <v>589</v>
      </c>
      <c r="B669" s="51" t="n">
        <f aca="false">1+IF($G$6=$E$6,$F$6,IF(P669&lt;($F$6-$E$6)/($G$6-$E$6),$E$6+SQRT(P669*($G$6-$E$6)*($F$6-$E$6)),$G$6-SQRT((1-P669)*($G$6-$E$6)*($G$6-$F$6))))</f>
        <v>1.00862533464569</v>
      </c>
      <c r="C669" s="51" t="n">
        <f aca="false">1+IF($G$7=$E$7,$F$7,IF(Q669&lt;($F$7-$E$7)/($G$7-$E$7),$E$7+SQRT(Q669*($G$7-$E$7)*($F$7-$E$7)),$G$7-SQRT((1-Q669)*($G$7-$E$7)*($G$7-$F$7))))</f>
        <v>1.01606564138213</v>
      </c>
      <c r="D669" s="51" t="n">
        <f aca="false">1+IF($G$8=$E$8,$F$8,IF(R669&lt;($F$8-$E$8)/($G$8-$E$8),$E$8+SQRT(R669*($G$8-$E$8)*($F$8-$E$8)),$G$8-SQRT((1-R669)*($G$8-$E$8)*($G$8-$F$8))))</f>
        <v>0.986609972112672</v>
      </c>
      <c r="E669" s="51" t="n">
        <f aca="false">1+IF($G$9=$E$9,$F$9,IF(S669&lt;($F$9-$E$9)/($G$9-$E$9),$E$9+SQRT(S669*($G$9-$E$9)*($F$9-$E$9)),$G$9-SQRT((1-S669)*($G$9-$E$9)*($G$9-$F$9))))</f>
        <v>1.03038993551395</v>
      </c>
      <c r="F669" s="51" t="n">
        <f aca="false">1+IF($G$10=$E$10,$F$10,IF(T669&lt;($F$10-$E$10)/($G$10-$E$10),$E$10+SQRT(T669*($G$10-$E$10)*($F$10-$E$10)),$G$10-SQRT((1-T669)*($G$10-$E$10)*($G$10-$F$10))))</f>
        <v>1.08240407832082</v>
      </c>
      <c r="G669" s="52" t="n">
        <f aca="false">IF($G$11=$E$11,$F$11,IF(U669&lt;($F$11-$E$11)/($G$11-$E$11),$E$11+SQRT(U669*($G$11-$E$11)*($F$11-$E$11)),$G$11-SQRT((1-U669)*($G$11-$E$11)*($G$11-$F$11))))</f>
        <v>0.0953790386031341</v>
      </c>
      <c r="H669" s="53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-2164808156.64163</v>
      </c>
      <c r="I669" s="53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18340590.6280728</v>
      </c>
      <c r="J669" s="53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344570201.663875</v>
      </c>
      <c r="K669" s="53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724920016.615717</v>
      </c>
      <c r="L669" s="53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869081329.458028</v>
      </c>
      <c r="M669" s="53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1063880929.85843</v>
      </c>
      <c r="N669" s="53" t="n">
        <f aca="false">IF(COUNT('Business Case'!B11:G11)=0,"",H669+NPV(G669,I669:M669))</f>
        <v>-31010443.8742683</v>
      </c>
      <c r="P669" s="54" t="n">
        <f aca="true">RAND()</f>
        <v>0.794922994563499</v>
      </c>
      <c r="Q669" s="54" t="n">
        <f aca="true">RAND()</f>
        <v>0.658315953935609</v>
      </c>
      <c r="R669" s="54" t="n">
        <f aca="true">RAND()</f>
        <v>0.206198470475479</v>
      </c>
      <c r="S669" s="54" t="n">
        <f aca="true">RAND()</f>
        <v>0.676962594816532</v>
      </c>
      <c r="T669" s="54" t="n">
        <f aca="true">RAND()</f>
        <v>0.723423984088464</v>
      </c>
      <c r="U669" s="54" t="n">
        <f aca="true">RAND()</f>
        <v>0.0964468543133574</v>
      </c>
    </row>
    <row r="670" customFormat="false" ht="15" hidden="false" customHeight="false" outlineLevel="0" collapsed="false">
      <c r="A670" s="50" t="n">
        <v>590</v>
      </c>
      <c r="B670" s="51" t="n">
        <f aca="false">1+IF($G$6=$E$6,$F$6,IF(P670&lt;($F$6-$E$6)/($G$6-$E$6),$E$6+SQRT(P670*($G$6-$E$6)*($F$6-$E$6)),$G$6-SQRT((1-P670)*($G$6-$E$6)*($G$6-$F$6))))</f>
        <v>0.96951865043394</v>
      </c>
      <c r="C670" s="51" t="n">
        <f aca="false">1+IF($G$7=$E$7,$F$7,IF(Q670&lt;($F$7-$E$7)/($G$7-$E$7),$E$7+SQRT(Q670*($G$7-$E$7)*($F$7-$E$7)),$G$7-SQRT((1-Q670)*($G$7-$E$7)*($G$7-$F$7))))</f>
        <v>0.916439840736566</v>
      </c>
      <c r="D670" s="51" t="n">
        <f aca="false">1+IF($G$8=$E$8,$F$8,IF(R670&lt;($F$8-$E$8)/($G$8-$E$8),$E$8+SQRT(R670*($G$8-$E$8)*($F$8-$E$8)),$G$8-SQRT((1-R670)*($G$8-$E$8)*($G$8-$F$8))))</f>
        <v>0.981049506624625</v>
      </c>
      <c r="E670" s="51" t="n">
        <f aca="false">1+IF($G$9=$E$9,$F$9,IF(S670&lt;($F$9-$E$9)/($G$9-$E$9),$E$9+SQRT(S670*($G$9-$E$9)*($F$9-$E$9)),$G$9-SQRT((1-S670)*($G$9-$E$9)*($G$9-$F$9))))</f>
        <v>1.023117579811</v>
      </c>
      <c r="F670" s="51" t="n">
        <f aca="false">1+IF($G$10=$E$10,$F$10,IF(T670&lt;($F$10-$E$10)/($G$10-$E$10),$E$10+SQRT(T670*($G$10-$E$10)*($F$10-$E$10)),$G$10-SQRT((1-T670)*($G$10-$E$10)*($G$10-$F$10))))</f>
        <v>1.05210037253158</v>
      </c>
      <c r="G670" s="52" t="n">
        <f aca="false">IF($G$11=$E$11,$F$11,IF(U670&lt;($F$11-$E$11)/($G$11-$E$11),$E$11+SQRT(U670*($G$11-$E$11)*($F$11-$E$11)),$G$11-SQRT((1-U670)*($G$11-$E$11)*($G$11-$F$11))))</f>
        <v>0.106784840631099</v>
      </c>
      <c r="H670" s="53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-2104200745.06315</v>
      </c>
      <c r="I670" s="53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-29260867.0448398</v>
      </c>
      <c r="J670" s="53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238235749.044717</v>
      </c>
      <c r="K670" s="53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558337383.760852</v>
      </c>
      <c r="L670" s="53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678209673.145448</v>
      </c>
      <c r="M670" s="53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847096801.929869</v>
      </c>
      <c r="N670" s="53" t="n">
        <f aca="false">IF(COUNT('Business Case'!B11:G11)=0,"",H670+NPV(G670,I670:M670))</f>
        <v>-562309628.799161</v>
      </c>
      <c r="P670" s="54" t="n">
        <f aca="true">RAND()</f>
        <v>0.255426743833201</v>
      </c>
      <c r="Q670" s="54" t="n">
        <f aca="true">RAND()</f>
        <v>0.193689093010811</v>
      </c>
      <c r="R670" s="54" t="n">
        <f aca="true">RAND()</f>
        <v>0.148318747943486</v>
      </c>
      <c r="S670" s="54" t="n">
        <f aca="true">RAND()</f>
        <v>0.6059395643921</v>
      </c>
      <c r="T670" s="54" t="n">
        <f aca="true">RAND()</f>
        <v>0.562514003894029</v>
      </c>
      <c r="U670" s="54" t="n">
        <f aca="true">RAND()</f>
        <v>0.708932604757599</v>
      </c>
    </row>
    <row r="671" customFormat="false" ht="15" hidden="false" customHeight="false" outlineLevel="0" collapsed="false">
      <c r="A671" s="50" t="n">
        <v>591</v>
      </c>
      <c r="B671" s="51" t="n">
        <f aca="false">1+IF($G$6=$E$6,$F$6,IF(P671&lt;($F$6-$E$6)/($G$6-$E$6),$E$6+SQRT(P671*($G$6-$E$6)*($F$6-$E$6)),$G$6-SQRT((1-P671)*($G$6-$E$6)*($G$6-$F$6))))</f>
        <v>0.991512559295812</v>
      </c>
      <c r="C671" s="51" t="n">
        <f aca="false">1+IF($G$7=$E$7,$F$7,IF(Q671&lt;($F$7-$E$7)/($G$7-$E$7),$E$7+SQRT(Q671*($G$7-$E$7)*($F$7-$E$7)),$G$7-SQRT((1-Q671)*($G$7-$E$7)*($G$7-$F$7))))</f>
        <v>0.926404797727397</v>
      </c>
      <c r="D671" s="51" t="n">
        <f aca="false">1+IF($G$8=$E$8,$F$8,IF(R671&lt;($F$8-$E$8)/($G$8-$E$8),$E$8+SQRT(R671*($G$8-$E$8)*($F$8-$E$8)),$G$8-SQRT((1-R671)*($G$8-$E$8)*($G$8-$F$8))))</f>
        <v>0.989087846511807</v>
      </c>
      <c r="E671" s="51" t="n">
        <f aca="false">1+IF($G$9=$E$9,$F$9,IF(S671&lt;($F$9-$E$9)/($G$9-$E$9),$E$9+SQRT(S671*($G$9-$E$9)*($F$9-$E$9)),$G$9-SQRT((1-S671)*($G$9-$E$9)*($G$9-$F$9))))</f>
        <v>0.983247348650772</v>
      </c>
      <c r="F671" s="51" t="n">
        <f aca="false">1+IF($G$10=$E$10,$F$10,IF(T671&lt;($F$10-$E$10)/($G$10-$E$10),$E$10+SQRT(T671*($G$10-$E$10)*($F$10-$E$10)),$G$10-SQRT((1-T671)*($G$10-$E$10)*($G$10-$F$10))))</f>
        <v>1.01106419062388</v>
      </c>
      <c r="G671" s="52" t="n">
        <f aca="false">IF($G$11=$E$11,$F$11,IF(U671&lt;($F$11-$E$11)/($G$11-$E$11),$E$11+SQRT(U671*($G$11-$E$11)*($F$11-$E$11)),$G$11-SQRT((1-U671)*($G$11-$E$11)*($G$11-$F$11))))</f>
        <v>0.0954822838246991</v>
      </c>
      <c r="H671" s="53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-2022128381.24776</v>
      </c>
      <c r="I671" s="53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-5259490.73116034</v>
      </c>
      <c r="J671" s="53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278022427.440305</v>
      </c>
      <c r="K671" s="53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611857555.142964</v>
      </c>
      <c r="L671" s="53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738029672.441517</v>
      </c>
      <c r="M671" s="53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912626134.269208</v>
      </c>
      <c r="N671" s="53" t="n">
        <f aca="false">IF(COUNT('Business Case'!B11:G11)=0,"",H671+NPV(G671,I671:M671))</f>
        <v>-238949954.502312</v>
      </c>
      <c r="P671" s="54" t="n">
        <f aca="true">RAND()</f>
        <v>0.532713139274695</v>
      </c>
      <c r="Q671" s="54" t="n">
        <f aca="true">RAND()</f>
        <v>0.228259612692917</v>
      </c>
      <c r="R671" s="54" t="n">
        <f aca="true">RAND()</f>
        <v>0.235055345373935</v>
      </c>
      <c r="S671" s="54" t="n">
        <f aca="true">RAND()</f>
        <v>0.147384825640797</v>
      </c>
      <c r="T671" s="54" t="n">
        <f aca="true">RAND()</f>
        <v>0.286065198707807</v>
      </c>
      <c r="U671" s="54" t="n">
        <f aca="true">RAND()</f>
        <v>0.100184786448523</v>
      </c>
    </row>
    <row r="672" customFormat="false" ht="15" hidden="false" customHeight="false" outlineLevel="0" collapsed="false">
      <c r="A672" s="50" t="n">
        <v>592</v>
      </c>
      <c r="B672" s="51" t="n">
        <f aca="false">1+IF($G$6=$E$6,$F$6,IF(P672&lt;($F$6-$E$6)/($G$6-$E$6),$E$6+SQRT(P672*($G$6-$E$6)*($F$6-$E$6)),$G$6-SQRT((1-P672)*($G$6-$E$6)*($G$6-$F$6))))</f>
        <v>0.957453569278694</v>
      </c>
      <c r="C672" s="51" t="n">
        <f aca="false">1+IF($G$7=$E$7,$F$7,IF(Q672&lt;($F$7-$E$7)/($G$7-$E$7),$E$7+SQRT(Q672*($G$7-$E$7)*($F$7-$E$7)),$G$7-SQRT((1-Q672)*($G$7-$E$7)*($G$7-$F$7))))</f>
        <v>0.906578941480279</v>
      </c>
      <c r="D672" s="51" t="n">
        <f aca="false">1+IF($G$8=$E$8,$F$8,IF(R672&lt;($F$8-$E$8)/($G$8-$E$8),$E$8+SQRT(R672*($G$8-$E$8)*($F$8-$E$8)),$G$8-SQRT((1-R672)*($G$8-$E$8)*($G$8-$F$8))))</f>
        <v>1.03839062207652</v>
      </c>
      <c r="E672" s="51" t="n">
        <f aca="false">1+IF($G$9=$E$9,$F$9,IF(S672&lt;($F$9-$E$9)/($G$9-$E$9),$E$9+SQRT(S672*($G$9-$E$9)*($F$9-$E$9)),$G$9-SQRT((1-S672)*($G$9-$E$9)*($G$9-$F$9))))</f>
        <v>0.989322272952611</v>
      </c>
      <c r="F672" s="51" t="n">
        <f aca="false">1+IF($G$10=$E$10,$F$10,IF(T672&lt;($F$10-$E$10)/($G$10-$E$10),$E$10+SQRT(T672*($G$10-$E$10)*($F$10-$E$10)),$G$10-SQRT((1-T672)*($G$10-$E$10)*($G$10-$F$10))))</f>
        <v>0.983528393823769</v>
      </c>
      <c r="G672" s="52" t="n">
        <f aca="false">IF($G$11=$E$11,$F$11,IF(U672&lt;($F$11-$E$11)/($G$11-$E$11),$E$11+SQRT(U672*($G$11-$E$11)*($F$11-$E$11)),$G$11-SQRT((1-U672)*($G$11-$E$11)*($G$11-$F$11))))</f>
        <v>0.105213441773445</v>
      </c>
      <c r="H672" s="53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-1967056787.64754</v>
      </c>
      <c r="I672" s="53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-54984354.9728544</v>
      </c>
      <c r="J672" s="53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174063252.145959</v>
      </c>
      <c r="K672" s="53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452287278.955961</v>
      </c>
      <c r="L672" s="53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558634811.659185</v>
      </c>
      <c r="M672" s="53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723625628.475759</v>
      </c>
      <c r="N672" s="53" t="n">
        <f aca="false">IF(COUNT('Business Case'!B11:G11)=0,"",H672+NPV(G672,I672:M672))</f>
        <v>-726059633.649383</v>
      </c>
      <c r="P672" s="54" t="n">
        <f aca="true">RAND()</f>
        <v>0.146121859553534</v>
      </c>
      <c r="Q672" s="54" t="n">
        <f aca="true">RAND()</f>
        <v>0.16227243952938</v>
      </c>
      <c r="R672" s="54" t="n">
        <f aca="true">RAND()</f>
        <v>0.833524968155896</v>
      </c>
      <c r="S672" s="54" t="n">
        <f aca="true">RAND()</f>
        <v>0.206165486687949</v>
      </c>
      <c r="T672" s="54" t="n">
        <f aca="true">RAND()</f>
        <v>0.0899322553921376</v>
      </c>
      <c r="U672" s="54" t="n">
        <f aca="true">RAND()</f>
        <v>0.635596159687825</v>
      </c>
    </row>
    <row r="673" customFormat="false" ht="15" hidden="false" customHeight="false" outlineLevel="0" collapsed="false">
      <c r="A673" s="50" t="n">
        <v>593</v>
      </c>
      <c r="B673" s="51" t="n">
        <f aca="false">1+IF($G$6=$E$6,$F$6,IF(P673&lt;($F$6-$E$6)/($G$6-$E$6),$E$6+SQRT(P673*($G$6-$E$6)*($F$6-$E$6)),$G$6-SQRT((1-P673)*($G$6-$E$6)*($G$6-$F$6))))</f>
        <v>1.00682385209962</v>
      </c>
      <c r="C673" s="51" t="n">
        <f aca="false">1+IF($G$7=$E$7,$F$7,IF(Q673&lt;($F$7-$E$7)/($G$7-$E$7),$E$7+SQRT(Q673*($G$7-$E$7)*($F$7-$E$7)),$G$7-SQRT((1-Q673)*($G$7-$E$7)*($G$7-$F$7))))</f>
        <v>0.997351902233469</v>
      </c>
      <c r="D673" s="51" t="n">
        <f aca="false">1+IF($G$8=$E$8,$F$8,IF(R673&lt;($F$8-$E$8)/($G$8-$E$8),$E$8+SQRT(R673*($G$8-$E$8)*($F$8-$E$8)),$G$8-SQRT((1-R673)*($G$8-$E$8)*($G$8-$F$8))))</f>
        <v>1.01275568816275</v>
      </c>
      <c r="E673" s="51" t="n">
        <f aca="false">1+IF($G$9=$E$9,$F$9,IF(S673&lt;($F$9-$E$9)/($G$9-$E$9),$E$9+SQRT(S673*($G$9-$E$9)*($F$9-$E$9)),$G$9-SQRT((1-S673)*($G$9-$E$9)*($G$9-$F$9))))</f>
        <v>0.998938063032477</v>
      </c>
      <c r="F673" s="51" t="n">
        <f aca="false">1+IF($G$10=$E$10,$F$10,IF(T673&lt;($F$10-$E$10)/($G$10-$E$10),$E$10+SQRT(T673*($G$10-$E$10)*($F$10-$E$10)),$G$10-SQRT((1-T673)*($G$10-$E$10)*($G$10-$F$10))))</f>
        <v>1.02087086127082</v>
      </c>
      <c r="G673" s="52" t="n">
        <f aca="false">IF($G$11=$E$11,$F$11,IF(U673&lt;($F$11-$E$11)/($G$11-$E$11),$E$11+SQRT(U673*($G$11-$E$11)*($F$11-$E$11)),$G$11-SQRT((1-U673)*($G$11-$E$11)*($G$11-$F$11))))</f>
        <v>0.106016953870397</v>
      </c>
      <c r="H673" s="53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-2041741722.54163</v>
      </c>
      <c r="I673" s="53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9208843.71787907</v>
      </c>
      <c r="J673" s="53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314609300.470092</v>
      </c>
      <c r="K673" s="53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671053300.285845</v>
      </c>
      <c r="L673" s="53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807557142.099271</v>
      </c>
      <c r="M673" s="53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998427434.694061</v>
      </c>
      <c r="N673" s="53" t="n">
        <f aca="false">IF(COUNT('Business Case'!B11:G11)=0,"",H673+NPV(G673,I673:M673))</f>
        <v>-137309060.461241</v>
      </c>
      <c r="P673" s="54" t="n">
        <f aca="true">RAND()</f>
        <v>0.770696502185901</v>
      </c>
      <c r="Q673" s="54" t="n">
        <f aca="true">RAND()</f>
        <v>0.556396761645264</v>
      </c>
      <c r="R673" s="54" t="n">
        <f aca="true">RAND()</f>
        <v>0.56521178130145</v>
      </c>
      <c r="S673" s="54" t="n">
        <f aca="true">RAND()</f>
        <v>0.319324535116085</v>
      </c>
      <c r="T673" s="54" t="n">
        <f aca="true">RAND()</f>
        <v>0.358255033162816</v>
      </c>
      <c r="U673" s="54" t="n">
        <f aca="true">RAND()</f>
        <v>0.674124034895659</v>
      </c>
    </row>
    <row r="674" customFormat="false" ht="15" hidden="false" customHeight="false" outlineLevel="0" collapsed="false">
      <c r="A674" s="50" t="n">
        <v>594</v>
      </c>
      <c r="B674" s="51" t="n">
        <f aca="false">1+IF($G$6=$E$6,$F$6,IF(P674&lt;($F$6-$E$6)/($G$6-$E$6),$E$6+SQRT(P674*($G$6-$E$6)*($F$6-$E$6)),$G$6-SQRT((1-P674)*($G$6-$E$6)*($G$6-$F$6))))</f>
        <v>1.01322468569038</v>
      </c>
      <c r="C674" s="51" t="n">
        <f aca="false">1+IF($G$7=$E$7,$F$7,IF(Q674&lt;($F$7-$E$7)/($G$7-$E$7),$E$7+SQRT(Q674*($G$7-$E$7)*($F$7-$E$7)),$G$7-SQRT((1-Q674)*($G$7-$E$7)*($G$7-$F$7))))</f>
        <v>0.975898492168181</v>
      </c>
      <c r="D674" s="51" t="n">
        <f aca="false">1+IF($G$8=$E$8,$F$8,IF(R674&lt;($F$8-$E$8)/($G$8-$E$8),$E$8+SQRT(R674*($G$8-$E$8)*($F$8-$E$8)),$G$8-SQRT((1-R674)*($G$8-$E$8)*($G$8-$F$8))))</f>
        <v>1.06010846670067</v>
      </c>
      <c r="E674" s="51" t="n">
        <f aca="false">1+IF($G$9=$E$9,$F$9,IF(S674&lt;($F$9-$E$9)/($G$9-$E$9),$E$9+SQRT(S674*($G$9-$E$9)*($F$9-$E$9)),$G$9-SQRT((1-S674)*($G$9-$E$9)*($G$9-$F$9))))</f>
        <v>1.00178897383049</v>
      </c>
      <c r="F674" s="51" t="n">
        <f aca="false">1+IF($G$10=$E$10,$F$10,IF(T674&lt;($F$10-$E$10)/($G$10-$E$10),$E$10+SQRT(T674*($G$10-$E$10)*($F$10-$E$10)),$G$10-SQRT((1-T674)*($G$10-$E$10)*($G$10-$F$10))))</f>
        <v>0.975396429880435</v>
      </c>
      <c r="G674" s="52" t="n">
        <f aca="false">IF($G$11=$E$11,$F$11,IF(U674&lt;($F$11-$E$11)/($G$11-$E$11),$E$11+SQRT(U674*($G$11-$E$11)*($F$11-$E$11)),$G$11-SQRT((1-U674)*($G$11-$E$11)*($G$11-$F$11))))</f>
        <v>0.110000156872131</v>
      </c>
      <c r="H674" s="53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-1950792859.76087</v>
      </c>
      <c r="I674" s="53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-10962686.1443488</v>
      </c>
      <c r="J674" s="53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269328285.10279</v>
      </c>
      <c r="K674" s="53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598389077.84395</v>
      </c>
      <c r="L674" s="53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725992483.142828</v>
      </c>
      <c r="M674" s="53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913944431.666903</v>
      </c>
      <c r="N674" s="53" t="n">
        <f aca="false">IF(COUNT('Business Case'!B11:G11)=0,"",H674+NPV(G674,I674:M674))</f>
        <v>-283924966.224552</v>
      </c>
      <c r="P674" s="54" t="n">
        <f aca="true">RAND()</f>
        <v>0.850642196587694</v>
      </c>
      <c r="Q674" s="54" t="n">
        <f aca="true">RAND()</f>
        <v>0.442003993529139</v>
      </c>
      <c r="R674" s="54" t="n">
        <f aca="true">RAND()</f>
        <v>0.961954509904022</v>
      </c>
      <c r="S674" s="54" t="n">
        <f aca="true">RAND()</f>
        <v>0.356972955915508</v>
      </c>
      <c r="T674" s="54" t="n">
        <f aca="true">RAND()</f>
        <v>0.0515982920537472</v>
      </c>
      <c r="U674" s="54" t="n">
        <f aca="true">RAND()</f>
        <v>0.833338562363349</v>
      </c>
    </row>
    <row r="675" customFormat="false" ht="15" hidden="false" customHeight="false" outlineLevel="0" collapsed="false">
      <c r="A675" s="50" t="n">
        <v>595</v>
      </c>
      <c r="B675" s="51" t="n">
        <f aca="false">1+IF($G$6=$E$6,$F$6,IF(P675&lt;($F$6-$E$6)/($G$6-$E$6),$E$6+SQRT(P675*($G$6-$E$6)*($F$6-$E$6)),$G$6-SQRT((1-P675)*($G$6-$E$6)*($G$6-$F$6))))</f>
        <v>1.01611812778888</v>
      </c>
      <c r="C675" s="51" t="n">
        <f aca="false">1+IF($G$7=$E$7,$F$7,IF(Q675&lt;($F$7-$E$7)/($G$7-$E$7),$E$7+SQRT(Q675*($G$7-$E$7)*($F$7-$E$7)),$G$7-SQRT((1-Q675)*($G$7-$E$7)*($G$7-$F$7))))</f>
        <v>1.02742508078021</v>
      </c>
      <c r="D675" s="51" t="n">
        <f aca="false">1+IF($G$8=$E$8,$F$8,IF(R675&lt;($F$8-$E$8)/($G$8-$E$8),$E$8+SQRT(R675*($G$8-$E$8)*($F$8-$E$8)),$G$8-SQRT((1-R675)*($G$8-$E$8)*($G$8-$F$8))))</f>
        <v>0.983579371933009</v>
      </c>
      <c r="E675" s="51" t="n">
        <f aca="false">1+IF($G$9=$E$9,$F$9,IF(S675&lt;($F$9-$E$9)/($G$9-$E$9),$E$9+SQRT(S675*($G$9-$E$9)*($F$9-$E$9)),$G$9-SQRT((1-S675)*($G$9-$E$9)*($G$9-$F$9))))</f>
        <v>0.997243697646723</v>
      </c>
      <c r="F675" s="51" t="n">
        <f aca="false">1+IF($G$10=$E$10,$F$10,IF(T675&lt;($F$10-$E$10)/($G$10-$E$10),$E$10+SQRT(T675*($G$10-$E$10)*($F$10-$E$10)),$G$10-SQRT((1-T675)*($G$10-$E$10)*($G$10-$F$10))))</f>
        <v>1.14530089864726</v>
      </c>
      <c r="G675" s="52" t="n">
        <f aca="false">IF($G$11=$E$11,$F$11,IF(U675&lt;($F$11-$E$11)/($G$11-$E$11),$E$11+SQRT(U675*($G$11-$E$11)*($F$11-$E$11)),$G$11-SQRT((1-U675)*($G$11-$E$11)*($G$11-$F$11))))</f>
        <v>0.1127796422211</v>
      </c>
      <c r="H675" s="53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-2290601797.29452</v>
      </c>
      <c r="I675" s="53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27317884.404328</v>
      </c>
      <c r="J675" s="53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365094107.81416</v>
      </c>
      <c r="K675" s="53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760135376.156355</v>
      </c>
      <c r="L675" s="53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908807580.849908</v>
      </c>
      <c r="M675" s="53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1107248297.07976</v>
      </c>
      <c r="N675" s="53" t="n">
        <f aca="false">IF(COUNT('Business Case'!B11:G11)=0,"",H675+NPV(G675,I675:M675))</f>
        <v>-177930356.474504</v>
      </c>
      <c r="P675" s="54" t="n">
        <f aca="true">RAND()</f>
        <v>0.88117837076909</v>
      </c>
      <c r="Q675" s="54" t="n">
        <f aca="true">RAND()</f>
        <v>0.71381693672879</v>
      </c>
      <c r="R675" s="54" t="n">
        <f aca="true">RAND()</f>
        <v>0.17347295683313</v>
      </c>
      <c r="S675" s="54" t="n">
        <f aca="true">RAND()</f>
        <v>0.297595595644666</v>
      </c>
      <c r="T675" s="54" t="n">
        <f aca="true">RAND()</f>
        <v>0.940160166224057</v>
      </c>
      <c r="U675" s="54" t="n">
        <f aca="true">RAND()</f>
        <v>0.91311072257446</v>
      </c>
    </row>
    <row r="676" customFormat="false" ht="15" hidden="false" customHeight="false" outlineLevel="0" collapsed="false">
      <c r="A676" s="50" t="n">
        <v>596</v>
      </c>
      <c r="B676" s="51" t="n">
        <f aca="false">1+IF($G$6=$E$6,$F$6,IF(P676&lt;($F$6-$E$6)/($G$6-$E$6),$E$6+SQRT(P676*($G$6-$E$6)*($F$6-$E$6)),$G$6-SQRT((1-P676)*($G$6-$E$6)*($G$6-$F$6))))</f>
        <v>0.969670829856364</v>
      </c>
      <c r="C676" s="51" t="n">
        <f aca="false">1+IF($G$7=$E$7,$F$7,IF(Q676&lt;($F$7-$E$7)/($G$7-$E$7),$E$7+SQRT(Q676*($G$7-$E$7)*($F$7-$E$7)),$G$7-SQRT((1-Q676)*($G$7-$E$7)*($G$7-$F$7))))</f>
        <v>0.971707991418548</v>
      </c>
      <c r="D676" s="51" t="n">
        <f aca="false">1+IF($G$8=$E$8,$F$8,IF(R676&lt;($F$8-$E$8)/($G$8-$E$8),$E$8+SQRT(R676*($G$8-$E$8)*($F$8-$E$8)),$G$8-SQRT((1-R676)*($G$8-$E$8)*($G$8-$F$8))))</f>
        <v>1.02887027407364</v>
      </c>
      <c r="E676" s="51" t="n">
        <f aca="false">1+IF($G$9=$E$9,$F$9,IF(S676&lt;($F$9-$E$9)/($G$9-$E$9),$E$9+SQRT(S676*($G$9-$E$9)*($F$9-$E$9)),$G$9-SQRT((1-S676)*($G$9-$E$9)*($G$9-$F$9))))</f>
        <v>1.04277146220617</v>
      </c>
      <c r="F676" s="51" t="n">
        <f aca="false">1+IF($G$10=$E$10,$F$10,IF(T676&lt;($F$10-$E$10)/($G$10-$E$10),$E$10+SQRT(T676*($G$10-$E$10)*($F$10-$E$10)),$G$10-SQRT((1-T676)*($G$10-$E$10)*($G$10-$F$10))))</f>
        <v>1.16644975991539</v>
      </c>
      <c r="G676" s="52" t="n">
        <f aca="false">IF($G$11=$E$11,$F$11,IF(U676&lt;($F$11-$E$11)/($G$11-$E$11),$E$11+SQRT(U676*($G$11-$E$11)*($F$11-$E$11)),$G$11-SQRT((1-U676)*($G$11-$E$11)*($G$11-$F$11))))</f>
        <v>0.1037285875006</v>
      </c>
      <c r="H676" s="53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-2332899519.83077</v>
      </c>
      <c r="I676" s="53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-53810671.3571845</v>
      </c>
      <c r="J676" s="53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206151295.809458</v>
      </c>
      <c r="K676" s="53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524435750.971869</v>
      </c>
      <c r="L676" s="53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643653447.098464</v>
      </c>
      <c r="M676" s="53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822753835.989226</v>
      </c>
      <c r="N676" s="53" t="n">
        <f aca="false">IF(COUNT('Business Case'!B11:G11)=0,"",H676+NPV(G676,I676:M676))</f>
        <v>-886384554.024621</v>
      </c>
      <c r="P676" s="54" t="n">
        <f aca="true">RAND()</f>
        <v>0.256999097772899</v>
      </c>
      <c r="Q676" s="54" t="n">
        <f aca="true">RAND()</f>
        <v>0.421194775957032</v>
      </c>
      <c r="R676" s="54" t="n">
        <f aca="true">RAND()</f>
        <v>0.748629916028426</v>
      </c>
      <c r="S676" s="54" t="n">
        <f aca="true">RAND()</f>
        <v>0.781659630798664</v>
      </c>
      <c r="T676" s="54" t="n">
        <f aca="true">RAND()</f>
        <v>0.977487627805294</v>
      </c>
      <c r="U676" s="54" t="n">
        <f aca="true">RAND()</f>
        <v>0.558735225457295</v>
      </c>
    </row>
    <row r="677" customFormat="false" ht="15" hidden="false" customHeight="false" outlineLevel="0" collapsed="false">
      <c r="A677" s="50" t="n">
        <v>597</v>
      </c>
      <c r="B677" s="51" t="n">
        <f aca="false">1+IF($G$6=$E$6,$F$6,IF(P677&lt;($F$6-$E$6)/($G$6-$E$6),$E$6+SQRT(P677*($G$6-$E$6)*($F$6-$E$6)),$G$6-SQRT((1-P677)*($G$6-$E$6)*($G$6-$F$6))))</f>
        <v>0.975320114222656</v>
      </c>
      <c r="C677" s="51" t="n">
        <f aca="false">1+IF($G$7=$E$7,$F$7,IF(Q677&lt;($F$7-$E$7)/($G$7-$E$7),$E$7+SQRT(Q677*($G$7-$E$7)*($F$7-$E$7)),$G$7-SQRT((1-Q677)*($G$7-$E$7)*($G$7-$F$7))))</f>
        <v>1.05321069552796</v>
      </c>
      <c r="D677" s="51" t="n">
        <f aca="false">1+IF($G$8=$E$8,$F$8,IF(R677&lt;($F$8-$E$8)/($G$8-$E$8),$E$8+SQRT(R677*($G$8-$E$8)*($F$8-$E$8)),$G$8-SQRT((1-R677)*($G$8-$E$8)*($G$8-$F$8))))</f>
        <v>1.02345509633477</v>
      </c>
      <c r="E677" s="51" t="n">
        <f aca="false">1+IF($G$9=$E$9,$F$9,IF(S677&lt;($F$9-$E$9)/($G$9-$E$9),$E$9+SQRT(S677*($G$9-$E$9)*($F$9-$E$9)),$G$9-SQRT((1-S677)*($G$9-$E$9)*($G$9-$F$9))))</f>
        <v>1.00634035865064</v>
      </c>
      <c r="F677" s="51" t="n">
        <f aca="false">1+IF($G$10=$E$10,$F$10,IF(T677&lt;($F$10-$E$10)/($G$10-$E$10),$E$10+SQRT(T677*($G$10-$E$10)*($F$10-$E$10)),$G$10-SQRT((1-T677)*($G$10-$E$10)*($G$10-$F$10))))</f>
        <v>0.975098814514859</v>
      </c>
      <c r="G677" s="52" t="n">
        <f aca="false">IF($G$11=$E$11,$F$11,IF(U677&lt;($F$11-$E$11)/($G$11-$E$11),$E$11+SQRT(U677*($G$11-$E$11)*($F$11-$E$11)),$G$11-SQRT((1-U677)*($G$11-$E$11)*($G$11-$F$11))))</f>
        <v>0.0947564949074659</v>
      </c>
      <c r="H677" s="53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-1950197629.02972</v>
      </c>
      <c r="I677" s="53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-4302945.35130931</v>
      </c>
      <c r="J677" s="53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285256548.881719</v>
      </c>
      <c r="K677" s="53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623570983.840491</v>
      </c>
      <c r="L677" s="53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755591454.67332</v>
      </c>
      <c r="M677" s="53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950844971.493332</v>
      </c>
      <c r="N677" s="53" t="n">
        <f aca="false">IF(COUNT('Business Case'!B11:G11)=0,"",H677+NPV(G677,I677:M677))</f>
        <v>-110140137.696725</v>
      </c>
      <c r="P677" s="54" t="n">
        <f aca="true">RAND()</f>
        <v>0.318782816417466</v>
      </c>
      <c r="Q677" s="54" t="n">
        <f aca="true">RAND()</f>
        <v>0.821558676948942</v>
      </c>
      <c r="R677" s="54" t="n">
        <f aca="true">RAND()</f>
        <v>0.692564795143286</v>
      </c>
      <c r="S677" s="54" t="n">
        <f aca="true">RAND()</f>
        <v>0.415191438820649</v>
      </c>
      <c r="T677" s="54" t="n">
        <f aca="true">RAND()</f>
        <v>0.0503960392041041</v>
      </c>
      <c r="U677" s="54" t="n">
        <f aca="true">RAND()</f>
        <v>0.0754141460158312</v>
      </c>
    </row>
    <row r="678" customFormat="false" ht="15" hidden="false" customHeight="false" outlineLevel="0" collapsed="false">
      <c r="A678" s="50" t="n">
        <v>598</v>
      </c>
      <c r="B678" s="51" t="n">
        <f aca="false">1+IF($G$6=$E$6,$F$6,IF(P678&lt;($F$6-$E$6)/($G$6-$E$6),$E$6+SQRT(P678*($G$6-$E$6)*($F$6-$E$6)),$G$6-SQRT((1-P678)*($G$6-$E$6)*($G$6-$F$6))))</f>
        <v>0.991966599137986</v>
      </c>
      <c r="C678" s="51" t="n">
        <f aca="false">1+IF($G$7=$E$7,$F$7,IF(Q678&lt;($F$7-$E$7)/($G$7-$E$7),$E$7+SQRT(Q678*($G$7-$E$7)*($F$7-$E$7)),$G$7-SQRT((1-Q678)*($G$7-$E$7)*($G$7-$F$7))))</f>
        <v>1.09135826313657</v>
      </c>
      <c r="D678" s="51" t="n">
        <f aca="false">1+IF($G$8=$E$8,$F$8,IF(R678&lt;($F$8-$E$8)/($G$8-$E$8),$E$8+SQRT(R678*($G$8-$E$8)*($F$8-$E$8)),$G$8-SQRT((1-R678)*($G$8-$E$8)*($G$8-$F$8))))</f>
        <v>1.02042392231445</v>
      </c>
      <c r="E678" s="51" t="n">
        <f aca="false">1+IF($G$9=$E$9,$F$9,IF(S678&lt;($F$9-$E$9)/($G$9-$E$9),$E$9+SQRT(S678*($G$9-$E$9)*($F$9-$E$9)),$G$9-SQRT((1-S678)*($G$9-$E$9)*($G$9-$F$9))))</f>
        <v>1.03589005036462</v>
      </c>
      <c r="F678" s="51" t="n">
        <f aca="false">1+IF($G$10=$E$10,$F$10,IF(T678&lt;($F$10-$E$10)/($G$10-$E$10),$E$10+SQRT(T678*($G$10-$E$10)*($F$10-$E$10)),$G$10-SQRT((1-T678)*($G$10-$E$10)*($G$10-$F$10))))</f>
        <v>0.967461054905257</v>
      </c>
      <c r="G678" s="52" t="n">
        <f aca="false">IF($G$11=$E$11,$F$11,IF(U678&lt;($F$11-$E$11)/($G$11-$E$11),$E$11+SQRT(U678*($G$11-$E$11)*($F$11-$E$11)),$G$11-SQRT((1-U678)*($G$11-$E$11)*($G$11-$F$11))))</f>
        <v>0.103015825327207</v>
      </c>
      <c r="H678" s="53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-1934922109.81051</v>
      </c>
      <c r="I678" s="53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16450020.1827334</v>
      </c>
      <c r="J678" s="53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333071225.592371</v>
      </c>
      <c r="K678" s="53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698065483.747272</v>
      </c>
      <c r="L678" s="53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841020228.600171</v>
      </c>
      <c r="M678" s="53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1046799115.37345</v>
      </c>
      <c r="N678" s="53" t="n">
        <f aca="false">IF(COUNT('Business Case'!B11:G11)=0,"",H678+NPV(G678,I678:M678))</f>
        <v>83244727.7864287</v>
      </c>
      <c r="P678" s="54" t="n">
        <f aca="true">RAND()</f>
        <v>0.539499103279959</v>
      </c>
      <c r="Q678" s="54" t="n">
        <f aca="true">RAND()</f>
        <v>0.934498032336006</v>
      </c>
      <c r="R678" s="54" t="n">
        <f aca="true">RAND()</f>
        <v>0.658720285346641</v>
      </c>
      <c r="S678" s="54" t="n">
        <f aca="true">RAND()</f>
        <v>0.725994290516599</v>
      </c>
      <c r="T678" s="54" t="n">
        <f aca="true">RAND()</f>
        <v>0.024391075072351</v>
      </c>
      <c r="U678" s="54" t="n">
        <f aca="true">RAND()</f>
        <v>0.51922968447342</v>
      </c>
    </row>
    <row r="679" customFormat="false" ht="15" hidden="false" customHeight="false" outlineLevel="0" collapsed="false">
      <c r="A679" s="50" t="n">
        <v>599</v>
      </c>
      <c r="B679" s="51" t="n">
        <f aca="false">1+IF($G$6=$E$6,$F$6,IF(P679&lt;($F$6-$E$6)/($G$6-$E$6),$E$6+SQRT(P679*($G$6-$E$6)*($F$6-$E$6)),$G$6-SQRT((1-P679)*($G$6-$E$6)*($G$6-$F$6))))</f>
        <v>1.03058480906761</v>
      </c>
      <c r="C679" s="51" t="n">
        <f aca="false">1+IF($G$7=$E$7,$F$7,IF(Q679&lt;($F$7-$E$7)/($G$7-$E$7),$E$7+SQRT(Q679*($G$7-$E$7)*($F$7-$E$7)),$G$7-SQRT((1-Q679)*($G$7-$E$7)*($G$7-$F$7))))</f>
        <v>0.942624555267199</v>
      </c>
      <c r="D679" s="51" t="n">
        <f aca="false">1+IF($G$8=$E$8,$F$8,IF(R679&lt;($F$8-$E$8)/($G$8-$E$8),$E$8+SQRT(R679*($G$8-$E$8)*($F$8-$E$8)),$G$8-SQRT((1-R679)*($G$8-$E$8)*($G$8-$F$8))))</f>
        <v>1.04175711969748</v>
      </c>
      <c r="E679" s="51" t="n">
        <f aca="false">1+IF($G$9=$E$9,$F$9,IF(S679&lt;($F$9-$E$9)/($G$9-$E$9),$E$9+SQRT(S679*($G$9-$E$9)*($F$9-$E$9)),$G$9-SQRT((1-S679)*($G$9-$E$9)*($G$9-$F$9))))</f>
        <v>0.963181003740086</v>
      </c>
      <c r="F679" s="51" t="n">
        <f aca="false">1+IF($G$10=$E$10,$F$10,IF(T679&lt;($F$10-$E$10)/($G$10-$E$10),$E$10+SQRT(T679*($G$10-$E$10)*($F$10-$E$10)),$G$10-SQRT((1-T679)*($G$10-$E$10)*($G$10-$F$10))))</f>
        <v>1.08313481175396</v>
      </c>
      <c r="G679" s="52" t="n">
        <f aca="false">IF($G$11=$E$11,$F$11,IF(U679&lt;($F$11-$E$11)/($G$11-$E$11),$E$11+SQRT(U679*($G$11-$E$11)*($F$11-$E$11)),$G$11-SQRT((1-U679)*($G$11-$E$11)*($G$11-$F$11))))</f>
        <v>0.103500730642338</v>
      </c>
      <c r="H679" s="53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-2166269623.50792</v>
      </c>
      <c r="I679" s="53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-2644996.72170045</v>
      </c>
      <c r="J679" s="53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290348030.196515</v>
      </c>
      <c r="K679" s="53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637497797.702428</v>
      </c>
      <c r="L679" s="53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768735609.163619</v>
      </c>
      <c r="M679" s="53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953389689.516776</v>
      </c>
      <c r="N679" s="53" t="n">
        <f aca="false">IF(COUNT('Business Case'!B11:G11)=0,"",H679+NPV(G679,I679:M679))</f>
        <v>-354736821.783346</v>
      </c>
      <c r="P679" s="54" t="n">
        <f aca="true">RAND()</f>
        <v>0.981532120772224</v>
      </c>
      <c r="Q679" s="54" t="n">
        <f aca="true">RAND()</f>
        <v>0.29059662521666</v>
      </c>
      <c r="R679" s="54" t="n">
        <f aca="true">RAND()</f>
        <v>0.859373279439128</v>
      </c>
      <c r="S679" s="54" t="n">
        <f aca="true">RAND()</f>
        <v>0.0231651812794884</v>
      </c>
      <c r="T679" s="54" t="n">
        <f aca="true">RAND()</f>
        <v>0.726850555524342</v>
      </c>
      <c r="U679" s="54" t="n">
        <f aca="true">RAND()</f>
        <v>0.546290184438883</v>
      </c>
    </row>
    <row r="680" customFormat="false" ht="15" hidden="false" customHeight="false" outlineLevel="0" collapsed="false">
      <c r="A680" s="50" t="n">
        <v>600</v>
      </c>
      <c r="B680" s="51" t="n">
        <f aca="false">1+IF($G$6=$E$6,$F$6,IF(P680&lt;($F$6-$E$6)/($G$6-$E$6),$E$6+SQRT(P680*($G$6-$E$6)*($F$6-$E$6)),$G$6-SQRT((1-P680)*($G$6-$E$6)*($G$6-$F$6))))</f>
        <v>0.926702776348084</v>
      </c>
      <c r="C680" s="51" t="n">
        <f aca="false">1+IF($G$7=$E$7,$F$7,IF(Q680&lt;($F$7-$E$7)/($G$7-$E$7),$E$7+SQRT(Q680*($G$7-$E$7)*($F$7-$E$7)),$G$7-SQRT((1-Q680)*($G$7-$E$7)*($G$7-$F$7))))</f>
        <v>1.0138819596697</v>
      </c>
      <c r="D680" s="51" t="n">
        <f aca="false">1+IF($G$8=$E$8,$F$8,IF(R680&lt;($F$8-$E$8)/($G$8-$E$8),$E$8+SQRT(R680*($G$8-$E$8)*($F$8-$E$8)),$G$8-SQRT((1-R680)*($G$8-$E$8)*($G$8-$F$8))))</f>
        <v>0.99214396164322</v>
      </c>
      <c r="E680" s="51" t="n">
        <f aca="false">1+IF($G$9=$E$9,$F$9,IF(S680&lt;($F$9-$E$9)/($G$9-$E$9),$E$9+SQRT(S680*($G$9-$E$9)*($F$9-$E$9)),$G$9-SQRT((1-S680)*($G$9-$E$9)*($G$9-$F$9))))</f>
        <v>0.973777183334846</v>
      </c>
      <c r="F680" s="51" t="n">
        <f aca="false">1+IF($G$10=$E$10,$F$10,IF(T680&lt;($F$10-$E$10)/($G$10-$E$10),$E$10+SQRT(T680*($G$10-$E$10)*($F$10-$E$10)),$G$10-SQRT((1-T680)*($G$10-$E$10)*($G$10-$F$10))))</f>
        <v>1.01725469293331</v>
      </c>
      <c r="G680" s="52" t="n">
        <f aca="false">IF($G$11=$E$11,$F$11,IF(U680&lt;($F$11-$E$11)/($G$11-$E$11),$E$11+SQRT(U680*($G$11-$E$11)*($F$11-$E$11)),$G$11-SQRT((1-U680)*($G$11-$E$11)*($G$11-$F$11))))</f>
        <v>0.109696517292617</v>
      </c>
      <c r="H680" s="53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-2034509385.86662</v>
      </c>
      <c r="I680" s="53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-34279503.1957632</v>
      </c>
      <c r="J680" s="53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220344743.415301</v>
      </c>
      <c r="K680" s="53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525831724.673031</v>
      </c>
      <c r="L680" s="53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643177916.905573</v>
      </c>
      <c r="M680" s="53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821770855.397604</v>
      </c>
      <c r="N680" s="53" t="n">
        <f aca="false">IF(COUNT('Business Case'!B11:G11)=0,"",H680+NPV(G680,I680:M680))</f>
        <v>-589173423.754678</v>
      </c>
      <c r="P680" s="54" t="n">
        <f aca="true">RAND()</f>
        <v>0.00467991778879468</v>
      </c>
      <c r="Q680" s="54" t="n">
        <f aca="true">RAND()</f>
        <v>0.647083411364547</v>
      </c>
      <c r="R680" s="54" t="n">
        <f aca="true">RAND()</f>
        <v>0.273248231228488</v>
      </c>
      <c r="S680" s="54" t="n">
        <f aca="true">RAND()</f>
        <v>0.0753805929785197</v>
      </c>
      <c r="T680" s="54" t="n">
        <f aca="true">RAND()</f>
        <v>0.332083054902036</v>
      </c>
      <c r="U680" s="54" t="n">
        <f aca="true">RAND()</f>
        <v>0.823063740164436</v>
      </c>
    </row>
    <row r="681" customFormat="false" ht="15" hidden="false" customHeight="false" outlineLevel="0" collapsed="false">
      <c r="A681" s="50" t="n">
        <v>601</v>
      </c>
      <c r="B681" s="51" t="n">
        <f aca="false">1+IF($G$6=$E$6,$F$6,IF(P681&lt;($F$6-$E$6)/($G$6-$E$6),$E$6+SQRT(P681*($G$6-$E$6)*($F$6-$E$6)),$G$6-SQRT((1-P681)*($G$6-$E$6)*($G$6-$F$6))))</f>
        <v>1.01572006477601</v>
      </c>
      <c r="C681" s="51" t="n">
        <f aca="false">1+IF($G$7=$E$7,$F$7,IF(Q681&lt;($F$7-$E$7)/($G$7-$E$7),$E$7+SQRT(Q681*($G$7-$E$7)*($F$7-$E$7)),$G$7-SQRT((1-Q681)*($G$7-$E$7)*($G$7-$F$7))))</f>
        <v>0.887294778018018</v>
      </c>
      <c r="D681" s="51" t="n">
        <f aca="false">1+IF($G$8=$E$8,$F$8,IF(R681&lt;($F$8-$E$8)/($G$8-$E$8),$E$8+SQRT(R681*($G$8-$E$8)*($F$8-$E$8)),$G$8-SQRT((1-R681)*($G$8-$E$8)*($G$8-$F$8))))</f>
        <v>0.962283638301761</v>
      </c>
      <c r="E681" s="51" t="n">
        <f aca="false">1+IF($G$9=$E$9,$F$9,IF(S681&lt;($F$9-$E$9)/($G$9-$E$9),$E$9+SQRT(S681*($G$9-$E$9)*($F$9-$E$9)),$G$9-SQRT((1-S681)*($G$9-$E$9)*($G$9-$F$9))))</f>
        <v>1.04631379407924</v>
      </c>
      <c r="F681" s="51" t="n">
        <f aca="false">1+IF($G$10=$E$10,$F$10,IF(T681&lt;($F$10-$E$10)/($G$10-$E$10),$E$10+SQRT(T681*($G$10-$E$10)*($F$10-$E$10)),$G$10-SQRT((1-T681)*($G$10-$E$10)*($G$10-$F$10))))</f>
        <v>1.17237374892763</v>
      </c>
      <c r="G681" s="52" t="n">
        <f aca="false">IF($G$11=$E$11,$F$11,IF(U681&lt;($F$11-$E$11)/($G$11-$E$11),$E$11+SQRT(U681*($G$11-$E$11)*($F$11-$E$11)),$G$11-SQRT((1-U681)*($G$11-$E$11)*($G$11-$F$11))))</f>
        <v>0.116387299972475</v>
      </c>
      <c r="H681" s="53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-2344747497.85525</v>
      </c>
      <c r="I681" s="53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-11652911.3424128</v>
      </c>
      <c r="J681" s="53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289437816.517502</v>
      </c>
      <c r="K681" s="53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649147231.823798</v>
      </c>
      <c r="L681" s="53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780657769.638101</v>
      </c>
      <c r="M681" s="53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951966059.87359</v>
      </c>
      <c r="N681" s="53" t="n">
        <f aca="false">IF(COUNT('Business Case'!B11:G11)=0,"",H681+NPV(G681,I681:M681))</f>
        <v>-604858040.169856</v>
      </c>
      <c r="P681" s="54" t="n">
        <f aca="true">RAND()</f>
        <v>0.877184321983062</v>
      </c>
      <c r="Q681" s="54" t="n">
        <f aca="true">RAND()</f>
        <v>0.108862546703072</v>
      </c>
      <c r="R681" s="54" t="n">
        <f aca="true">RAND()</f>
        <v>0.0232135030659233</v>
      </c>
      <c r="S681" s="54" t="n">
        <f aca="true">RAND()</f>
        <v>0.807852752922254</v>
      </c>
      <c r="T681" s="54" t="n">
        <f aca="true">RAND()</f>
        <v>0.984735805033724</v>
      </c>
      <c r="U681" s="54" t="n">
        <f aca="true">RAND()</f>
        <v>0.97824733085187</v>
      </c>
    </row>
    <row r="682" customFormat="false" ht="15" hidden="false" customHeight="false" outlineLevel="0" collapsed="false">
      <c r="A682" s="50" t="n">
        <v>602</v>
      </c>
      <c r="B682" s="51" t="n">
        <f aca="false">1+IF($G$6=$E$6,$F$6,IF(P682&lt;($F$6-$E$6)/($G$6-$E$6),$E$6+SQRT(P682*($G$6-$E$6)*($F$6-$E$6)),$G$6-SQRT((1-P682)*($G$6-$E$6)*($G$6-$F$6))))</f>
        <v>0.974240316140325</v>
      </c>
      <c r="C682" s="51" t="n">
        <f aca="false">1+IF($G$7=$E$7,$F$7,IF(Q682&lt;($F$7-$E$7)/($G$7-$E$7),$E$7+SQRT(Q682*($G$7-$E$7)*($F$7-$E$7)),$G$7-SQRT((1-Q682)*($G$7-$E$7)*($G$7-$F$7))))</f>
        <v>0.952005707236854</v>
      </c>
      <c r="D682" s="51" t="n">
        <f aca="false">1+IF($G$8=$E$8,$F$8,IF(R682&lt;($F$8-$E$8)/($G$8-$E$8),$E$8+SQRT(R682*($G$8-$E$8)*($F$8-$E$8)),$G$8-SQRT((1-R682)*($G$8-$E$8)*($G$8-$F$8))))</f>
        <v>0.992665153244276</v>
      </c>
      <c r="E682" s="51" t="n">
        <f aca="false">1+IF($G$9=$E$9,$F$9,IF(S682&lt;($F$9-$E$9)/($G$9-$E$9),$E$9+SQRT(S682*($G$9-$E$9)*($F$9-$E$9)),$G$9-SQRT((1-S682)*($G$9-$E$9)*($G$9-$F$9))))</f>
        <v>1.02679573047408</v>
      </c>
      <c r="F682" s="51" t="n">
        <f aca="false">1+IF($G$10=$E$10,$F$10,IF(T682&lt;($F$10-$E$10)/($G$10-$E$10),$E$10+SQRT(T682*($G$10-$E$10)*($F$10-$E$10)),$G$10-SQRT((1-T682)*($G$10-$E$10)*($G$10-$F$10))))</f>
        <v>0.997545533635609</v>
      </c>
      <c r="G682" s="52" t="n">
        <f aca="false">IF($G$11=$E$11,$F$11,IF(U682&lt;($F$11-$E$11)/($G$11-$E$11),$E$11+SQRT(U682*($G$11-$E$11)*($F$11-$E$11)),$G$11-SQRT((1-U682)*($G$11-$E$11)*($G$11-$F$11))))</f>
        <v>0.0940469904071832</v>
      </c>
      <c r="H682" s="53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-1995091067.27122</v>
      </c>
      <c r="I682" s="53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-17946893.140003</v>
      </c>
      <c r="J682" s="53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257951804.524042</v>
      </c>
      <c r="K682" s="53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583727778.869868</v>
      </c>
      <c r="L682" s="53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707747801.135932</v>
      </c>
      <c r="M682" s="53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884043644.548533</v>
      </c>
      <c r="N682" s="53" t="n">
        <f aca="false">IF(COUNT('Business Case'!B11:G11)=0,"",H682+NPV(G682,I682:M682))</f>
        <v>-292196374.181704</v>
      </c>
      <c r="P682" s="54" t="n">
        <f aca="true">RAND()</f>
        <v>0.306459572396079</v>
      </c>
      <c r="Q682" s="54" t="n">
        <f aca="true">RAND()</f>
        <v>0.330081929036804</v>
      </c>
      <c r="R682" s="54" t="n">
        <f aca="true">RAND()</f>
        <v>0.280048507901165</v>
      </c>
      <c r="S682" s="54" t="n">
        <f aca="true">RAND()</f>
        <v>0.642742328211738</v>
      </c>
      <c r="T682" s="54" t="n">
        <f aca="true">RAND()</f>
        <v>0.180846221495587</v>
      </c>
      <c r="U682" s="54" t="n">
        <f aca="true">RAND()</f>
        <v>0.0545937711861103</v>
      </c>
    </row>
    <row r="683" customFormat="false" ht="15" hidden="false" customHeight="false" outlineLevel="0" collapsed="false">
      <c r="A683" s="50" t="n">
        <v>603</v>
      </c>
      <c r="B683" s="51" t="n">
        <f aca="false">1+IF($G$6=$E$6,$F$6,IF(P683&lt;($F$6-$E$6)/($G$6-$E$6),$E$6+SQRT(P683*($G$6-$E$6)*($F$6-$E$6)),$G$6-SQRT((1-P683)*($G$6-$E$6)*($G$6-$F$6))))</f>
        <v>1.02256548514582</v>
      </c>
      <c r="C683" s="51" t="n">
        <f aca="false">1+IF($G$7=$E$7,$F$7,IF(Q683&lt;($F$7-$E$7)/($G$7-$E$7),$E$7+SQRT(Q683*($G$7-$E$7)*($F$7-$E$7)),$G$7-SQRT((1-Q683)*($G$7-$E$7)*($G$7-$F$7))))</f>
        <v>1.0625409312434</v>
      </c>
      <c r="D683" s="51" t="n">
        <f aca="false">1+IF($G$8=$E$8,$F$8,IF(R683&lt;($F$8-$E$8)/($G$8-$E$8),$E$8+SQRT(R683*($G$8-$E$8)*($F$8-$E$8)),$G$8-SQRT((1-R683)*($G$8-$E$8)*($G$8-$F$8))))</f>
        <v>1.02596224308774</v>
      </c>
      <c r="E683" s="51" t="n">
        <f aca="false">1+IF($G$9=$E$9,$F$9,IF(S683&lt;($F$9-$E$9)/($G$9-$E$9),$E$9+SQRT(S683*($G$9-$E$9)*($F$9-$E$9)),$G$9-SQRT((1-S683)*($G$9-$E$9)*($G$9-$F$9))))</f>
        <v>0.989929464545554</v>
      </c>
      <c r="F683" s="51" t="n">
        <f aca="false">1+IF($G$10=$E$10,$F$10,IF(T683&lt;($F$10-$E$10)/($G$10-$E$10),$E$10+SQRT(T683*($G$10-$E$10)*($F$10-$E$10)),$G$10-SQRT((1-T683)*($G$10-$E$10)*($G$10-$F$10))))</f>
        <v>0.996745028415146</v>
      </c>
      <c r="G683" s="52" t="n">
        <f aca="false">IF($G$11=$E$11,$F$11,IF(U683&lt;($F$11-$E$11)/($G$11-$E$11),$E$11+SQRT(U683*($G$11-$E$11)*($F$11-$E$11)),$G$11-SQRT((1-U683)*($G$11-$E$11)*($G$11-$F$11))))</f>
        <v>0.113274716371651</v>
      </c>
      <c r="H683" s="53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-1993490056.83029</v>
      </c>
      <c r="I683" s="53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35110911.1724019</v>
      </c>
      <c r="J683" s="53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366989371.723339</v>
      </c>
      <c r="K683" s="53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748705083.695034</v>
      </c>
      <c r="L683" s="53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896881288.331109</v>
      </c>
      <c r="M683" s="53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1103406569.48613</v>
      </c>
      <c r="N683" s="53" t="n">
        <f aca="false">IF(COUNT('Business Case'!B11:G11)=0,"",H683+NPV(G683,I683:M683))</f>
        <v>105911818.37573</v>
      </c>
      <c r="P683" s="54" t="n">
        <f aca="true">RAND()</f>
        <v>0.936674519124843</v>
      </c>
      <c r="Q683" s="54" t="n">
        <f aca="true">RAND()</f>
        <v>0.854303072232928</v>
      </c>
      <c r="R683" s="54" t="n">
        <f aca="true">RAND()</f>
        <v>0.71922315652801</v>
      </c>
      <c r="S683" s="54" t="n">
        <f aca="true">RAND()</f>
        <v>0.212581618519286</v>
      </c>
      <c r="T683" s="54" t="n">
        <f aca="true">RAND()</f>
        <v>0.174807814522621</v>
      </c>
      <c r="U683" s="54" t="n">
        <f aca="true">RAND()</f>
        <v>0.92461760019711</v>
      </c>
    </row>
    <row r="684" customFormat="false" ht="15" hidden="false" customHeight="false" outlineLevel="0" collapsed="false">
      <c r="A684" s="50" t="n">
        <v>604</v>
      </c>
      <c r="B684" s="51" t="n">
        <f aca="false">1+IF($G$6=$E$6,$F$6,IF(P684&lt;($F$6-$E$6)/($G$6-$E$6),$E$6+SQRT(P684*($G$6-$E$6)*($F$6-$E$6)),$G$6-SQRT((1-P684)*($G$6-$E$6)*($G$6-$F$6))))</f>
        <v>0.994880066175055</v>
      </c>
      <c r="C684" s="51" t="n">
        <f aca="false">1+IF($G$7=$E$7,$F$7,IF(Q684&lt;($F$7-$E$7)/($G$7-$E$7),$E$7+SQRT(Q684*($G$7-$E$7)*($F$7-$E$7)),$G$7-SQRT((1-Q684)*($G$7-$E$7)*($G$7-$F$7))))</f>
        <v>0.881250417835933</v>
      </c>
      <c r="D684" s="51" t="n">
        <f aca="false">1+IF($G$8=$E$8,$F$8,IF(R684&lt;($F$8-$E$8)/($G$8-$E$8),$E$8+SQRT(R684*($G$8-$E$8)*($F$8-$E$8)),$G$8-SQRT((1-R684)*($G$8-$E$8)*($G$8-$F$8))))</f>
        <v>1.00005829245709</v>
      </c>
      <c r="E684" s="51" t="n">
        <f aca="false">1+IF($G$9=$E$9,$F$9,IF(S684&lt;($F$9-$E$9)/($G$9-$E$9),$E$9+SQRT(S684*($G$9-$E$9)*($F$9-$E$9)),$G$9-SQRT((1-S684)*($G$9-$E$9)*($G$9-$F$9))))</f>
        <v>0.97316544424821</v>
      </c>
      <c r="F684" s="51" t="n">
        <f aca="false">1+IF($G$10=$E$10,$F$10,IF(T684&lt;($F$10-$E$10)/($G$10-$E$10),$E$10+SQRT(T684*($G$10-$E$10)*($F$10-$E$10)),$G$10-SQRT((1-T684)*($G$10-$E$10)*($G$10-$F$10))))</f>
        <v>1.08188483873248</v>
      </c>
      <c r="G684" s="52" t="n">
        <f aca="false">IF($G$11=$E$11,$F$11,IF(U684&lt;($F$11-$E$11)/($G$11-$E$11),$E$11+SQRT(U684*($G$11-$E$11)*($F$11-$E$11)),$G$11-SQRT((1-U684)*($G$11-$E$11)*($G$11-$F$11))))</f>
        <v>0.100499842162486</v>
      </c>
      <c r="H684" s="53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-2163769677.46496</v>
      </c>
      <c r="I684" s="53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-25066808.5091482</v>
      </c>
      <c r="J684" s="53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241889115.519902</v>
      </c>
      <c r="K684" s="53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562939281.485576</v>
      </c>
      <c r="L684" s="53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682224671.157163</v>
      </c>
      <c r="M684" s="53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848875120.297632</v>
      </c>
      <c r="N684" s="53" t="n">
        <f aca="false">IF(COUNT('Business Case'!B11:G11)=0,"",H684+NPV(G684,I684:M684))</f>
        <v>-573440556.58174</v>
      </c>
      <c r="P684" s="54" t="n">
        <f aca="true">RAND()</f>
        <v>0.58406503233132</v>
      </c>
      <c r="Q684" s="54" t="n">
        <f aca="true">RAND()</f>
        <v>0.0943090056930516</v>
      </c>
      <c r="R684" s="54" t="n">
        <f aca="true">RAND()</f>
        <v>0.385511864915738</v>
      </c>
      <c r="S684" s="54" t="n">
        <f aca="true">RAND()</f>
        <v>0.0715517076289241</v>
      </c>
      <c r="T684" s="54" t="n">
        <f aca="true">RAND()</f>
        <v>0.720976173574955</v>
      </c>
      <c r="U684" s="54" t="n">
        <f aca="true">RAND()</f>
        <v>0.36623974052007</v>
      </c>
    </row>
    <row r="685" customFormat="false" ht="15" hidden="false" customHeight="false" outlineLevel="0" collapsed="false">
      <c r="A685" s="50" t="n">
        <v>605</v>
      </c>
      <c r="B685" s="51" t="n">
        <f aca="false">1+IF($G$6=$E$6,$F$6,IF(P685&lt;($F$6-$E$6)/($G$6-$E$6),$E$6+SQRT(P685*($G$6-$E$6)*($F$6-$E$6)),$G$6-SQRT((1-P685)*($G$6-$E$6)*($G$6-$F$6))))</f>
        <v>0.999809062677233</v>
      </c>
      <c r="C685" s="51" t="n">
        <f aca="false">1+IF($G$7=$E$7,$F$7,IF(Q685&lt;($F$7-$E$7)/($G$7-$E$7),$E$7+SQRT(Q685*($G$7-$E$7)*($F$7-$E$7)),$G$7-SQRT((1-Q685)*($G$7-$E$7)*($G$7-$F$7))))</f>
        <v>0.963072442878413</v>
      </c>
      <c r="D685" s="51" t="n">
        <f aca="false">1+IF($G$8=$E$8,$F$8,IF(R685&lt;($F$8-$E$8)/($G$8-$E$8),$E$8+SQRT(R685*($G$8-$E$8)*($F$8-$E$8)),$G$8-SQRT((1-R685)*($G$8-$E$8)*($G$8-$F$8))))</f>
        <v>1.01365510726727</v>
      </c>
      <c r="E685" s="51" t="n">
        <f aca="false">1+IF($G$9=$E$9,$F$9,IF(S685&lt;($F$9-$E$9)/($G$9-$E$9),$E$9+SQRT(S685*($G$9-$E$9)*($F$9-$E$9)),$G$9-SQRT((1-S685)*($G$9-$E$9)*($G$9-$F$9))))</f>
        <v>1.002544435948</v>
      </c>
      <c r="F685" s="51" t="n">
        <f aca="false">1+IF($G$10=$E$10,$F$10,IF(T685&lt;($F$10-$E$10)/($G$10-$E$10),$E$10+SQRT(T685*($G$10-$E$10)*($F$10-$E$10)),$G$10-SQRT((1-T685)*($G$10-$E$10)*($G$10-$F$10))))</f>
        <v>1.02969589258268</v>
      </c>
      <c r="G685" s="52" t="n">
        <f aca="false">IF($G$11=$E$11,$F$11,IF(U685&lt;($F$11-$E$11)/($G$11-$E$11),$E$11+SQRT(U685*($G$11-$E$11)*($F$11-$E$11)),$G$11-SQRT((1-U685)*($G$11-$E$11)*($G$11-$F$11))))</f>
        <v>0.100773474472211</v>
      </c>
      <c r="H685" s="53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-2059391785.16536</v>
      </c>
      <c r="I685" s="53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-6520727.0794152</v>
      </c>
      <c r="J685" s="53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282406096.655254</v>
      </c>
      <c r="K685" s="53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622817715.019057</v>
      </c>
      <c r="L685" s="53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752404084.773288</v>
      </c>
      <c r="M685" s="53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935429941.574663</v>
      </c>
      <c r="N685" s="53" t="n">
        <f aca="false">IF(COUNT('Business Case'!B11:G11)=0,"",H685+NPV(G685,I685:M685))</f>
        <v>-274053644.639251</v>
      </c>
      <c r="P685" s="54" t="n">
        <f aca="true">RAND()</f>
        <v>0.663488175564427</v>
      </c>
      <c r="Q685" s="54" t="n">
        <f aca="true">RAND()</f>
        <v>0.379894594661905</v>
      </c>
      <c r="R685" s="54" t="n">
        <f aca="true">RAND()</f>
        <v>0.576764923873354</v>
      </c>
      <c r="S685" s="54" t="n">
        <f aca="true">RAND()</f>
        <v>0.366827535687048</v>
      </c>
      <c r="T685" s="54" t="n">
        <f aca="true">RAND()</f>
        <v>0.419930219935806</v>
      </c>
      <c r="U685" s="54" t="n">
        <f aca="true">RAND()</f>
        <v>0.383901193548818</v>
      </c>
    </row>
    <row r="686" customFormat="false" ht="15" hidden="false" customHeight="false" outlineLevel="0" collapsed="false">
      <c r="A686" s="50" t="n">
        <v>606</v>
      </c>
      <c r="B686" s="51" t="n">
        <f aca="false">1+IF($G$6=$E$6,$F$6,IF(P686&lt;($F$6-$E$6)/($G$6-$E$6),$E$6+SQRT(P686*($G$6-$E$6)*($F$6-$E$6)),$G$6-SQRT((1-P686)*($G$6-$E$6)*($G$6-$F$6))))</f>
        <v>1.00866221821508</v>
      </c>
      <c r="C686" s="51" t="n">
        <f aca="false">1+IF($G$7=$E$7,$F$7,IF(Q686&lt;($F$7-$E$7)/($G$7-$E$7),$E$7+SQRT(Q686*($G$7-$E$7)*($F$7-$E$7)),$G$7-SQRT((1-Q686)*($G$7-$E$7)*($G$7-$F$7))))</f>
        <v>0.907083738567677</v>
      </c>
      <c r="D686" s="51" t="n">
        <f aca="false">1+IF($G$8=$E$8,$F$8,IF(R686&lt;($F$8-$E$8)/($G$8-$E$8),$E$8+SQRT(R686*($G$8-$E$8)*($F$8-$E$8)),$G$8-SQRT((1-R686)*($G$8-$E$8)*($G$8-$F$8))))</f>
        <v>1.05263800012592</v>
      </c>
      <c r="E686" s="51" t="n">
        <f aca="false">1+IF($G$9=$E$9,$F$9,IF(S686&lt;($F$9-$E$9)/($G$9-$E$9),$E$9+SQRT(S686*($G$9-$E$9)*($F$9-$E$9)),$G$9-SQRT((1-S686)*($G$9-$E$9)*($G$9-$F$9))))</f>
        <v>1.09381241903808</v>
      </c>
      <c r="F686" s="51" t="n">
        <f aca="false">1+IF($G$10=$E$10,$F$10,IF(T686&lt;($F$10-$E$10)/($G$10-$E$10),$E$10+SQRT(T686*($G$10-$E$10)*($F$10-$E$10)),$G$10-SQRT((1-T686)*($G$10-$E$10)*($G$10-$F$10))))</f>
        <v>1.16864607566365</v>
      </c>
      <c r="G686" s="52" t="n">
        <f aca="false">IF($G$11=$E$11,$F$11,IF(U686&lt;($F$11-$E$11)/($G$11-$E$11),$E$11+SQRT(U686*($G$11-$E$11)*($F$11-$E$11)),$G$11-SQRT((1-U686)*($G$11-$E$11)*($G$11-$F$11))))</f>
        <v>0.10479102575375</v>
      </c>
      <c r="H686" s="53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-2337292151.32731</v>
      </c>
      <c r="I686" s="53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-59229636.2434684</v>
      </c>
      <c r="J686" s="53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201376007.475534</v>
      </c>
      <c r="K686" s="53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520413954.977719</v>
      </c>
      <c r="L686" s="53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638902867.156647</v>
      </c>
      <c r="M686" s="53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812814870.65591</v>
      </c>
      <c r="N686" s="53" t="n">
        <f aca="false">IF(COUNT('Business Case'!B11:G11)=0,"",H686+NPV(G686,I686:M686))</f>
        <v>-917283561.613299</v>
      </c>
      <c r="P686" s="54" t="n">
        <f aca="true">RAND()</f>
        <v>0.795404881833517</v>
      </c>
      <c r="Q686" s="54" t="n">
        <f aca="true">RAND()</f>
        <v>0.163813243794723</v>
      </c>
      <c r="R686" s="54" t="n">
        <f aca="true">RAND()</f>
        <v>0.928011631047188</v>
      </c>
      <c r="S686" s="54" t="n">
        <f aca="true">RAND()</f>
        <v>0.997447589455982</v>
      </c>
      <c r="T686" s="54" t="n">
        <f aca="true">RAND()</f>
        <v>0.980338628574212</v>
      </c>
      <c r="U686" s="54" t="n">
        <f aca="true">RAND()</f>
        <v>0.614478503961482</v>
      </c>
    </row>
    <row r="687" customFormat="false" ht="15" hidden="false" customHeight="false" outlineLevel="0" collapsed="false">
      <c r="A687" s="50" t="n">
        <v>607</v>
      </c>
      <c r="B687" s="51" t="n">
        <f aca="false">1+IF($G$6=$E$6,$F$6,IF(P687&lt;($F$6-$E$6)/($G$6-$E$6),$E$6+SQRT(P687*($G$6-$E$6)*($F$6-$E$6)),$G$6-SQRT((1-P687)*($G$6-$E$6)*($G$6-$F$6))))</f>
        <v>0.969429432907987</v>
      </c>
      <c r="C687" s="51" t="n">
        <f aca="false">1+IF($G$7=$E$7,$F$7,IF(Q687&lt;($F$7-$E$7)/($G$7-$E$7),$E$7+SQRT(Q687*($G$7-$E$7)*($F$7-$E$7)),$G$7-SQRT((1-Q687)*($G$7-$E$7)*($G$7-$F$7))))</f>
        <v>0.928888086320219</v>
      </c>
      <c r="D687" s="51" t="n">
        <f aca="false">1+IF($G$8=$E$8,$F$8,IF(R687&lt;($F$8-$E$8)/($G$8-$E$8),$E$8+SQRT(R687*($G$8-$E$8)*($F$8-$E$8)),$G$8-SQRT((1-R687)*($G$8-$E$8)*($G$8-$F$8))))</f>
        <v>1.01059752361958</v>
      </c>
      <c r="E687" s="51" t="n">
        <f aca="false">1+IF($G$9=$E$9,$F$9,IF(S687&lt;($F$9-$E$9)/($G$9-$E$9),$E$9+SQRT(S687*($G$9-$E$9)*($F$9-$E$9)),$G$9-SQRT((1-S687)*($G$9-$E$9)*($G$9-$F$9))))</f>
        <v>1.05352517147036</v>
      </c>
      <c r="F687" s="51" t="n">
        <f aca="false">1+IF($G$10=$E$10,$F$10,IF(T687&lt;($F$10-$E$10)/($G$10-$E$10),$E$10+SQRT(T687*($G$10-$E$10)*($F$10-$E$10)),$G$10-SQRT((1-T687)*($G$10-$E$10)*($G$10-$F$10))))</f>
        <v>1.05857149210558</v>
      </c>
      <c r="G687" s="52" t="n">
        <f aca="false">IF($G$11=$E$11,$F$11,IF(U687&lt;($F$11-$E$11)/($G$11-$E$11),$E$11+SQRT(U687*($G$11-$E$11)*($F$11-$E$11)),$G$11-SQRT((1-U687)*($G$11-$E$11)*($G$11-$F$11))))</f>
        <v>0.0969703362358285</v>
      </c>
      <c r="H687" s="53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-2117142984.21116</v>
      </c>
      <c r="I687" s="53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-45338257.1614631</v>
      </c>
      <c r="J687" s="53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211673391.077928</v>
      </c>
      <c r="K687" s="53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521613613.922599</v>
      </c>
      <c r="L687" s="53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638405147.87387</v>
      </c>
      <c r="M687" s="53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809570562.833646</v>
      </c>
      <c r="N687" s="53" t="n">
        <f aca="false">IF(COUNT('Business Case'!B11:G11)=0,"",H687+NPV(G687,I687:M687))</f>
        <v>-636880935.065841</v>
      </c>
      <c r="P687" s="54" t="n">
        <f aca="true">RAND()</f>
        <v>0.254507170583875</v>
      </c>
      <c r="Q687" s="54" t="n">
        <f aca="true">RAND()</f>
        <v>0.237316268504116</v>
      </c>
      <c r="R687" s="54" t="n">
        <f aca="true">RAND()</f>
        <v>0.53685541079473</v>
      </c>
      <c r="S687" s="54" t="n">
        <f aca="true">RAND()</f>
        <v>0.856006020876024</v>
      </c>
      <c r="T687" s="54" t="n">
        <f aca="true">RAND()</f>
        <v>0.599959543095157</v>
      </c>
      <c r="U687" s="54" t="n">
        <f aca="true">RAND()</f>
        <v>0.161951957468347</v>
      </c>
    </row>
    <row r="688" customFormat="false" ht="15" hidden="false" customHeight="false" outlineLevel="0" collapsed="false">
      <c r="A688" s="50" t="n">
        <v>608</v>
      </c>
      <c r="B688" s="51" t="n">
        <f aca="false">1+IF($G$6=$E$6,$F$6,IF(P688&lt;($F$6-$E$6)/($G$6-$E$6),$E$6+SQRT(P688*($G$6-$E$6)*($F$6-$E$6)),$G$6-SQRT((1-P688)*($G$6-$E$6)*($G$6-$F$6))))</f>
        <v>1.00689211724737</v>
      </c>
      <c r="C688" s="51" t="n">
        <f aca="false">1+IF($G$7=$E$7,$F$7,IF(Q688&lt;($F$7-$E$7)/($G$7-$E$7),$E$7+SQRT(Q688*($G$7-$E$7)*($F$7-$E$7)),$G$7-SQRT((1-Q688)*($G$7-$E$7)*($G$7-$F$7))))</f>
        <v>0.989735432560564</v>
      </c>
      <c r="D688" s="51" t="n">
        <f aca="false">1+IF($G$8=$E$8,$F$8,IF(R688&lt;($F$8-$E$8)/($G$8-$E$8),$E$8+SQRT(R688*($G$8-$E$8)*($F$8-$E$8)),$G$8-SQRT((1-R688)*($G$8-$E$8)*($G$8-$F$8))))</f>
        <v>1.06778871858755</v>
      </c>
      <c r="E688" s="51" t="n">
        <f aca="false">1+IF($G$9=$E$9,$F$9,IF(S688&lt;($F$9-$E$9)/($G$9-$E$9),$E$9+SQRT(S688*($G$9-$E$9)*($F$9-$E$9)),$G$9-SQRT((1-S688)*($G$9-$E$9)*($G$9-$F$9))))</f>
        <v>1.03830873476263</v>
      </c>
      <c r="F688" s="51" t="n">
        <f aca="false">1+IF($G$10=$E$10,$F$10,IF(T688&lt;($F$10-$E$10)/($G$10-$E$10),$E$10+SQRT(T688*($G$10-$E$10)*($F$10-$E$10)),$G$10-SQRT((1-T688)*($G$10-$E$10)*($G$10-$F$10))))</f>
        <v>1.01652187418397</v>
      </c>
      <c r="G688" s="52" t="n">
        <f aca="false">IF($G$11=$E$11,$F$11,IF(U688&lt;($F$11-$E$11)/($G$11-$E$11),$E$11+SQRT(U688*($G$11-$E$11)*($F$11-$E$11)),$G$11-SQRT((1-U688)*($G$11-$E$11)*($G$11-$F$11))))</f>
        <v>0.100179591552629</v>
      </c>
      <c r="H688" s="53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-2033043748.36794</v>
      </c>
      <c r="I688" s="53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-25720977.0523246</v>
      </c>
      <c r="J688" s="53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249519240.178855</v>
      </c>
      <c r="K688" s="53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575585551.119233</v>
      </c>
      <c r="L688" s="53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701773293.3842</v>
      </c>
      <c r="M688" s="53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891198810.917691</v>
      </c>
      <c r="N688" s="53" t="n">
        <f aca="false">IF(COUNT('Business Case'!B11:G11)=0,"",H688+NPV(G688,I688:M688))</f>
        <v>-386120960.26419</v>
      </c>
      <c r="P688" s="54" t="n">
        <f aca="true">RAND()</f>
        <v>0.771639187424664</v>
      </c>
      <c r="Q688" s="54" t="n">
        <f aca="true">RAND()</f>
        <v>0.514279062413491</v>
      </c>
      <c r="R688" s="54" t="n">
        <f aca="true">RAND()</f>
        <v>0.985661981371736</v>
      </c>
      <c r="S688" s="54" t="n">
        <f aca="true">RAND()</f>
        <v>0.746279186227514</v>
      </c>
      <c r="T688" s="54" t="n">
        <f aca="true">RAND()</f>
        <v>0.326715546940732</v>
      </c>
      <c r="U688" s="54" t="n">
        <f aca="true">RAND()</f>
        <v>0.345252348298952</v>
      </c>
    </row>
    <row r="689" customFormat="false" ht="15" hidden="false" customHeight="false" outlineLevel="0" collapsed="false">
      <c r="A689" s="50" t="n">
        <v>609</v>
      </c>
      <c r="B689" s="51" t="n">
        <f aca="false">1+IF($G$6=$E$6,$F$6,IF(P689&lt;($F$6-$E$6)/($G$6-$E$6),$E$6+SQRT(P689*($G$6-$E$6)*($F$6-$E$6)),$G$6-SQRT((1-P689)*($G$6-$E$6)*($G$6-$F$6))))</f>
        <v>0.975929568209107</v>
      </c>
      <c r="C689" s="51" t="n">
        <f aca="false">1+IF($G$7=$E$7,$F$7,IF(Q689&lt;($F$7-$E$7)/($G$7-$E$7),$E$7+SQRT(Q689*($G$7-$E$7)*($F$7-$E$7)),$G$7-SQRT((1-Q689)*($G$7-$E$7)*($G$7-$F$7))))</f>
        <v>0.975505243609753</v>
      </c>
      <c r="D689" s="51" t="n">
        <f aca="false">1+IF($G$8=$E$8,$F$8,IF(R689&lt;($F$8-$E$8)/($G$8-$E$8),$E$8+SQRT(R689*($G$8-$E$8)*($F$8-$E$8)),$G$8-SQRT((1-R689)*($G$8-$E$8)*($G$8-$F$8))))</f>
        <v>0.99208300984834</v>
      </c>
      <c r="E689" s="51" t="n">
        <f aca="false">1+IF($G$9=$E$9,$F$9,IF(S689&lt;($F$9-$E$9)/($G$9-$E$9),$E$9+SQRT(S689*($G$9-$E$9)*($F$9-$E$9)),$G$9-SQRT((1-S689)*($G$9-$E$9)*($G$9-$F$9))))</f>
        <v>1.00642237300645</v>
      </c>
      <c r="F689" s="51" t="n">
        <f aca="false">1+IF($G$10=$E$10,$F$10,IF(T689&lt;($F$10-$E$10)/($G$10-$E$10),$E$10+SQRT(T689*($G$10-$E$10)*($F$10-$E$10)),$G$10-SQRT((1-T689)*($G$10-$E$10)*($G$10-$F$10))))</f>
        <v>1.1030274148027</v>
      </c>
      <c r="G689" s="52" t="n">
        <f aca="false">IF($G$11=$E$11,$F$11,IF(U689&lt;($F$11-$E$11)/($G$11-$E$11),$E$11+SQRT(U689*($G$11-$E$11)*($F$11-$E$11)),$G$11-SQRT((1-U689)*($G$11-$E$11)*($G$11-$F$11))))</f>
        <v>0.100619675882831</v>
      </c>
      <c r="H689" s="53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-2206054829.60541</v>
      </c>
      <c r="I689" s="53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-18419462.5477472</v>
      </c>
      <c r="J689" s="53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265930023.301958</v>
      </c>
      <c r="K689" s="53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605430879.891797</v>
      </c>
      <c r="L689" s="53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733116005.492142</v>
      </c>
      <c r="M689" s="53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914076805.569576</v>
      </c>
      <c r="N689" s="53" t="n">
        <f aca="false">IF(COUNT('Business Case'!B11:G11)=0,"",H689+NPV(G689,I689:M689))</f>
        <v>-483584434.508836</v>
      </c>
      <c r="P689" s="54" t="n">
        <f aca="true">RAND()</f>
        <v>0.325845479172618</v>
      </c>
      <c r="Q689" s="54" t="n">
        <f aca="true">RAND()</f>
        <v>0.440029864778841</v>
      </c>
      <c r="R689" s="54" t="n">
        <f aca="true">RAND()</f>
        <v>0.272458418137764</v>
      </c>
      <c r="S689" s="54" t="n">
        <f aca="true">RAND()</f>
        <v>0.416215181750447</v>
      </c>
      <c r="T689" s="54" t="n">
        <f aca="true">RAND()</f>
        <v>0.811926354403067</v>
      </c>
      <c r="U689" s="54" t="n">
        <f aca="true">RAND()</f>
        <v>0.37400506185577</v>
      </c>
    </row>
    <row r="690" customFormat="false" ht="15" hidden="false" customHeight="false" outlineLevel="0" collapsed="false">
      <c r="A690" s="50" t="n">
        <v>610</v>
      </c>
      <c r="B690" s="51" t="n">
        <f aca="false">1+IF($G$6=$E$6,$F$6,IF(P690&lt;($F$6-$E$6)/($G$6-$E$6),$E$6+SQRT(P690*($G$6-$E$6)*($F$6-$E$6)),$G$6-SQRT((1-P690)*($G$6-$E$6)*($G$6-$F$6))))</f>
        <v>0.960623706210118</v>
      </c>
      <c r="C690" s="51" t="n">
        <f aca="false">1+IF($G$7=$E$7,$F$7,IF(Q690&lt;($F$7-$E$7)/($G$7-$E$7),$E$7+SQRT(Q690*($G$7-$E$7)*($F$7-$E$7)),$G$7-SQRT((1-Q690)*($G$7-$E$7)*($G$7-$F$7))))</f>
        <v>1.00655008652376</v>
      </c>
      <c r="D690" s="51" t="n">
        <f aca="false">1+IF($G$8=$E$8,$F$8,IF(R690&lt;($F$8-$E$8)/($G$8-$E$8),$E$8+SQRT(R690*($G$8-$E$8)*($F$8-$E$8)),$G$8-SQRT((1-R690)*($G$8-$E$8)*($G$8-$F$8))))</f>
        <v>1.05445140127634</v>
      </c>
      <c r="E690" s="51" t="n">
        <f aca="false">1+IF($G$9=$E$9,$F$9,IF(S690&lt;($F$9-$E$9)/($G$9-$E$9),$E$9+SQRT(S690*($G$9-$E$9)*($F$9-$E$9)),$G$9-SQRT((1-S690)*($G$9-$E$9)*($G$9-$F$9))))</f>
        <v>0.957549673093254</v>
      </c>
      <c r="F690" s="51" t="n">
        <f aca="false">1+IF($G$10=$E$10,$F$10,IF(T690&lt;($F$10-$E$10)/($G$10-$E$10),$E$10+SQRT(T690*($G$10-$E$10)*($F$10-$E$10)),$G$10-SQRT((1-T690)*($G$10-$E$10)*($G$10-$F$10))))</f>
        <v>1.02712431199031</v>
      </c>
      <c r="G690" s="52" t="n">
        <f aca="false">IF($G$11=$E$11,$F$11,IF(U690&lt;($F$11-$E$11)/($G$11-$E$11),$E$11+SQRT(U690*($G$11-$E$11)*($F$11-$E$11)),$G$11-SQRT((1-U690)*($G$11-$E$11)*($G$11-$F$11))))</f>
        <v>0.104879411556755</v>
      </c>
      <c r="H690" s="53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-2054248623.98063</v>
      </c>
      <c r="I690" s="53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-40357658.1430545</v>
      </c>
      <c r="J690" s="53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208285597.366181</v>
      </c>
      <c r="K690" s="53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508285068.474932</v>
      </c>
      <c r="L690" s="53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624582766.270942</v>
      </c>
      <c r="M690" s="53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808374135.715399</v>
      </c>
      <c r="N690" s="53" t="n">
        <f aca="false">IF(COUNT('Business Case'!B11:G11)=0,"",H690+NPV(G690,I690:M690))</f>
        <v>-633247398.951994</v>
      </c>
      <c r="P690" s="54" t="n">
        <f aca="true">RAND()</f>
        <v>0.171904740233955</v>
      </c>
      <c r="Q690" s="54" t="n">
        <f aca="true">RAND()</f>
        <v>0.608040425212584</v>
      </c>
      <c r="R690" s="54" t="n">
        <f aca="true">RAND()</f>
        <v>0.937237413774742</v>
      </c>
      <c r="S690" s="54" t="n">
        <f aca="true">RAND()</f>
        <v>0.0075996751753337</v>
      </c>
      <c r="T690" s="54" t="n">
        <f aca="true">RAND()</f>
        <v>0.40227992990356</v>
      </c>
      <c r="U690" s="54" t="n">
        <f aca="true">RAND()</f>
        <v>0.61894634188333</v>
      </c>
    </row>
    <row r="691" customFormat="false" ht="15" hidden="false" customHeight="false" outlineLevel="0" collapsed="false">
      <c r="A691" s="50" t="n">
        <v>611</v>
      </c>
      <c r="B691" s="51" t="n">
        <f aca="false">1+IF($G$6=$E$6,$F$6,IF(P691&lt;($F$6-$E$6)/($G$6-$E$6),$E$6+SQRT(P691*($G$6-$E$6)*($F$6-$E$6)),$G$6-SQRT((1-P691)*($G$6-$E$6)*($G$6-$F$6))))</f>
        <v>0.985690150718331</v>
      </c>
      <c r="C691" s="51" t="n">
        <f aca="false">1+IF($G$7=$E$7,$F$7,IF(Q691&lt;($F$7-$E$7)/($G$7-$E$7),$E$7+SQRT(Q691*($G$7-$E$7)*($F$7-$E$7)),$G$7-SQRT((1-Q691)*($G$7-$E$7)*($G$7-$F$7))))</f>
        <v>1.0349656560369</v>
      </c>
      <c r="D691" s="51" t="n">
        <f aca="false">1+IF($G$8=$E$8,$F$8,IF(R691&lt;($F$8-$E$8)/($G$8-$E$8),$E$8+SQRT(R691*($G$8-$E$8)*($F$8-$E$8)),$G$8-SQRT((1-R691)*($G$8-$E$8)*($G$8-$F$8))))</f>
        <v>1.01689528366556</v>
      </c>
      <c r="E691" s="51" t="n">
        <f aca="false">1+IF($G$9=$E$9,$F$9,IF(S691&lt;($F$9-$E$9)/($G$9-$E$9),$E$9+SQRT(S691*($G$9-$E$9)*($F$9-$E$9)),$G$9-SQRT((1-S691)*($G$9-$E$9)*($G$9-$F$9))))</f>
        <v>1.01521225929669</v>
      </c>
      <c r="F691" s="51" t="n">
        <f aca="false">1+IF($G$10=$E$10,$F$10,IF(T691&lt;($F$10-$E$10)/($G$10-$E$10),$E$10+SQRT(T691*($G$10-$E$10)*($F$10-$E$10)),$G$10-SQRT((1-T691)*($G$10-$E$10)*($G$10-$F$10))))</f>
        <v>1.02781288028952</v>
      </c>
      <c r="G691" s="52" t="n">
        <f aca="false">IF($G$11=$E$11,$F$11,IF(U691&lt;($F$11-$E$11)/($G$11-$E$11),$E$11+SQRT(U691*($G$11-$E$11)*($F$11-$E$11)),$G$11-SQRT((1-U691)*($G$11-$E$11)*($G$11-$F$11))))</f>
        <v>0.107547065113362</v>
      </c>
      <c r="H691" s="53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-2055625760.57904</v>
      </c>
      <c r="I691" s="53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-3219633.79784891</v>
      </c>
      <c r="J691" s="53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293590062.414025</v>
      </c>
      <c r="K691" s="53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641790402.640374</v>
      </c>
      <c r="L691" s="53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775983540.516853</v>
      </c>
      <c r="M691" s="53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969894689.115721</v>
      </c>
      <c r="N691" s="53" t="n">
        <f aca="false">IF(COUNT('Business Case'!B11:G11)=0,"",H691+NPV(G691,I691:M691))</f>
        <v>-249100037.241275</v>
      </c>
      <c r="P691" s="54" t="n">
        <f aca="true">RAND()</f>
        <v>0.449499573062198</v>
      </c>
      <c r="Q691" s="54" t="n">
        <f aca="true">RAND()</f>
        <v>0.747944756361506</v>
      </c>
      <c r="R691" s="54" t="n">
        <f aca="true">RAND()</f>
        <v>0.617095651572068</v>
      </c>
      <c r="S691" s="54" t="n">
        <f aca="true">RAND()</f>
        <v>0.520735935095172</v>
      </c>
      <c r="T691" s="54" t="n">
        <f aca="true">RAND()</f>
        <v>0.407031916116162</v>
      </c>
      <c r="U691" s="54" t="n">
        <f aca="true">RAND()</f>
        <v>0.741540687848571</v>
      </c>
    </row>
    <row r="692" customFormat="false" ht="15" hidden="false" customHeight="false" outlineLevel="0" collapsed="false">
      <c r="A692" s="50" t="n">
        <v>612</v>
      </c>
      <c r="B692" s="51" t="n">
        <f aca="false">1+IF($G$6=$E$6,$F$6,IF(P692&lt;($F$6-$E$6)/($G$6-$E$6),$E$6+SQRT(P692*($G$6-$E$6)*($F$6-$E$6)),$G$6-SQRT((1-P692)*($G$6-$E$6)*($G$6-$F$6))))</f>
        <v>0.978789926255235</v>
      </c>
      <c r="C692" s="51" t="n">
        <f aca="false">1+IF($G$7=$E$7,$F$7,IF(Q692&lt;($F$7-$E$7)/($G$7-$E$7),$E$7+SQRT(Q692*($G$7-$E$7)*($F$7-$E$7)),$G$7-SQRT((1-Q692)*($G$7-$E$7)*($G$7-$F$7))))</f>
        <v>0.878094481156706</v>
      </c>
      <c r="D692" s="51" t="n">
        <f aca="false">1+IF($G$8=$E$8,$F$8,IF(R692&lt;($F$8-$E$8)/($G$8-$E$8),$E$8+SQRT(R692*($G$8-$E$8)*($F$8-$E$8)),$G$8-SQRT((1-R692)*($G$8-$E$8)*($G$8-$F$8))))</f>
        <v>1.01959644849827</v>
      </c>
      <c r="E692" s="51" t="n">
        <f aca="false">1+IF($G$9=$E$9,$F$9,IF(S692&lt;($F$9-$E$9)/($G$9-$E$9),$E$9+SQRT(S692*($G$9-$E$9)*($F$9-$E$9)),$G$9-SQRT((1-S692)*($G$9-$E$9)*($G$9-$F$9))))</f>
        <v>1.01449390856207</v>
      </c>
      <c r="F692" s="51" t="n">
        <f aca="false">1+IF($G$10=$E$10,$F$10,IF(T692&lt;($F$10-$E$10)/($G$10-$E$10),$E$10+SQRT(T692*($G$10-$E$10)*($F$10-$E$10)),$G$10-SQRT((1-T692)*($G$10-$E$10)*($G$10-$F$10))))</f>
        <v>1.01038442987525</v>
      </c>
      <c r="G692" s="52" t="n">
        <f aca="false">IF($G$11=$E$11,$F$11,IF(U692&lt;($F$11-$E$11)/($G$11-$E$11),$E$11+SQRT(U692*($G$11-$E$11)*($F$11-$E$11)),$G$11-SQRT((1-U692)*($G$11-$E$11)*($G$11-$F$11))))</f>
        <v>0.103309558579205</v>
      </c>
      <c r="H692" s="53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-2020768859.75051</v>
      </c>
      <c r="I692" s="53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-44209572.072085</v>
      </c>
      <c r="J692" s="53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201435259.123427</v>
      </c>
      <c r="K692" s="53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497599311.812702</v>
      </c>
      <c r="L692" s="53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609184206.532902</v>
      </c>
      <c r="M692" s="53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772552270.302234</v>
      </c>
      <c r="N692" s="53" t="n">
        <f aca="false">IF(COUNT('Business Case'!B11:G11)=0,"",H692+NPV(G692,I692:M692))</f>
        <v>-641207523.897435</v>
      </c>
      <c r="P692" s="54" t="n">
        <f aca="true">RAND()</f>
        <v>0.3600266071975</v>
      </c>
      <c r="Q692" s="54" t="n">
        <f aca="true">RAND()</f>
        <v>0.087124971244787</v>
      </c>
      <c r="R692" s="54" t="n">
        <f aca="true">RAND()</f>
        <v>0.649174131344025</v>
      </c>
      <c r="S692" s="54" t="n">
        <f aca="true">RAND()</f>
        <v>0.512580555133942</v>
      </c>
      <c r="T692" s="54" t="n">
        <f aca="true">RAND()</f>
        <v>0.28091871132534</v>
      </c>
      <c r="U692" s="54" t="n">
        <f aca="true">RAND()</f>
        <v>0.535715275298335</v>
      </c>
    </row>
    <row r="693" customFormat="false" ht="15" hidden="false" customHeight="false" outlineLevel="0" collapsed="false">
      <c r="A693" s="50" t="n">
        <v>613</v>
      </c>
      <c r="B693" s="51" t="n">
        <f aca="false">1+IF($G$6=$E$6,$F$6,IF(P693&lt;($F$6-$E$6)/($G$6-$E$6),$E$6+SQRT(P693*($G$6-$E$6)*($F$6-$E$6)),$G$6-SQRT((1-P693)*($G$6-$E$6)*($G$6-$F$6))))</f>
        <v>0.979355040546253</v>
      </c>
      <c r="C693" s="51" t="n">
        <f aca="false">1+IF($G$7=$E$7,$F$7,IF(Q693&lt;($F$7-$E$7)/($G$7-$E$7),$E$7+SQRT(Q693*($G$7-$E$7)*($F$7-$E$7)),$G$7-SQRT((1-Q693)*($G$7-$E$7)*($G$7-$F$7))))</f>
        <v>1.04847429055934</v>
      </c>
      <c r="D693" s="51" t="n">
        <f aca="false">1+IF($G$8=$E$8,$F$8,IF(R693&lt;($F$8-$E$8)/($G$8-$E$8),$E$8+SQRT(R693*($G$8-$E$8)*($F$8-$E$8)),$G$8-SQRT((1-R693)*($G$8-$E$8)*($G$8-$F$8))))</f>
        <v>1.02084916631294</v>
      </c>
      <c r="E693" s="51" t="n">
        <f aca="false">1+IF($G$9=$E$9,$F$9,IF(S693&lt;($F$9-$E$9)/($G$9-$E$9),$E$9+SQRT(S693*($G$9-$E$9)*($F$9-$E$9)),$G$9-SQRT((1-S693)*($G$9-$E$9)*($G$9-$F$9))))</f>
        <v>1.08925741628633</v>
      </c>
      <c r="F693" s="51" t="n">
        <f aca="false">1+IF($G$10=$E$10,$F$10,IF(T693&lt;($F$10-$E$10)/($G$10-$E$10),$E$10+SQRT(T693*($G$10-$E$10)*($F$10-$E$10)),$G$10-SQRT((1-T693)*($G$10-$E$10)*($G$10-$F$10))))</f>
        <v>1.01932477282025</v>
      </c>
      <c r="G693" s="52" t="n">
        <f aca="false">IF($G$11=$E$11,$F$11,IF(U693&lt;($F$11-$E$11)/($G$11-$E$11),$E$11+SQRT(U693*($G$11-$E$11)*($F$11-$E$11)),$G$11-SQRT((1-U693)*($G$11-$E$11)*($G$11-$F$11))))</f>
        <v>0.101176270162234</v>
      </c>
      <c r="H693" s="53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-2038649545.64049</v>
      </c>
      <c r="I693" s="53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-16934571.0030197</v>
      </c>
      <c r="J693" s="53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276186533.528693</v>
      </c>
      <c r="K693" s="53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620273876.701419</v>
      </c>
      <c r="L693" s="53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753468107.316518</v>
      </c>
      <c r="M693" s="53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948647684.05809</v>
      </c>
      <c r="N693" s="53" t="n">
        <f aca="false">IF(COUNT('Business Case'!B11:G11)=0,"",H693+NPV(G693,I693:M693))</f>
        <v>-263403324.073612</v>
      </c>
      <c r="P693" s="54" t="n">
        <f aca="true">RAND()</f>
        <v>0.366981337317436</v>
      </c>
      <c r="Q693" s="54" t="n">
        <f aca="true">RAND()</f>
        <v>0.803667244239438</v>
      </c>
      <c r="R693" s="54" t="n">
        <f aca="true">RAND()</f>
        <v>0.663574891742807</v>
      </c>
      <c r="S693" s="54" t="n">
        <f aca="true">RAND()</f>
        <v>0.992306459676981</v>
      </c>
      <c r="T693" s="54" t="n">
        <f aca="true">RAND()</f>
        <v>0.34712924567088</v>
      </c>
      <c r="U693" s="54" t="n">
        <f aca="true">RAND()</f>
        <v>0.409445324991314</v>
      </c>
    </row>
    <row r="694" customFormat="false" ht="15" hidden="false" customHeight="false" outlineLevel="0" collapsed="false">
      <c r="A694" s="50" t="n">
        <v>614</v>
      </c>
      <c r="B694" s="51" t="n">
        <f aca="false">1+IF($G$6=$E$6,$F$6,IF(P694&lt;($F$6-$E$6)/($G$6-$E$6),$E$6+SQRT(P694*($G$6-$E$6)*($F$6-$E$6)),$G$6-SQRT((1-P694)*($G$6-$E$6)*($G$6-$F$6))))</f>
        <v>1.00499763930728</v>
      </c>
      <c r="C694" s="51" t="n">
        <f aca="false">1+IF($G$7=$E$7,$F$7,IF(Q694&lt;($F$7-$E$7)/($G$7-$E$7),$E$7+SQRT(Q694*($G$7-$E$7)*($F$7-$E$7)),$G$7-SQRT((1-Q694)*($G$7-$E$7)*($G$7-$F$7))))</f>
        <v>0.975673108613682</v>
      </c>
      <c r="D694" s="51" t="n">
        <f aca="false">1+IF($G$8=$E$8,$F$8,IF(R694&lt;($F$8-$E$8)/($G$8-$E$8),$E$8+SQRT(R694*($G$8-$E$8)*($F$8-$E$8)),$G$8-SQRT((1-R694)*($G$8-$E$8)*($G$8-$F$8))))</f>
        <v>1.01280480165289</v>
      </c>
      <c r="E694" s="51" t="n">
        <f aca="false">1+IF($G$9=$E$9,$F$9,IF(S694&lt;($F$9-$E$9)/($G$9-$E$9),$E$9+SQRT(S694*($G$9-$E$9)*($F$9-$E$9)),$G$9-SQRT((1-S694)*($G$9-$E$9)*($G$9-$F$9))))</f>
        <v>0.985030056114418</v>
      </c>
      <c r="F694" s="51" t="n">
        <f aca="false">1+IF($G$10=$E$10,$F$10,IF(T694&lt;($F$10-$E$10)/($G$10-$E$10),$E$10+SQRT(T694*($G$10-$E$10)*($F$10-$E$10)),$G$10-SQRT((1-T694)*($G$10-$E$10)*($G$10-$F$10))))</f>
        <v>0.993843564759664</v>
      </c>
      <c r="G694" s="52" t="n">
        <f aca="false">IF($G$11=$E$11,$F$11,IF(U694&lt;($F$11-$E$11)/($G$11-$E$11),$E$11+SQRT(U694*($G$11-$E$11)*($F$11-$E$11)),$G$11-SQRT((1-U694)*($G$11-$E$11)*($G$11-$F$11))))</f>
        <v>0.103568067542134</v>
      </c>
      <c r="H694" s="53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-1987687129.51933</v>
      </c>
      <c r="I694" s="53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6990922.80463891</v>
      </c>
      <c r="J694" s="53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304269145.083774</v>
      </c>
      <c r="K694" s="53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651239545.600891</v>
      </c>
      <c r="L694" s="53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784220065.706642</v>
      </c>
      <c r="M694" s="53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970602852.109859</v>
      </c>
      <c r="N694" s="53" t="n">
        <f aca="false">IF(COUNT('Business Case'!B11:G11)=0,"",H694+NPV(G694,I694:M694))</f>
        <v>-125231107.504189</v>
      </c>
      <c r="P694" s="54" t="n">
        <f aca="true">RAND()</f>
        <v>0.744757238736772</v>
      </c>
      <c r="Q694" s="54" t="n">
        <f aca="true">RAND()</f>
        <v>0.440872015571352</v>
      </c>
      <c r="R694" s="54" t="n">
        <f aca="true">RAND()</f>
        <v>0.565846665297319</v>
      </c>
      <c r="S694" s="54" t="n">
        <f aca="true">RAND()</f>
        <v>0.163613977517236</v>
      </c>
      <c r="T694" s="54" t="n">
        <f aca="true">RAND()</f>
        <v>0.153780653666791</v>
      </c>
      <c r="U694" s="54" t="n">
        <f aca="true">RAND()</f>
        <v>0.549985992833562</v>
      </c>
    </row>
    <row r="695" customFormat="false" ht="15" hidden="false" customHeight="false" outlineLevel="0" collapsed="false">
      <c r="A695" s="50" t="n">
        <v>615</v>
      </c>
      <c r="B695" s="51" t="n">
        <f aca="false">1+IF($G$6=$E$6,$F$6,IF(P695&lt;($F$6-$E$6)/($G$6-$E$6),$E$6+SQRT(P695*($G$6-$E$6)*($F$6-$E$6)),$G$6-SQRT((1-P695)*($G$6-$E$6)*($G$6-$F$6))))</f>
        <v>0.96162899975926</v>
      </c>
      <c r="C695" s="51" t="n">
        <f aca="false">1+IF($G$7=$E$7,$F$7,IF(Q695&lt;($F$7-$E$7)/($G$7-$E$7),$E$7+SQRT(Q695*($G$7-$E$7)*($F$7-$E$7)),$G$7-SQRT((1-Q695)*($G$7-$E$7)*($G$7-$F$7))))</f>
        <v>0.897253976295049</v>
      </c>
      <c r="D695" s="51" t="n">
        <f aca="false">1+IF($G$8=$E$8,$F$8,IF(R695&lt;($F$8-$E$8)/($G$8-$E$8),$E$8+SQRT(R695*($G$8-$E$8)*($F$8-$E$8)),$G$8-SQRT((1-R695)*($G$8-$E$8)*($G$8-$F$8))))</f>
        <v>1.0151146977996</v>
      </c>
      <c r="E695" s="51" t="n">
        <f aca="false">1+IF($G$9=$E$9,$F$9,IF(S695&lt;($F$9-$E$9)/($G$9-$E$9),$E$9+SQRT(S695*($G$9-$E$9)*($F$9-$E$9)),$G$9-SQRT((1-S695)*($G$9-$E$9)*($G$9-$F$9))))</f>
        <v>1.01379495829203</v>
      </c>
      <c r="F695" s="51" t="n">
        <f aca="false">1+IF($G$10=$E$10,$F$10,IF(T695&lt;($F$10-$E$10)/($G$10-$E$10),$E$10+SQRT(T695*($G$10-$E$10)*($F$10-$E$10)),$G$10-SQRT((1-T695)*($G$10-$E$10)*($G$10-$F$10))))</f>
        <v>1.03339338874416</v>
      </c>
      <c r="G695" s="52" t="n">
        <f aca="false">IF($G$11=$E$11,$F$11,IF(U695&lt;($F$11-$E$11)/($G$11-$E$11),$E$11+SQRT(U695*($G$11-$E$11)*($F$11-$E$11)),$G$11-SQRT((1-U695)*($G$11-$E$11)*($G$11-$F$11))))</f>
        <v>0.110486772199936</v>
      </c>
      <c r="H695" s="53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-2066786777.48832</v>
      </c>
      <c r="I695" s="53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-51778463.7109475</v>
      </c>
      <c r="J695" s="53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188672925.525888</v>
      </c>
      <c r="K695" s="53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480793984.19993</v>
      </c>
      <c r="L695" s="53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590763694.615035</v>
      </c>
      <c r="M695" s="53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754769554.963915</v>
      </c>
      <c r="N695" s="53" t="n">
        <f aca="false">IF(COUNT('Business Case'!B11:G11)=0,"",H695+NPV(G695,I695:M695))</f>
        <v>-773915702.565586</v>
      </c>
      <c r="P695" s="54" t="n">
        <f aca="true">RAND()</f>
        <v>0.180518085516301</v>
      </c>
      <c r="Q695" s="54" t="n">
        <f aca="true">RAND()</f>
        <v>0.13511908435997</v>
      </c>
      <c r="R695" s="54" t="n">
        <f aca="true">RAND()</f>
        <v>0.595182457534895</v>
      </c>
      <c r="S695" s="54" t="n">
        <f aca="true">RAND()</f>
        <v>0.504579385608487</v>
      </c>
      <c r="T695" s="54" t="n">
        <f aca="true">RAND()</f>
        <v>0.444844741716893</v>
      </c>
      <c r="U695" s="54" t="n">
        <f aca="true">RAND()</f>
        <v>0.849164161373477</v>
      </c>
    </row>
    <row r="696" customFormat="false" ht="15" hidden="false" customHeight="false" outlineLevel="0" collapsed="false">
      <c r="A696" s="50" t="n">
        <v>616</v>
      </c>
      <c r="B696" s="51" t="n">
        <f aca="false">1+IF($G$6=$E$6,$F$6,IF(P696&lt;($F$6-$E$6)/($G$6-$E$6),$E$6+SQRT(P696*($G$6-$E$6)*($F$6-$E$6)),$G$6-SQRT((1-P696)*($G$6-$E$6)*($G$6-$F$6))))</f>
        <v>0.972652555018121</v>
      </c>
      <c r="C696" s="51" t="n">
        <f aca="false">1+IF($G$7=$E$7,$F$7,IF(Q696&lt;($F$7-$E$7)/($G$7-$E$7),$E$7+SQRT(Q696*($G$7-$E$7)*($F$7-$E$7)),$G$7-SQRT((1-Q696)*($G$7-$E$7)*($G$7-$F$7))))</f>
        <v>0.997877871942401</v>
      </c>
      <c r="D696" s="51" t="n">
        <f aca="false">1+IF($G$8=$E$8,$F$8,IF(R696&lt;($F$8-$E$8)/($G$8-$E$8),$E$8+SQRT(R696*($G$8-$E$8)*($F$8-$E$8)),$G$8-SQRT((1-R696)*($G$8-$E$8)*($G$8-$F$8))))</f>
        <v>0.959958814120503</v>
      </c>
      <c r="E696" s="51" t="n">
        <f aca="false">1+IF($G$9=$E$9,$F$9,IF(S696&lt;($F$9-$E$9)/($G$9-$E$9),$E$9+SQRT(S696*($G$9-$E$9)*($F$9-$E$9)),$G$9-SQRT((1-S696)*($G$9-$E$9)*($G$9-$F$9))))</f>
        <v>1.03820325729813</v>
      </c>
      <c r="F696" s="51" t="n">
        <f aca="false">1+IF($G$10=$E$10,$F$10,IF(T696&lt;($F$10-$E$10)/($G$10-$E$10),$E$10+SQRT(T696*($G$10-$E$10)*($F$10-$E$10)),$G$10-SQRT((1-T696)*($G$10-$E$10)*($G$10-$F$10))))</f>
        <v>1.04500160327678</v>
      </c>
      <c r="G696" s="52" t="n">
        <f aca="false">IF($G$11=$E$11,$F$11,IF(U696&lt;($F$11-$E$11)/($G$11-$E$11),$E$11+SQRT(U696*($G$11-$E$11)*($F$11-$E$11)),$G$11-SQRT((1-U696)*($G$11-$E$11)*($G$11-$F$11))))</f>
        <v>0.105612524844757</v>
      </c>
      <c r="H696" s="53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-2090003206.55355</v>
      </c>
      <c r="I696" s="53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2154607.69904652</v>
      </c>
      <c r="J696" s="53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306757184.770209</v>
      </c>
      <c r="K696" s="53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663609842.005212</v>
      </c>
      <c r="L696" s="53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798687571.600029</v>
      </c>
      <c r="M696" s="53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983177026.407724</v>
      </c>
      <c r="N696" s="53" t="n">
        <f aca="false">IF(COUNT('Business Case'!B11:G11)=0,"",H696+NPV(G696,I696:M696))</f>
        <v>-216419589.064142</v>
      </c>
      <c r="P696" s="54" t="n">
        <f aca="true">RAND()</f>
        <v>0.288780369785028</v>
      </c>
      <c r="Q696" s="54" t="n">
        <f aca="true">RAND()</f>
        <v>0.559366460063617</v>
      </c>
      <c r="R696" s="54" t="n">
        <f aca="true">RAND()</f>
        <v>0.0152581505671891</v>
      </c>
      <c r="S696" s="54" t="n">
        <f aca="true">RAND()</f>
        <v>0.745410839429292</v>
      </c>
      <c r="T696" s="54" t="n">
        <f aca="true">RAND()</f>
        <v>0.519509940264598</v>
      </c>
      <c r="U696" s="54" t="n">
        <f aca="true">RAND()</f>
        <v>0.655000931095419</v>
      </c>
    </row>
    <row r="697" customFormat="false" ht="15" hidden="false" customHeight="false" outlineLevel="0" collapsed="false">
      <c r="A697" s="50" t="n">
        <v>617</v>
      </c>
      <c r="B697" s="51" t="n">
        <f aca="false">1+IF($G$6=$E$6,$F$6,IF(P697&lt;($F$6-$E$6)/($G$6-$E$6),$E$6+SQRT(P697*($G$6-$E$6)*($F$6-$E$6)),$G$6-SQRT((1-P697)*($G$6-$E$6)*($G$6-$F$6))))</f>
        <v>1.004274667515</v>
      </c>
      <c r="C697" s="51" t="n">
        <f aca="false">1+IF($G$7=$E$7,$F$7,IF(Q697&lt;($F$7-$E$7)/($G$7-$E$7),$E$7+SQRT(Q697*($G$7-$E$7)*($F$7-$E$7)),$G$7-SQRT((1-Q697)*($G$7-$E$7)*($G$7-$F$7))))</f>
        <v>1.06453955903682</v>
      </c>
      <c r="D697" s="51" t="n">
        <f aca="false">1+IF($G$8=$E$8,$F$8,IF(R697&lt;($F$8-$E$8)/($G$8-$E$8),$E$8+SQRT(R697*($G$8-$E$8)*($F$8-$E$8)),$G$8-SQRT((1-R697)*($G$8-$E$8)*($G$8-$F$8))))</f>
        <v>1.02594535376318</v>
      </c>
      <c r="E697" s="51" t="n">
        <f aca="false">1+IF($G$9=$E$9,$F$9,IF(S697&lt;($F$9-$E$9)/($G$9-$E$9),$E$9+SQRT(S697*($G$9-$E$9)*($F$9-$E$9)),$G$9-SQRT((1-S697)*($G$9-$E$9)*($G$9-$F$9))))</f>
        <v>0.986531526257146</v>
      </c>
      <c r="F697" s="51" t="n">
        <f aca="false">1+IF($G$10=$E$10,$F$10,IF(T697&lt;($F$10-$E$10)/($G$10-$E$10),$E$10+SQRT(T697*($G$10-$E$10)*($F$10-$E$10)),$G$10-SQRT((1-T697)*($G$10-$E$10)*($G$10-$F$10))))</f>
        <v>0.988731798268353</v>
      </c>
      <c r="G697" s="52" t="n">
        <f aca="false">IF($G$11=$E$11,$F$11,IF(U697&lt;($F$11-$E$11)/($G$11-$E$11),$E$11+SQRT(U697*($G$11-$E$11)*($F$11-$E$11)),$G$11-SQRT((1-U697)*($G$11-$E$11)*($G$11-$F$11))))</f>
        <v>0.108511147828663</v>
      </c>
      <c r="H697" s="53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-1977463596.53671</v>
      </c>
      <c r="I697" s="53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21983934.2593587</v>
      </c>
      <c r="J697" s="53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338547462.770276</v>
      </c>
      <c r="K697" s="53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704547581.19461</v>
      </c>
      <c r="L697" s="53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847016511.625553</v>
      </c>
      <c r="M697" s="53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1050229160.05906</v>
      </c>
      <c r="N697" s="53" t="n">
        <f aca="false">IF(COUNT('Business Case'!B11:G11)=0,"",H697+NPV(G697,I697:M697))</f>
        <v>23533637.0113461</v>
      </c>
      <c r="P697" s="54" t="n">
        <f aca="true">RAND()</f>
        <v>0.734104295590817</v>
      </c>
      <c r="Q697" s="54" t="n">
        <f aca="true">RAND()</f>
        <v>0.86088596248342</v>
      </c>
      <c r="R697" s="54" t="n">
        <f aca="true">RAND()</f>
        <v>0.71904761732806</v>
      </c>
      <c r="S697" s="54" t="n">
        <f aca="true">RAND()</f>
        <v>0.177940321423538</v>
      </c>
      <c r="T697" s="54" t="n">
        <f aca="true">RAND()</f>
        <v>0.120012175768033</v>
      </c>
      <c r="U697" s="54" t="n">
        <f aca="true">RAND()</f>
        <v>0.780010459641956</v>
      </c>
    </row>
    <row r="698" customFormat="false" ht="15" hidden="false" customHeight="false" outlineLevel="0" collapsed="false">
      <c r="A698" s="50" t="n">
        <v>618</v>
      </c>
      <c r="B698" s="51" t="n">
        <f aca="false">1+IF($G$6=$E$6,$F$6,IF(P698&lt;($F$6-$E$6)/($G$6-$E$6),$E$6+SQRT(P698*($G$6-$E$6)*($F$6-$E$6)),$G$6-SQRT((1-P698)*($G$6-$E$6)*($G$6-$F$6))))</f>
        <v>0.985946885079389</v>
      </c>
      <c r="C698" s="51" t="n">
        <f aca="false">1+IF($G$7=$E$7,$F$7,IF(Q698&lt;($F$7-$E$7)/($G$7-$E$7),$E$7+SQRT(Q698*($G$7-$E$7)*($F$7-$E$7)),$G$7-SQRT((1-Q698)*($G$7-$E$7)*($G$7-$F$7))))</f>
        <v>0.972477913773183</v>
      </c>
      <c r="D698" s="51" t="n">
        <f aca="false">1+IF($G$8=$E$8,$F$8,IF(R698&lt;($F$8-$E$8)/($G$8-$E$8),$E$8+SQRT(R698*($G$8-$E$8)*($F$8-$E$8)),$G$8-SQRT((1-R698)*($G$8-$E$8)*($G$8-$F$8))))</f>
        <v>1.00455927738513</v>
      </c>
      <c r="E698" s="51" t="n">
        <f aca="false">1+IF($G$9=$E$9,$F$9,IF(S698&lt;($F$9-$E$9)/($G$9-$E$9),$E$9+SQRT(S698*($G$9-$E$9)*($F$9-$E$9)),$G$9-SQRT((1-S698)*($G$9-$E$9)*($G$9-$F$9))))</f>
        <v>1.03207550494298</v>
      </c>
      <c r="F698" s="51" t="n">
        <f aca="false">1+IF($G$10=$E$10,$F$10,IF(T698&lt;($F$10-$E$10)/($G$10-$E$10),$E$10+SQRT(T698*($G$10-$E$10)*($F$10-$E$10)),$G$10-SQRT((1-T698)*($G$10-$E$10)*($G$10-$F$10))))</f>
        <v>0.959769233569757</v>
      </c>
      <c r="G698" s="52" t="n">
        <f aca="false">IF($G$11=$E$11,$F$11,IF(U698&lt;($F$11-$E$11)/($G$11-$E$11),$E$11+SQRT(U698*($G$11-$E$11)*($F$11-$E$11)),$G$11-SQRT((1-U698)*($G$11-$E$11)*($G$11-$F$11))))</f>
        <v>0.0979373064487379</v>
      </c>
      <c r="H698" s="53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-1919538467.13951</v>
      </c>
      <c r="I698" s="53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-7207784.52125214</v>
      </c>
      <c r="J698" s="53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278027282.900625</v>
      </c>
      <c r="K698" s="53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611250812.00099</v>
      </c>
      <c r="L698" s="53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739465695.66379</v>
      </c>
      <c r="M698" s="53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921716598.869084</v>
      </c>
      <c r="N698" s="53" t="n">
        <f aca="false">IF(COUNT('Business Case'!B11:G11)=0,"",H698+NPV(G698,I698:M698))</f>
        <v>-147048609.553347</v>
      </c>
      <c r="P698" s="54" t="n">
        <f aca="true">RAND()</f>
        <v>0.45301996371606</v>
      </c>
      <c r="Q698" s="54" t="n">
        <f aca="true">RAND()</f>
        <v>0.42498043913642</v>
      </c>
      <c r="R698" s="54" t="n">
        <f aca="true">RAND()</f>
        <v>0.452759362629461</v>
      </c>
      <c r="S698" s="54" t="n">
        <f aca="true">RAND()</f>
        <v>0.692417531416572</v>
      </c>
      <c r="T698" s="54" t="n">
        <f aca="true">RAND()</f>
        <v>0.00763503396323714</v>
      </c>
      <c r="U698" s="54" t="n">
        <f aca="true">RAND()</f>
        <v>0.210002778870588</v>
      </c>
    </row>
    <row r="699" customFormat="false" ht="15" hidden="false" customHeight="false" outlineLevel="0" collapsed="false">
      <c r="A699" s="50" t="n">
        <v>619</v>
      </c>
      <c r="B699" s="51" t="n">
        <f aca="false">1+IF($G$6=$E$6,$F$6,IF(P699&lt;($F$6-$E$6)/($G$6-$E$6),$E$6+SQRT(P699*($G$6-$E$6)*($F$6-$E$6)),$G$6-SQRT((1-P699)*($G$6-$E$6)*($G$6-$F$6))))</f>
        <v>1.02468566743912</v>
      </c>
      <c r="C699" s="51" t="n">
        <f aca="false">1+IF($G$7=$E$7,$F$7,IF(Q699&lt;($F$7-$E$7)/($G$7-$E$7),$E$7+SQRT(Q699*($G$7-$E$7)*($F$7-$E$7)),$G$7-SQRT((1-Q699)*($G$7-$E$7)*($G$7-$F$7))))</f>
        <v>0.864664745178547</v>
      </c>
      <c r="D699" s="51" t="n">
        <f aca="false">1+IF($G$8=$E$8,$F$8,IF(R699&lt;($F$8-$E$8)/($G$8-$E$8),$E$8+SQRT(R699*($G$8-$E$8)*($F$8-$E$8)),$G$8-SQRT((1-R699)*($G$8-$E$8)*($G$8-$F$8))))</f>
        <v>1.00915426022485</v>
      </c>
      <c r="E699" s="51" t="n">
        <f aca="false">1+IF($G$9=$E$9,$F$9,IF(S699&lt;($F$9-$E$9)/($G$9-$E$9),$E$9+SQRT(S699*($G$9-$E$9)*($F$9-$E$9)),$G$9-SQRT((1-S699)*($G$9-$E$9)*($G$9-$F$9))))</f>
        <v>0.986027386407633</v>
      </c>
      <c r="F699" s="51" t="n">
        <f aca="false">1+IF($G$10=$E$10,$F$10,IF(T699&lt;($F$10-$E$10)/($G$10-$E$10),$E$10+SQRT(T699*($G$10-$E$10)*($F$10-$E$10)),$G$10-SQRT((1-T699)*($G$10-$E$10)*($G$10-$F$10))))</f>
        <v>1.08136659186716</v>
      </c>
      <c r="G699" s="52" t="n">
        <f aca="false">IF($G$11=$E$11,$F$11,IF(U699&lt;($F$11-$E$11)/($G$11-$E$11),$E$11+SQRT(U699*($G$11-$E$11)*($F$11-$E$11)),$G$11-SQRT((1-U699)*($G$11-$E$11)*($G$11-$F$11))))</f>
        <v>0.0909561014553813</v>
      </c>
      <c r="H699" s="53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-2162733183.73432</v>
      </c>
      <c r="I699" s="53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-15266068.511948</v>
      </c>
      <c r="J699" s="53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263748352.697808</v>
      </c>
      <c r="K699" s="53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596831103.500922</v>
      </c>
      <c r="L699" s="53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720456401.362723</v>
      </c>
      <c r="M699" s="53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888869100.718072</v>
      </c>
      <c r="N699" s="53" t="n">
        <f aca="false">IF(COUNT('Business Case'!B11:G11)=0,"",H699+NPV(G699,I699:M699))</f>
        <v>-411691676.678795</v>
      </c>
      <c r="P699" s="54" t="n">
        <f aca="true">RAND()</f>
        <v>0.951139837128068</v>
      </c>
      <c r="Q699" s="54" t="n">
        <f aca="true">RAND()</f>
        <v>0.059736132414377</v>
      </c>
      <c r="R699" s="54" t="n">
        <f aca="true">RAND()</f>
        <v>0.517392418818455</v>
      </c>
      <c r="S699" s="54" t="n">
        <f aca="true">RAND()</f>
        <v>0.173063009515323</v>
      </c>
      <c r="T699" s="54" t="n">
        <f aca="true">RAND()</f>
        <v>0.718522289495741</v>
      </c>
      <c r="U699" s="54" t="n">
        <f aca="true">RAND()</f>
        <v>0.00304709997660744</v>
      </c>
    </row>
    <row r="700" customFormat="false" ht="15" hidden="false" customHeight="false" outlineLevel="0" collapsed="false">
      <c r="A700" s="50" t="n">
        <v>620</v>
      </c>
      <c r="B700" s="51" t="n">
        <f aca="false">1+IF($G$6=$E$6,$F$6,IF(P700&lt;($F$6-$E$6)/($G$6-$E$6),$E$6+SQRT(P700*($G$6-$E$6)*($F$6-$E$6)),$G$6-SQRT((1-P700)*($G$6-$E$6)*($G$6-$F$6))))</f>
        <v>0.985109996189398</v>
      </c>
      <c r="C700" s="51" t="n">
        <f aca="false">1+IF($G$7=$E$7,$F$7,IF(Q700&lt;($F$7-$E$7)/($G$7-$E$7),$E$7+SQRT(Q700*($G$7-$E$7)*($F$7-$E$7)),$G$7-SQRT((1-Q700)*($G$7-$E$7)*($G$7-$F$7))))</f>
        <v>1.00648470942388</v>
      </c>
      <c r="D700" s="51" t="n">
        <f aca="false">1+IF($G$8=$E$8,$F$8,IF(R700&lt;($F$8-$E$8)/($G$8-$E$8),$E$8+SQRT(R700*($G$8-$E$8)*($F$8-$E$8)),$G$8-SQRT((1-R700)*($G$8-$E$8)*($G$8-$F$8))))</f>
        <v>0.996823708638999</v>
      </c>
      <c r="E700" s="51" t="n">
        <f aca="false">1+IF($G$9=$E$9,$F$9,IF(S700&lt;($F$9-$E$9)/($G$9-$E$9),$E$9+SQRT(S700*($G$9-$E$9)*($F$9-$E$9)),$G$9-SQRT((1-S700)*($G$9-$E$9)*($G$9-$F$9))))</f>
        <v>1.05972949603488</v>
      </c>
      <c r="F700" s="51" t="n">
        <f aca="false">1+IF($G$10=$E$10,$F$10,IF(T700&lt;($F$10-$E$10)/($G$10-$E$10),$E$10+SQRT(T700*($G$10-$E$10)*($F$10-$E$10)),$G$10-SQRT((1-T700)*($G$10-$E$10)*($G$10-$F$10))))</f>
        <v>0.985781318039591</v>
      </c>
      <c r="G700" s="52" t="n">
        <f aca="false">IF($G$11=$E$11,$F$11,IF(U700&lt;($F$11-$E$11)/($G$11-$E$11),$E$11+SQRT(U700*($G$11-$E$11)*($F$11-$E$11)),$G$11-SQRT((1-U700)*($G$11-$E$11)*($G$11-$F$11))))</f>
        <v>0.113216591565313</v>
      </c>
      <c r="H700" s="53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-1971562636.07918</v>
      </c>
      <c r="I700" s="53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-2165660.04163209</v>
      </c>
      <c r="J700" s="53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296339610.062925</v>
      </c>
      <c r="K700" s="53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644133946.069461</v>
      </c>
      <c r="L700" s="53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777901878.775027</v>
      </c>
      <c r="M700" s="53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966365846.797286</v>
      </c>
      <c r="N700" s="53" t="n">
        <f aca="false">IF(COUNT('Business Case'!B11:G11)=0,"",H700+NPV(G700,I700:M700))</f>
        <v>-195681205.309292</v>
      </c>
      <c r="P700" s="54" t="n">
        <f aca="true">RAND()</f>
        <v>0.44159495872744</v>
      </c>
      <c r="Q700" s="54" t="n">
        <f aca="true">RAND()</f>
        <v>0.607683073730536</v>
      </c>
      <c r="R700" s="54" t="n">
        <f aca="true">RAND()</f>
        <v>0.337301490878439</v>
      </c>
      <c r="S700" s="54" t="n">
        <f aca="true">RAND()</f>
        <v>0.891885767359657</v>
      </c>
      <c r="T700" s="54" t="n">
        <f aca="true">RAND()</f>
        <v>0.102424217652025</v>
      </c>
      <c r="U700" s="54" t="n">
        <f aca="true">RAND()</f>
        <v>0.923308950013706</v>
      </c>
    </row>
    <row r="701" customFormat="false" ht="15" hidden="false" customHeight="false" outlineLevel="0" collapsed="false">
      <c r="A701" s="50" t="n">
        <v>621</v>
      </c>
      <c r="B701" s="51" t="n">
        <f aca="false">1+IF($G$6=$E$6,$F$6,IF(P701&lt;($F$6-$E$6)/($G$6-$E$6),$E$6+SQRT(P701*($G$6-$E$6)*($F$6-$E$6)),$G$6-SQRT((1-P701)*($G$6-$E$6)*($G$6-$F$6))))</f>
        <v>1.03052704653081</v>
      </c>
      <c r="C701" s="51" t="n">
        <f aca="false">1+IF($G$7=$E$7,$F$7,IF(Q701&lt;($F$7-$E$7)/($G$7-$E$7),$E$7+SQRT(Q701*($G$7-$E$7)*($F$7-$E$7)),$G$7-SQRT((1-Q701)*($G$7-$E$7)*($G$7-$F$7))))</f>
        <v>1.01687653816715</v>
      </c>
      <c r="D701" s="51" t="n">
        <f aca="false">1+IF($G$8=$E$8,$F$8,IF(R701&lt;($F$8-$E$8)/($G$8-$E$8),$E$8+SQRT(R701*($G$8-$E$8)*($F$8-$E$8)),$G$8-SQRT((1-R701)*($G$8-$E$8)*($G$8-$F$8))))</f>
        <v>0.993198331991233</v>
      </c>
      <c r="E701" s="51" t="n">
        <f aca="false">1+IF($G$9=$E$9,$F$9,IF(S701&lt;($F$9-$E$9)/($G$9-$E$9),$E$9+SQRT(S701*($G$9-$E$9)*($F$9-$E$9)),$G$9-SQRT((1-S701)*($G$9-$E$9)*($G$9-$F$9))))</f>
        <v>1.05382662253039</v>
      </c>
      <c r="F701" s="51" t="n">
        <f aca="false">1+IF($G$10=$E$10,$F$10,IF(T701&lt;($F$10-$E$10)/($G$10-$E$10),$E$10+SQRT(T701*($G$10-$E$10)*($F$10-$E$10)),$G$10-SQRT((1-T701)*($G$10-$E$10)*($G$10-$F$10))))</f>
        <v>1.04492597317606</v>
      </c>
      <c r="G701" s="52" t="n">
        <f aca="false">IF($G$11=$E$11,$F$11,IF(U701&lt;($F$11-$E$11)/($G$11-$E$11),$E$11+SQRT(U701*($G$11-$E$11)*($F$11-$E$11)),$G$11-SQRT((1-U701)*($G$11-$E$11)*($G$11-$F$11))))</f>
        <v>0.11260296904169</v>
      </c>
      <c r="H701" s="53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-2089851946.35212</v>
      </c>
      <c r="I701" s="53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32631310.0256111</v>
      </c>
      <c r="J701" s="53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373933472.41788</v>
      </c>
      <c r="K701" s="53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767481933.468953</v>
      </c>
      <c r="L701" s="53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917465393.81653</v>
      </c>
      <c r="M701" s="53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1116653794.67571</v>
      </c>
      <c r="N701" s="53" t="n">
        <f aca="false">IF(COUNT('Business Case'!B11:G11)=0,"",H701+NPV(G701,I701:M701))</f>
        <v>52489016.0967155</v>
      </c>
      <c r="P701" s="54" t="n">
        <f aca="true">RAND()</f>
        <v>0.981304823452195</v>
      </c>
      <c r="Q701" s="54" t="n">
        <f aca="true">RAND()</f>
        <v>0.66244083637403</v>
      </c>
      <c r="R701" s="54" t="n">
        <f aca="true">RAND()</f>
        <v>0.287091674896125</v>
      </c>
      <c r="S701" s="54" t="n">
        <f aca="true">RAND()</f>
        <v>0.85786794753659</v>
      </c>
      <c r="T701" s="54" t="n">
        <f aca="true">RAND()</f>
        <v>0.519040924092166</v>
      </c>
      <c r="U701" s="54" t="n">
        <f aca="true">RAND()</f>
        <v>0.908806555003011</v>
      </c>
    </row>
    <row r="702" customFormat="false" ht="15" hidden="false" customHeight="false" outlineLevel="0" collapsed="false">
      <c r="A702" s="50" t="n">
        <v>622</v>
      </c>
      <c r="B702" s="51" t="n">
        <f aca="false">1+IF($G$6=$E$6,$F$6,IF(P702&lt;($F$6-$E$6)/($G$6-$E$6),$E$6+SQRT(P702*($G$6-$E$6)*($F$6-$E$6)),$G$6-SQRT((1-P702)*($G$6-$E$6)*($G$6-$F$6))))</f>
        <v>1.00405079836842</v>
      </c>
      <c r="C702" s="51" t="n">
        <f aca="false">1+IF($G$7=$E$7,$F$7,IF(Q702&lt;($F$7-$E$7)/($G$7-$E$7),$E$7+SQRT(Q702*($G$7-$E$7)*($F$7-$E$7)),$G$7-SQRT((1-Q702)*($G$7-$E$7)*($G$7-$F$7))))</f>
        <v>1.08044975911918</v>
      </c>
      <c r="D702" s="51" t="n">
        <f aca="false">1+IF($G$8=$E$8,$F$8,IF(R702&lt;($F$8-$E$8)/($G$8-$E$8),$E$8+SQRT(R702*($G$8-$E$8)*($F$8-$E$8)),$G$8-SQRT((1-R702)*($G$8-$E$8)*($G$8-$F$8))))</f>
        <v>1.01321933379753</v>
      </c>
      <c r="E702" s="51" t="n">
        <f aca="false">1+IF($G$9=$E$9,$F$9,IF(S702&lt;($F$9-$E$9)/($G$9-$E$9),$E$9+SQRT(S702*($G$9-$E$9)*($F$9-$E$9)),$G$9-SQRT((1-S702)*($G$9-$E$9)*($G$9-$F$9))))</f>
        <v>1.01033021927267</v>
      </c>
      <c r="F702" s="51" t="n">
        <f aca="false">1+IF($G$10=$E$10,$F$10,IF(T702&lt;($F$10-$E$10)/($G$10-$E$10),$E$10+SQRT(T702*($G$10-$E$10)*($F$10-$E$10)),$G$10-SQRT((1-T702)*($G$10-$E$10)*($G$10-$F$10))))</f>
        <v>1.0261532658113</v>
      </c>
      <c r="G702" s="52" t="n">
        <f aca="false">IF($G$11=$E$11,$F$11,IF(U702&lt;($F$11-$E$11)/($G$11-$E$11),$E$11+SQRT(U702*($G$11-$E$11)*($F$11-$E$11)),$G$11-SQRT((1-U702)*($G$11-$E$11)*($G$11-$F$11))))</f>
        <v>0.115762307434334</v>
      </c>
      <c r="H702" s="53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-2052306531.6226</v>
      </c>
      <c r="I702" s="53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25613772.9556041</v>
      </c>
      <c r="J702" s="53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353749232.490503</v>
      </c>
      <c r="K702" s="53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733192355.315967</v>
      </c>
      <c r="L702" s="53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880062443.705995</v>
      </c>
      <c r="M702" s="53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1086266254.03716</v>
      </c>
      <c r="N702" s="53" t="n">
        <f aca="false">IF(COUNT('Business Case'!B11:G11)=0,"",H702+NPV(G702,I702:M702))</f>
        <v>-21344650.883167</v>
      </c>
      <c r="P702" s="54" t="n">
        <f aca="true">RAND()</f>
        <v>0.73076143792743</v>
      </c>
      <c r="Q702" s="54" t="n">
        <f aca="true">RAND()</f>
        <v>0.907862171303247</v>
      </c>
      <c r="R702" s="54" t="n">
        <f aca="true">RAND()</f>
        <v>0.57118679053409</v>
      </c>
      <c r="S702" s="54" t="n">
        <f aca="true">RAND()</f>
        <v>0.463955361620816</v>
      </c>
      <c r="T702" s="54" t="n">
        <f aca="true">RAND()</f>
        <v>0.395546260238462</v>
      </c>
      <c r="U702" s="54" t="n">
        <f aca="true">RAND()</f>
        <v>0.970069936198172</v>
      </c>
    </row>
    <row r="703" customFormat="false" ht="15" hidden="false" customHeight="false" outlineLevel="0" collapsed="false">
      <c r="A703" s="50" t="n">
        <v>623</v>
      </c>
      <c r="B703" s="51" t="n">
        <f aca="false">1+IF($G$6=$E$6,$F$6,IF(P703&lt;($F$6-$E$6)/($G$6-$E$6),$E$6+SQRT(P703*($G$6-$E$6)*($F$6-$E$6)),$G$6-SQRT((1-P703)*($G$6-$E$6)*($G$6-$F$6))))</f>
        <v>0.951003822918446</v>
      </c>
      <c r="C703" s="51" t="n">
        <f aca="false">1+IF($G$7=$E$7,$F$7,IF(Q703&lt;($F$7-$E$7)/($G$7-$E$7),$E$7+SQRT(Q703*($G$7-$E$7)*($F$7-$E$7)),$G$7-SQRT((1-Q703)*($G$7-$E$7)*($G$7-$F$7))))</f>
        <v>1.09479885566895</v>
      </c>
      <c r="D703" s="51" t="n">
        <f aca="false">1+IF($G$8=$E$8,$F$8,IF(R703&lt;($F$8-$E$8)/($G$8-$E$8),$E$8+SQRT(R703*($G$8-$E$8)*($F$8-$E$8)),$G$8-SQRT((1-R703)*($G$8-$E$8)*($G$8-$F$8))))</f>
        <v>0.996871002333783</v>
      </c>
      <c r="E703" s="51" t="n">
        <f aca="false">1+IF($G$9=$E$9,$F$9,IF(S703&lt;($F$9-$E$9)/($G$9-$E$9),$E$9+SQRT(S703*($G$9-$E$9)*($F$9-$E$9)),$G$9-SQRT((1-S703)*($G$9-$E$9)*($G$9-$F$9))))</f>
        <v>1.04959798221068</v>
      </c>
      <c r="F703" s="51" t="n">
        <f aca="false">1+IF($G$10=$E$10,$F$10,IF(T703&lt;($F$10-$E$10)/($G$10-$E$10),$E$10+SQRT(T703*($G$10-$E$10)*($F$10-$E$10)),$G$10-SQRT((1-T703)*($G$10-$E$10)*($G$10-$F$10))))</f>
        <v>1.05998716145664</v>
      </c>
      <c r="G703" s="52" t="n">
        <f aca="false">IF($G$11=$E$11,$F$11,IF(U703&lt;($F$11-$E$11)/($G$11-$E$11),$E$11+SQRT(U703*($G$11-$E$11)*($F$11-$E$11)),$G$11-SQRT((1-U703)*($G$11-$E$11)*($G$11-$F$11))))</f>
        <v>0.101024044622719</v>
      </c>
      <c r="H703" s="53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-2119974322.91327</v>
      </c>
      <c r="I703" s="53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-15137678.7677548</v>
      </c>
      <c r="J703" s="53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278949817.064513</v>
      </c>
      <c r="K703" s="53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626036670.969612</v>
      </c>
      <c r="L703" s="53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760048253.169701</v>
      </c>
      <c r="M703" s="53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957951546.244369</v>
      </c>
      <c r="N703" s="53" t="n">
        <f aca="false">IF(COUNT('Business Case'!B11:G11)=0,"",H703+NPV(G703,I703:M703))</f>
        <v>-325329089.476403</v>
      </c>
      <c r="P703" s="54" t="n">
        <f aca="true">RAND()</f>
        <v>0.100128857870659</v>
      </c>
      <c r="Q703" s="54" t="n">
        <f aca="true">RAND()</f>
        <v>0.941958736467467</v>
      </c>
      <c r="R703" s="54" t="n">
        <f aca="true">RAND()</f>
        <v>0.33798320919592</v>
      </c>
      <c r="S703" s="54" t="n">
        <f aca="true">RAND()</f>
        <v>0.830642440184332</v>
      </c>
      <c r="T703" s="54" t="n">
        <f aca="true">RAND()</f>
        <v>0.607928100860595</v>
      </c>
      <c r="U703" s="54" t="n">
        <f aca="true">RAND()</f>
        <v>0.399855195865753</v>
      </c>
    </row>
    <row r="704" customFormat="false" ht="15" hidden="false" customHeight="false" outlineLevel="0" collapsed="false">
      <c r="A704" s="50" t="n">
        <v>624</v>
      </c>
      <c r="B704" s="51" t="n">
        <f aca="false">1+IF($G$6=$E$6,$F$6,IF(P704&lt;($F$6-$E$6)/($G$6-$E$6),$E$6+SQRT(P704*($G$6-$E$6)*($F$6-$E$6)),$G$6-SQRT((1-P704)*($G$6-$E$6)*($G$6-$F$6))))</f>
        <v>1.00111290090261</v>
      </c>
      <c r="C704" s="51" t="n">
        <f aca="false">1+IF($G$7=$E$7,$F$7,IF(Q704&lt;($F$7-$E$7)/($G$7-$E$7),$E$7+SQRT(Q704*($G$7-$E$7)*($F$7-$E$7)),$G$7-SQRT((1-Q704)*($G$7-$E$7)*($G$7-$F$7))))</f>
        <v>0.918190776578085</v>
      </c>
      <c r="D704" s="51" t="n">
        <f aca="false">1+IF($G$8=$E$8,$F$8,IF(R704&lt;($F$8-$E$8)/($G$8-$E$8),$E$8+SQRT(R704*($G$8-$E$8)*($F$8-$E$8)),$G$8-SQRT((1-R704)*($G$8-$E$8)*($G$8-$F$8))))</f>
        <v>1.01682740172015</v>
      </c>
      <c r="E704" s="51" t="n">
        <f aca="false">1+IF($G$9=$E$9,$F$9,IF(S704&lt;($F$9-$E$9)/($G$9-$E$9),$E$9+SQRT(S704*($G$9-$E$9)*($F$9-$E$9)),$G$9-SQRT((1-S704)*($G$9-$E$9)*($G$9-$F$9))))</f>
        <v>0.993842391834349</v>
      </c>
      <c r="F704" s="51" t="n">
        <f aca="false">1+IF($G$10=$E$10,$F$10,IF(T704&lt;($F$10-$E$10)/($G$10-$E$10),$E$10+SQRT(T704*($G$10-$E$10)*($F$10-$E$10)),$G$10-SQRT((1-T704)*($G$10-$E$10)*($G$10-$F$10))))</f>
        <v>1.01453272326451</v>
      </c>
      <c r="G704" s="52" t="n">
        <f aca="false">IF($G$11=$E$11,$F$11,IF(U704&lt;($F$11-$E$11)/($G$11-$E$11),$E$11+SQRT(U704*($G$11-$E$11)*($F$11-$E$11)),$G$11-SQRT((1-U704)*($G$11-$E$11)*($G$11-$F$11))))</f>
        <v>0.100586225267629</v>
      </c>
      <c r="H704" s="53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-2029065446.52903</v>
      </c>
      <c r="I704" s="53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-15478092.4223275</v>
      </c>
      <c r="J704" s="53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259473458.439483</v>
      </c>
      <c r="K704" s="53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585151645.464519</v>
      </c>
      <c r="L704" s="53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708570150.977684</v>
      </c>
      <c r="M704" s="53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883294088.053438</v>
      </c>
      <c r="N704" s="53" t="n">
        <f aca="false">IF(COUNT('Business Case'!B11:G11)=0,"",H704+NPV(G704,I704:M704))</f>
        <v>-360055834.499013</v>
      </c>
      <c r="P704" s="54" t="n">
        <f aca="true">RAND()</f>
        <v>0.684956984122892</v>
      </c>
      <c r="Q704" s="54" t="n">
        <f aca="true">RAND()</f>
        <v>0.19955799525901</v>
      </c>
      <c r="R704" s="54" t="n">
        <f aca="true">RAND()</f>
        <v>0.616271425631965</v>
      </c>
      <c r="S704" s="54" t="n">
        <f aca="true">RAND()</f>
        <v>0.256287376234212</v>
      </c>
      <c r="T704" s="54" t="n">
        <f aca="true">RAND()</f>
        <v>0.31203778520645</v>
      </c>
      <c r="U704" s="54" t="n">
        <f aca="true">RAND()</f>
        <v>0.371842251067947</v>
      </c>
    </row>
    <row r="705" customFormat="false" ht="15" hidden="false" customHeight="false" outlineLevel="0" collapsed="false">
      <c r="A705" s="50" t="n">
        <v>625</v>
      </c>
      <c r="B705" s="51" t="n">
        <f aca="false">1+IF($G$6=$E$6,$F$6,IF(P705&lt;($F$6-$E$6)/($G$6-$E$6),$E$6+SQRT(P705*($G$6-$E$6)*($F$6-$E$6)),$G$6-SQRT((1-P705)*($G$6-$E$6)*($G$6-$F$6))))</f>
        <v>0.974559944416602</v>
      </c>
      <c r="C705" s="51" t="n">
        <f aca="false">1+IF($G$7=$E$7,$F$7,IF(Q705&lt;($F$7-$E$7)/($G$7-$E$7),$E$7+SQRT(Q705*($G$7-$E$7)*($F$7-$E$7)),$G$7-SQRT((1-Q705)*($G$7-$E$7)*($G$7-$F$7))))</f>
        <v>1.02150420947917</v>
      </c>
      <c r="D705" s="51" t="n">
        <f aca="false">1+IF($G$8=$E$8,$F$8,IF(R705&lt;($F$8-$E$8)/($G$8-$E$8),$E$8+SQRT(R705*($G$8-$E$8)*($F$8-$E$8)),$G$8-SQRT((1-R705)*($G$8-$E$8)*($G$8-$F$8))))</f>
        <v>1.06282103452703</v>
      </c>
      <c r="E705" s="51" t="n">
        <f aca="false">1+IF($G$9=$E$9,$F$9,IF(S705&lt;($F$9-$E$9)/($G$9-$E$9),$E$9+SQRT(S705*($G$9-$E$9)*($F$9-$E$9)),$G$9-SQRT((1-S705)*($G$9-$E$9)*($G$9-$F$9))))</f>
        <v>1.04168287014934</v>
      </c>
      <c r="F705" s="51" t="n">
        <f aca="false">1+IF($G$10=$E$10,$F$10,IF(T705&lt;($F$10-$E$10)/($G$10-$E$10),$E$10+SQRT(T705*($G$10-$E$10)*($F$10-$E$10)),$G$10-SQRT((1-T705)*($G$10-$E$10)*($G$10-$F$10))))</f>
        <v>1.03313962589419</v>
      </c>
      <c r="G705" s="52" t="n">
        <f aca="false">IF($G$11=$E$11,$F$11,IF(U705&lt;($F$11-$E$11)/($G$11-$E$11),$E$11+SQRT(U705*($G$11-$E$11)*($F$11-$E$11)),$G$11-SQRT((1-U705)*($G$11-$E$11)*($G$11-$F$11))))</f>
        <v>0.0955262143194439</v>
      </c>
      <c r="H705" s="53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-2066279251.78838</v>
      </c>
      <c r="I705" s="53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-43428042.2785256</v>
      </c>
      <c r="J705" s="53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216192787.885696</v>
      </c>
      <c r="K705" s="53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527470599.344626</v>
      </c>
      <c r="L705" s="53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648415946.544761</v>
      </c>
      <c r="M705" s="53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837643834.177766</v>
      </c>
      <c r="N705" s="53" t="n">
        <f aca="false">IF(COUNT('Business Case'!B11:G11)=0,"",H705+NPV(G705,I705:M705))</f>
        <v>-543641767.073429</v>
      </c>
      <c r="P705" s="54" t="n">
        <f aca="true">RAND()</f>
        <v>0.310082034869032</v>
      </c>
      <c r="Q705" s="54" t="n">
        <f aca="true">RAND()</f>
        <v>0.685501558446225</v>
      </c>
      <c r="R705" s="54" t="n">
        <f aca="true">RAND()</f>
        <v>0.971623379353687</v>
      </c>
      <c r="S705" s="54" t="n">
        <f aca="true">RAND()</f>
        <v>0.773274157732065</v>
      </c>
      <c r="T705" s="54" t="n">
        <f aca="true">RAND()</f>
        <v>0.443152311065367</v>
      </c>
      <c r="U705" s="54" t="n">
        <f aca="true">RAND()</f>
        <v>0.101796815681423</v>
      </c>
    </row>
    <row r="706" customFormat="false" ht="15" hidden="false" customHeight="false" outlineLevel="0" collapsed="false">
      <c r="A706" s="50" t="n">
        <v>626</v>
      </c>
      <c r="B706" s="51" t="n">
        <f aca="false">1+IF($G$6=$E$6,$F$6,IF(P706&lt;($F$6-$E$6)/($G$6-$E$6),$E$6+SQRT(P706*($G$6-$E$6)*($F$6-$E$6)),$G$6-SQRT((1-P706)*($G$6-$E$6)*($G$6-$F$6))))</f>
        <v>0.998589521521679</v>
      </c>
      <c r="C706" s="51" t="n">
        <f aca="false">1+IF($G$7=$E$7,$F$7,IF(Q706&lt;($F$7-$E$7)/($G$7-$E$7),$E$7+SQRT(Q706*($G$7-$E$7)*($F$7-$E$7)),$G$7-SQRT((1-Q706)*($G$7-$E$7)*($G$7-$F$7))))</f>
        <v>1.07533714183688</v>
      </c>
      <c r="D706" s="51" t="n">
        <f aca="false">1+IF($G$8=$E$8,$F$8,IF(R706&lt;($F$8-$E$8)/($G$8-$E$8),$E$8+SQRT(R706*($G$8-$E$8)*($F$8-$E$8)),$G$8-SQRT((1-R706)*($G$8-$E$8)*($G$8-$F$8))))</f>
        <v>1.0403208008637</v>
      </c>
      <c r="E706" s="51" t="n">
        <f aca="false">1+IF($G$9=$E$9,$F$9,IF(S706&lt;($F$9-$E$9)/($G$9-$E$9),$E$9+SQRT(S706*($G$9-$E$9)*($F$9-$E$9)),$G$9-SQRT((1-S706)*($G$9-$E$9)*($G$9-$F$9))))</f>
        <v>1.06865272057271</v>
      </c>
      <c r="F706" s="51" t="n">
        <f aca="false">1+IF($G$10=$E$10,$F$10,IF(T706&lt;($F$10-$E$10)/($G$10-$E$10),$E$10+SQRT(T706*($G$10-$E$10)*($F$10-$E$10)),$G$10-SQRT((1-T706)*($G$10-$E$10)*($G$10-$F$10))))</f>
        <v>1.01381560765539</v>
      </c>
      <c r="G706" s="52" t="n">
        <f aca="false">IF($G$11=$E$11,$F$11,IF(U706&lt;($F$11-$E$11)/($G$11-$E$11),$E$11+SQRT(U706*($G$11-$E$11)*($F$11-$E$11)),$G$11-SQRT((1-U706)*($G$11-$E$11)*($G$11-$F$11))))</f>
        <v>0.0968420163185201</v>
      </c>
      <c r="H706" s="53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-2027631215.31078</v>
      </c>
      <c r="I706" s="53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-2157252.81720628</v>
      </c>
      <c r="J706" s="53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304696321.633208</v>
      </c>
      <c r="K706" s="53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662240676.466391</v>
      </c>
      <c r="L706" s="53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801636434.374289</v>
      </c>
      <c r="M706" s="53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1005748216.37531</v>
      </c>
      <c r="N706" s="53" t="n">
        <f aca="false">IF(COUNT('Business Case'!B11:G11)=0,"",H706+NPV(G706,I706:M706))</f>
        <v>-87075628.3200877</v>
      </c>
      <c r="P706" s="54" t="n">
        <f aca="true">RAND()</f>
        <v>0.643365926354844</v>
      </c>
      <c r="Q706" s="54" t="n">
        <f aca="true">RAND()</f>
        <v>0.893818240207883</v>
      </c>
      <c r="R706" s="54" t="n">
        <f aca="true">RAND()</f>
        <v>0.848611649605956</v>
      </c>
      <c r="S706" s="54" t="n">
        <f aca="true">RAND()</f>
        <v>0.934489871500509</v>
      </c>
      <c r="T706" s="54" t="n">
        <f aca="true">RAND()</f>
        <v>0.306707440945376</v>
      </c>
      <c r="U706" s="54" t="n">
        <f aca="true">RAND()</f>
        <v>0.156043957676316</v>
      </c>
    </row>
    <row r="707" customFormat="false" ht="15" hidden="false" customHeight="false" outlineLevel="0" collapsed="false">
      <c r="A707" s="50" t="n">
        <v>627</v>
      </c>
      <c r="B707" s="51" t="n">
        <f aca="false">1+IF($G$6=$E$6,$F$6,IF(P707&lt;($F$6-$E$6)/($G$6-$E$6),$E$6+SQRT(P707*($G$6-$E$6)*($F$6-$E$6)),$G$6-SQRT((1-P707)*($G$6-$E$6)*($G$6-$F$6))))</f>
        <v>1.00151439752962</v>
      </c>
      <c r="C707" s="51" t="n">
        <f aca="false">1+IF($G$7=$E$7,$F$7,IF(Q707&lt;($F$7-$E$7)/($G$7-$E$7),$E$7+SQRT(Q707*($G$7-$E$7)*($F$7-$E$7)),$G$7-SQRT((1-Q707)*($G$7-$E$7)*($G$7-$F$7))))</f>
        <v>0.971877630330473</v>
      </c>
      <c r="D707" s="51" t="n">
        <f aca="false">1+IF($G$8=$E$8,$F$8,IF(R707&lt;($F$8-$E$8)/($G$8-$E$8),$E$8+SQRT(R707*($G$8-$E$8)*($F$8-$E$8)),$G$8-SQRT((1-R707)*($G$8-$E$8)*($G$8-$F$8))))</f>
        <v>1.06138579844754</v>
      </c>
      <c r="E707" s="51" t="n">
        <f aca="false">1+IF($G$9=$E$9,$F$9,IF(S707&lt;($F$9-$E$9)/($G$9-$E$9),$E$9+SQRT(S707*($G$9-$E$9)*($F$9-$E$9)),$G$9-SQRT((1-S707)*($G$9-$E$9)*($G$9-$F$9))))</f>
        <v>0.997341167554575</v>
      </c>
      <c r="F707" s="51" t="n">
        <f aca="false">1+IF($G$10=$E$10,$F$10,IF(T707&lt;($F$10-$E$10)/($G$10-$E$10),$E$10+SQRT(T707*($G$10-$E$10)*($F$10-$E$10)),$G$10-SQRT((1-T707)*($G$10-$E$10)*($G$10-$F$10))))</f>
        <v>1.13968457638306</v>
      </c>
      <c r="G707" s="52" t="n">
        <f aca="false">IF($G$11=$E$11,$F$11,IF(U707&lt;($F$11-$E$11)/($G$11-$E$11),$E$11+SQRT(U707*($G$11-$E$11)*($F$11-$E$11)),$G$11-SQRT((1-U707)*($G$11-$E$11)*($G$11-$F$11))))</f>
        <v>0.116014781105822</v>
      </c>
      <c r="H707" s="53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-2279369152.76611</v>
      </c>
      <c r="I707" s="53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-37070014.3024745</v>
      </c>
      <c r="J707" s="53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232108777.998784</v>
      </c>
      <c r="K707" s="53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558271799.119194</v>
      </c>
      <c r="L707" s="53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681637019.845725</v>
      </c>
      <c r="M707" s="53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866651281.289336</v>
      </c>
      <c r="N707" s="53" t="n">
        <f aca="false">IF(COUNT('Business Case'!B11:G11)=0,"",H707+NPV(G707,I707:M707))</f>
        <v>-784569166.027597</v>
      </c>
      <c r="P707" s="54" t="n">
        <f aca="true">RAND()</f>
        <v>0.69142883385241</v>
      </c>
      <c r="Q707" s="54" t="n">
        <f aca="true">RAND()</f>
        <v>0.422027425828841</v>
      </c>
      <c r="R707" s="54" t="n">
        <f aca="true">RAND()</f>
        <v>0.966683798131195</v>
      </c>
      <c r="S707" s="54" t="n">
        <f aca="true">RAND()</f>
        <v>0.29882481939071</v>
      </c>
      <c r="T707" s="54" t="n">
        <f aca="true">RAND()</f>
        <v>0.927240993478171</v>
      </c>
      <c r="U707" s="54" t="n">
        <f aca="true">RAND()</f>
        <v>0.973530050609146</v>
      </c>
    </row>
    <row r="708" customFormat="false" ht="15" hidden="false" customHeight="false" outlineLevel="0" collapsed="false">
      <c r="A708" s="50" t="n">
        <v>628</v>
      </c>
      <c r="B708" s="51" t="n">
        <f aca="false">1+IF($G$6=$E$6,$F$6,IF(P708&lt;($F$6-$E$6)/($G$6-$E$6),$E$6+SQRT(P708*($G$6-$E$6)*($F$6-$E$6)),$G$6-SQRT((1-P708)*($G$6-$E$6)*($G$6-$F$6))))</f>
        <v>0.984178991574153</v>
      </c>
      <c r="C708" s="51" t="n">
        <f aca="false">1+IF($G$7=$E$7,$F$7,IF(Q708&lt;($F$7-$E$7)/($G$7-$E$7),$E$7+SQRT(Q708*($G$7-$E$7)*($F$7-$E$7)),$G$7-SQRT((1-Q708)*($G$7-$E$7)*($G$7-$F$7))))</f>
        <v>0.985510010281412</v>
      </c>
      <c r="D708" s="51" t="n">
        <f aca="false">1+IF($G$8=$E$8,$F$8,IF(R708&lt;($F$8-$E$8)/($G$8-$E$8),$E$8+SQRT(R708*($G$8-$E$8)*($F$8-$E$8)),$G$8-SQRT((1-R708)*($G$8-$E$8)*($G$8-$F$8))))</f>
        <v>0.987648540269786</v>
      </c>
      <c r="E708" s="51" t="n">
        <f aca="false">1+IF($G$9=$E$9,$F$9,IF(S708&lt;($F$9-$E$9)/($G$9-$E$9),$E$9+SQRT(S708*($G$9-$E$9)*($F$9-$E$9)),$G$9-SQRT((1-S708)*($G$9-$E$9)*($G$9-$F$9))))</f>
        <v>1.050477071536</v>
      </c>
      <c r="F708" s="51" t="n">
        <f aca="false">1+IF($G$10=$E$10,$F$10,IF(T708&lt;($F$10-$E$10)/($G$10-$E$10),$E$10+SQRT(T708*($G$10-$E$10)*($F$10-$E$10)),$G$10-SQRT((1-T708)*($G$10-$E$10)*($G$10-$F$10))))</f>
        <v>1.03778330607281</v>
      </c>
      <c r="G708" s="52" t="n">
        <f aca="false">IF($G$11=$E$11,$F$11,IF(U708&lt;($F$11-$E$11)/($G$11-$E$11),$E$11+SQRT(U708*($G$11-$E$11)*($F$11-$E$11)),$G$11-SQRT((1-U708)*($G$11-$E$11)*($G$11-$F$11))))</f>
        <v>0.0939001290355164</v>
      </c>
      <c r="H708" s="53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-2075566612.14563</v>
      </c>
      <c r="I708" s="53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-7274797.66252208</v>
      </c>
      <c r="J708" s="53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288887136.83642</v>
      </c>
      <c r="K708" s="53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636938236.639002</v>
      </c>
      <c r="L708" s="53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769179256.126491</v>
      </c>
      <c r="M708" s="53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953541316.726288</v>
      </c>
      <c r="N708" s="53" t="n">
        <f aca="false">IF(COUNT('Business Case'!B11:G11)=0,"",H708+NPV(G708,I708:M708))</f>
        <v>-208262506.931969</v>
      </c>
      <c r="P708" s="54" t="n">
        <f aca="true">RAND()</f>
        <v>0.429056558278669</v>
      </c>
      <c r="Q708" s="54" t="n">
        <f aca="true">RAND()</f>
        <v>0.491628055922994</v>
      </c>
      <c r="R708" s="54" t="n">
        <f aca="true">RAND()</f>
        <v>0.218063474530105</v>
      </c>
      <c r="S708" s="54" t="n">
        <f aca="true">RAND()</f>
        <v>0.836498637089995</v>
      </c>
      <c r="T708" s="54" t="n">
        <f aca="true">RAND()</f>
        <v>0.473714884226666</v>
      </c>
      <c r="U708" s="54" t="n">
        <f aca="true">RAND()</f>
        <v>0.050703354978928</v>
      </c>
    </row>
    <row r="709" customFormat="false" ht="15" hidden="false" customHeight="false" outlineLevel="0" collapsed="false">
      <c r="A709" s="50" t="n">
        <v>629</v>
      </c>
      <c r="B709" s="51" t="n">
        <f aca="false">1+IF($G$6=$E$6,$F$6,IF(P709&lt;($F$6-$E$6)/($G$6-$E$6),$E$6+SQRT(P709*($G$6-$E$6)*($F$6-$E$6)),$G$6-SQRT((1-P709)*($G$6-$E$6)*($G$6-$F$6))))</f>
        <v>0.961245053893362</v>
      </c>
      <c r="C709" s="51" t="n">
        <f aca="false">1+IF($G$7=$E$7,$F$7,IF(Q709&lt;($F$7-$E$7)/($G$7-$E$7),$E$7+SQRT(Q709*($G$7-$E$7)*($F$7-$E$7)),$G$7-SQRT((1-Q709)*($G$7-$E$7)*($G$7-$F$7))))</f>
        <v>1.02363198026344</v>
      </c>
      <c r="D709" s="51" t="n">
        <f aca="false">1+IF($G$8=$E$8,$F$8,IF(R709&lt;($F$8-$E$8)/($G$8-$E$8),$E$8+SQRT(R709*($G$8-$E$8)*($F$8-$E$8)),$G$8-SQRT((1-R709)*($G$8-$E$8)*($G$8-$F$8))))</f>
        <v>1.0016682854322</v>
      </c>
      <c r="E709" s="51" t="n">
        <f aca="false">1+IF($G$9=$E$9,$F$9,IF(S709&lt;($F$9-$E$9)/($G$9-$E$9),$E$9+SQRT(S709*($G$9-$E$9)*($F$9-$E$9)),$G$9-SQRT((1-S709)*($G$9-$E$9)*($G$9-$F$9))))</f>
        <v>1.00794569303725</v>
      </c>
      <c r="F709" s="51" t="n">
        <f aca="false">1+IF($G$10=$E$10,$F$10,IF(T709&lt;($F$10-$E$10)/($G$10-$E$10),$E$10+SQRT(T709*($G$10-$E$10)*($F$10-$E$10)),$G$10-SQRT((1-T709)*($G$10-$E$10)*($G$10-$F$10))))</f>
        <v>1.17027417376685</v>
      </c>
      <c r="G709" s="52" t="n">
        <f aca="false">IF($G$11=$E$11,$F$11,IF(U709&lt;($F$11-$E$11)/($G$11-$E$11),$E$11+SQRT(U709*($G$11-$E$11)*($F$11-$E$11)),$G$11-SQRT((1-U709)*($G$11-$E$11)*($G$11-$F$11))))</f>
        <v>0.107282535728084</v>
      </c>
      <c r="H709" s="53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-2340548347.53369</v>
      </c>
      <c r="I709" s="53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-30322686.783988</v>
      </c>
      <c r="J709" s="53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250720468.827956</v>
      </c>
      <c r="K709" s="53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590277333.128242</v>
      </c>
      <c r="L709" s="53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717964083.31179</v>
      </c>
      <c r="M709" s="53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904995424.03274</v>
      </c>
      <c r="N709" s="53" t="n">
        <f aca="false">IF(COUNT('Business Case'!B11:G11)=0,"",H709+NPV(G709,I709:M709))</f>
        <v>-707352983.443558</v>
      </c>
      <c r="P709" s="54" t="n">
        <f aca="true">RAND()</f>
        <v>0.177203590694409</v>
      </c>
      <c r="Q709" s="54" t="n">
        <f aca="true">RAND()</f>
        <v>0.695830925483059</v>
      </c>
      <c r="R709" s="54" t="n">
        <f aca="true">RAND()</f>
        <v>0.410013701237354</v>
      </c>
      <c r="S709" s="54" t="n">
        <f aca="true">RAND()</f>
        <v>0.435066971307226</v>
      </c>
      <c r="T709" s="54" t="n">
        <f aca="true">RAND()</f>
        <v>0.982327505095126</v>
      </c>
      <c r="U709" s="54" t="n">
        <f aca="true">RAND()</f>
        <v>0.730443504154214</v>
      </c>
    </row>
    <row r="710" customFormat="false" ht="15" hidden="false" customHeight="false" outlineLevel="0" collapsed="false">
      <c r="A710" s="50" t="n">
        <v>630</v>
      </c>
      <c r="B710" s="51" t="n">
        <f aca="false">1+IF($G$6=$E$6,$F$6,IF(P710&lt;($F$6-$E$6)/($G$6-$E$6),$E$6+SQRT(P710*($G$6-$E$6)*($F$6-$E$6)),$G$6-SQRT((1-P710)*($G$6-$E$6)*($G$6-$F$6))))</f>
        <v>1.02997544757042</v>
      </c>
      <c r="C710" s="51" t="n">
        <f aca="false">1+IF($G$7=$E$7,$F$7,IF(Q710&lt;($F$7-$E$7)/($G$7-$E$7),$E$7+SQRT(Q710*($G$7-$E$7)*($F$7-$E$7)),$G$7-SQRT((1-Q710)*($G$7-$E$7)*($G$7-$F$7))))</f>
        <v>0.91671593410491</v>
      </c>
      <c r="D710" s="51" t="n">
        <f aca="false">1+IF($G$8=$E$8,$F$8,IF(R710&lt;($F$8-$E$8)/($G$8-$E$8),$E$8+SQRT(R710*($G$8-$E$8)*($F$8-$E$8)),$G$8-SQRT((1-R710)*($G$8-$E$8)*($G$8-$F$8))))</f>
        <v>0.993619899408348</v>
      </c>
      <c r="E710" s="51" t="n">
        <f aca="false">1+IF($G$9=$E$9,$F$9,IF(S710&lt;($F$9-$E$9)/($G$9-$E$9),$E$9+SQRT(S710*($G$9-$E$9)*($F$9-$E$9)),$G$9-SQRT((1-S710)*($G$9-$E$9)*($G$9-$F$9))))</f>
        <v>1.0306667790319</v>
      </c>
      <c r="F710" s="51" t="n">
        <f aca="false">1+IF($G$10=$E$10,$F$10,IF(T710&lt;($F$10-$E$10)/($G$10-$E$10),$E$10+SQRT(T710*($G$10-$E$10)*($F$10-$E$10)),$G$10-SQRT((1-T710)*($G$10-$E$10)*($G$10-$F$10))))</f>
        <v>1.14018993666954</v>
      </c>
      <c r="G710" s="52" t="n">
        <f aca="false">IF($G$11=$E$11,$F$11,IF(U710&lt;($F$11-$E$11)/($G$11-$E$11),$E$11+SQRT(U710*($G$11-$E$11)*($F$11-$E$11)),$G$11-SQRT((1-U710)*($G$11-$E$11)*($G$11-$F$11))))</f>
        <v>0.110407445762164</v>
      </c>
      <c r="H710" s="53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-2280379873.33908</v>
      </c>
      <c r="I710" s="53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-2454398.72795455</v>
      </c>
      <c r="J710" s="53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304618076.039938</v>
      </c>
      <c r="K710" s="53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668700047.641307</v>
      </c>
      <c r="L710" s="53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803688915.130976</v>
      </c>
      <c r="M710" s="53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983161482.583019</v>
      </c>
      <c r="N710" s="53" t="n">
        <f aca="false">IF(COUNT('Business Case'!B11:G11)=0,"",H710+NPV(G710,I710:M710))</f>
        <v>-436100107.531672</v>
      </c>
      <c r="P710" s="54" t="n">
        <f aca="true">RAND()</f>
        <v>0.979064239288871</v>
      </c>
      <c r="Q710" s="54" t="n">
        <f aca="true">RAND()</f>
        <v>0.194608703914023</v>
      </c>
      <c r="R710" s="54" t="n">
        <f aca="true">RAND()</f>
        <v>0.292722403752988</v>
      </c>
      <c r="S710" s="54" t="n">
        <f aca="true">RAND()</f>
        <v>0.679526964679204</v>
      </c>
      <c r="T710" s="54" t="n">
        <f aca="true">RAND()</f>
        <v>0.928455126488128</v>
      </c>
      <c r="U710" s="54" t="n">
        <f aca="true">RAND()</f>
        <v>0.846638171990305</v>
      </c>
    </row>
    <row r="711" customFormat="false" ht="15" hidden="false" customHeight="false" outlineLevel="0" collapsed="false">
      <c r="A711" s="50" t="n">
        <v>631</v>
      </c>
      <c r="B711" s="51" t="n">
        <f aca="false">1+IF($G$6=$E$6,$F$6,IF(P711&lt;($F$6-$E$6)/($G$6-$E$6),$E$6+SQRT(P711*($G$6-$E$6)*($F$6-$E$6)),$G$6-SQRT((1-P711)*($G$6-$E$6)*($G$6-$F$6))))</f>
        <v>1.01928776935671</v>
      </c>
      <c r="C711" s="51" t="n">
        <f aca="false">1+IF($G$7=$E$7,$F$7,IF(Q711&lt;($F$7-$E$7)/($G$7-$E$7),$E$7+SQRT(Q711*($G$7-$E$7)*($F$7-$E$7)),$G$7-SQRT((1-Q711)*($G$7-$E$7)*($G$7-$F$7))))</f>
        <v>0.879635579069875</v>
      </c>
      <c r="D711" s="51" t="n">
        <f aca="false">1+IF($G$8=$E$8,$F$8,IF(R711&lt;($F$8-$E$8)/($G$8-$E$8),$E$8+SQRT(R711*($G$8-$E$8)*($F$8-$E$8)),$G$8-SQRT((1-R711)*($G$8-$E$8)*($G$8-$F$8))))</f>
        <v>0.982085486799046</v>
      </c>
      <c r="E711" s="51" t="n">
        <f aca="false">1+IF($G$9=$E$9,$F$9,IF(S711&lt;($F$9-$E$9)/($G$9-$E$9),$E$9+SQRT(S711*($G$9-$E$9)*($F$9-$E$9)),$G$9-SQRT((1-S711)*($G$9-$E$9)*($G$9-$F$9))))</f>
        <v>1.03657521328925</v>
      </c>
      <c r="F711" s="51" t="n">
        <f aca="false">1+IF($G$10=$E$10,$F$10,IF(T711&lt;($F$10-$E$10)/($G$10-$E$10),$E$10+SQRT(T711*($G$10-$E$10)*($F$10-$E$10)),$G$10-SQRT((1-T711)*($G$10-$E$10)*($G$10-$F$10))))</f>
        <v>1.10495454800347</v>
      </c>
      <c r="G711" s="52" t="n">
        <f aca="false">IF($G$11=$E$11,$F$11,IF(U711&lt;($F$11-$E$11)/($G$11-$E$11),$E$11+SQRT(U711*($G$11-$E$11)*($F$11-$E$11)),$G$11-SQRT((1-U711)*($G$11-$E$11)*($G$11-$F$11))))</f>
        <v>0.0972418697922314</v>
      </c>
      <c r="H711" s="53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-2209909096.00695</v>
      </c>
      <c r="I711" s="53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-12230953.4866615</v>
      </c>
      <c r="J711" s="53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279914379.807118</v>
      </c>
      <c r="K711" s="53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627307440.501071</v>
      </c>
      <c r="L711" s="53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755675776.032573</v>
      </c>
      <c r="M711" s="53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926101843.750568</v>
      </c>
      <c r="N711" s="53" t="n">
        <f aca="false">IF(COUNT('Business Case'!B11:G11)=0,"",H711+NPV(G711,I711:M711))</f>
        <v>-410042871.464593</v>
      </c>
      <c r="P711" s="54" t="n">
        <f aca="true">RAND()</f>
        <v>0.910625729537333</v>
      </c>
      <c r="Q711" s="54" t="n">
        <f aca="true">RAND()</f>
        <v>0.0905975064827755</v>
      </c>
      <c r="R711" s="54" t="n">
        <f aca="true">RAND()</f>
        <v>0.158381302020268</v>
      </c>
      <c r="S711" s="54" t="n">
        <f aca="true">RAND()</f>
        <v>0.731819762046382</v>
      </c>
      <c r="T711" s="54" t="n">
        <f aca="true">RAND()</f>
        <v>0.819327241095518</v>
      </c>
      <c r="U711" s="54" t="n">
        <f aca="true">RAND()</f>
        <v>0.174815593625446</v>
      </c>
    </row>
    <row r="712" customFormat="false" ht="15" hidden="false" customHeight="false" outlineLevel="0" collapsed="false">
      <c r="A712" s="50" t="n">
        <v>632</v>
      </c>
      <c r="B712" s="51" t="n">
        <f aca="false">1+IF($G$6=$E$6,$F$6,IF(P712&lt;($F$6-$E$6)/($G$6-$E$6),$E$6+SQRT(P712*($G$6-$E$6)*($F$6-$E$6)),$G$6-SQRT((1-P712)*($G$6-$E$6)*($G$6-$F$6))))</f>
        <v>0.991491210022543</v>
      </c>
      <c r="C712" s="51" t="n">
        <f aca="false">1+IF($G$7=$E$7,$F$7,IF(Q712&lt;($F$7-$E$7)/($G$7-$E$7),$E$7+SQRT(Q712*($G$7-$E$7)*($F$7-$E$7)),$G$7-SQRT((1-Q712)*($G$7-$E$7)*($G$7-$F$7))))</f>
        <v>1.08217467748828</v>
      </c>
      <c r="D712" s="51" t="n">
        <f aca="false">1+IF($G$8=$E$8,$F$8,IF(R712&lt;($F$8-$E$8)/($G$8-$E$8),$E$8+SQRT(R712*($G$8-$E$8)*($F$8-$E$8)),$G$8-SQRT((1-R712)*($G$8-$E$8)*($G$8-$F$8))))</f>
        <v>1.0049093137737</v>
      </c>
      <c r="E712" s="51" t="n">
        <f aca="false">1+IF($G$9=$E$9,$F$9,IF(S712&lt;($F$9-$E$9)/($G$9-$E$9),$E$9+SQRT(S712*($G$9-$E$9)*($F$9-$E$9)),$G$9-SQRT((1-S712)*($G$9-$E$9)*($G$9-$F$9))))</f>
        <v>1.01784903334736</v>
      </c>
      <c r="F712" s="51" t="n">
        <f aca="false">1+IF($G$10=$E$10,$F$10,IF(T712&lt;($F$10-$E$10)/($G$10-$E$10),$E$10+SQRT(T712*($G$10-$E$10)*($F$10-$E$10)),$G$10-SQRT((1-T712)*($G$10-$E$10)*($G$10-$F$10))))</f>
        <v>1.02227514911625</v>
      </c>
      <c r="G712" s="52" t="n">
        <f aca="false">IF($G$11=$E$11,$F$11,IF(U712&lt;($F$11-$E$11)/($G$11-$E$11),$E$11+SQRT(U712*($G$11-$E$11)*($F$11-$E$11)),$G$11-SQRT((1-U712)*($G$11-$E$11)*($G$11-$F$11))))</f>
        <v>0.0972901260512182</v>
      </c>
      <c r="H712" s="53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-2044550298.2325</v>
      </c>
      <c r="I712" s="53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19542168.4861926</v>
      </c>
      <c r="J712" s="53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341672577.139942</v>
      </c>
      <c r="K712" s="53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714916743.249504</v>
      </c>
      <c r="L712" s="53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859375274.610045</v>
      </c>
      <c r="M712" s="53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1063324781.22782</v>
      </c>
      <c r="N712" s="53" t="n">
        <f aca="false">IF(COUNT('Business Case'!B11:G11)=0,"",H712+NPV(G712,I712:M712))</f>
        <v>59365237.516403</v>
      </c>
      <c r="P712" s="54" t="n">
        <f aca="true">RAND()</f>
        <v>0.532395115675767</v>
      </c>
      <c r="Q712" s="54" t="n">
        <f aca="true">RAND()</f>
        <v>0.912375726212965</v>
      </c>
      <c r="R712" s="54" t="n">
        <f aca="true">RAND()</f>
        <v>0.457825850198352</v>
      </c>
      <c r="S712" s="54" t="n">
        <f aca="true">RAND()</f>
        <v>0.550081245202464</v>
      </c>
      <c r="T712" s="54" t="n">
        <f aca="true">RAND()</f>
        <v>0.36827754756696</v>
      </c>
      <c r="U712" s="54" t="n">
        <f aca="true">RAND()</f>
        <v>0.177153126142166</v>
      </c>
    </row>
    <row r="713" customFormat="false" ht="15" hidden="false" customHeight="false" outlineLevel="0" collapsed="false">
      <c r="A713" s="50" t="n">
        <v>633</v>
      </c>
      <c r="B713" s="51" t="n">
        <f aca="false">1+IF($G$6=$E$6,$F$6,IF(P713&lt;($F$6-$E$6)/($G$6-$E$6),$E$6+SQRT(P713*($G$6-$E$6)*($F$6-$E$6)),$G$6-SQRT((1-P713)*($G$6-$E$6)*($G$6-$F$6))))</f>
        <v>0.997199126504194</v>
      </c>
      <c r="C713" s="51" t="n">
        <f aca="false">1+IF($G$7=$E$7,$F$7,IF(Q713&lt;($F$7-$E$7)/($G$7-$E$7),$E$7+SQRT(Q713*($G$7-$E$7)*($F$7-$E$7)),$G$7-SQRT((1-Q713)*($G$7-$E$7)*($G$7-$F$7))))</f>
        <v>1.05836788169568</v>
      </c>
      <c r="D713" s="51" t="n">
        <f aca="false">1+IF($G$8=$E$8,$F$8,IF(R713&lt;($F$8-$E$8)/($G$8-$E$8),$E$8+SQRT(R713*($G$8-$E$8)*($F$8-$E$8)),$G$8-SQRT((1-R713)*($G$8-$E$8)*($G$8-$F$8))))</f>
        <v>0.985295419344934</v>
      </c>
      <c r="E713" s="51" t="n">
        <f aca="false">1+IF($G$9=$E$9,$F$9,IF(S713&lt;($F$9-$E$9)/($G$9-$E$9),$E$9+SQRT(S713*($G$9-$E$9)*($F$9-$E$9)),$G$9-SQRT((1-S713)*($G$9-$E$9)*($G$9-$F$9))))</f>
        <v>1.02104092710477</v>
      </c>
      <c r="F713" s="51" t="n">
        <f aca="false">1+IF($G$10=$E$10,$F$10,IF(T713&lt;($F$10-$E$10)/($G$10-$E$10),$E$10+SQRT(T713*($G$10-$E$10)*($F$10-$E$10)),$G$10-SQRT((1-T713)*($G$10-$E$10)*($G$10-$F$10))))</f>
        <v>1.06241773011642</v>
      </c>
      <c r="G713" s="52" t="n">
        <f aca="false">IF($G$11=$E$11,$F$11,IF(U713&lt;($F$11-$E$11)/($G$11-$E$11),$E$11+SQRT(U713*($G$11-$E$11)*($F$11-$E$11)),$G$11-SQRT((1-U713)*($G$11-$E$11)*($G$11-$F$11))))</f>
        <v>0.108693651941479</v>
      </c>
      <c r="H713" s="53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-2124835460.23283</v>
      </c>
      <c r="I713" s="53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24472817.2781155</v>
      </c>
      <c r="J713" s="53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355091546.249473</v>
      </c>
      <c r="K713" s="53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738831161.726651</v>
      </c>
      <c r="L713" s="53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885512150.615304</v>
      </c>
      <c r="M713" s="53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1086123253.05541</v>
      </c>
      <c r="N713" s="53" t="n">
        <f aca="false">IF(COUNT('Business Case'!B11:G11)=0,"",H713+NPV(G713,I713:M713))</f>
        <v>-37307263.5300114</v>
      </c>
      <c r="P713" s="54" t="n">
        <f aca="true">RAND()</f>
        <v>0.620802618021924</v>
      </c>
      <c r="Q713" s="54" t="n">
        <f aca="true">RAND()</f>
        <v>0.840067712286908</v>
      </c>
      <c r="R713" s="54" t="n">
        <f aca="true">RAND()</f>
        <v>0.19165640411304</v>
      </c>
      <c r="S713" s="54" t="n">
        <f aca="true">RAND()</f>
        <v>0.584364320501713</v>
      </c>
      <c r="T713" s="54" t="n">
        <f aca="true">RAND()</f>
        <v>0.621422380273615</v>
      </c>
      <c r="U713" s="54" t="n">
        <f aca="true">RAND()</f>
        <v>0.786944155965964</v>
      </c>
    </row>
    <row r="714" customFormat="false" ht="15" hidden="false" customHeight="false" outlineLevel="0" collapsed="false">
      <c r="A714" s="50" t="n">
        <v>634</v>
      </c>
      <c r="B714" s="51" t="n">
        <f aca="false">1+IF($G$6=$E$6,$F$6,IF(P714&lt;($F$6-$E$6)/($G$6-$E$6),$E$6+SQRT(P714*($G$6-$E$6)*($F$6-$E$6)),$G$6-SQRT((1-P714)*($G$6-$E$6)*($G$6-$F$6))))</f>
        <v>0.941763016355618</v>
      </c>
      <c r="C714" s="51" t="n">
        <f aca="false">1+IF($G$7=$E$7,$F$7,IF(Q714&lt;($F$7-$E$7)/($G$7-$E$7),$E$7+SQRT(Q714*($G$7-$E$7)*($F$7-$E$7)),$G$7-SQRT((1-Q714)*($G$7-$E$7)*($G$7-$F$7))))</f>
        <v>0.977015056800114</v>
      </c>
      <c r="D714" s="51" t="n">
        <f aca="false">1+IF($G$8=$E$8,$F$8,IF(R714&lt;($F$8-$E$8)/($G$8-$E$8),$E$8+SQRT(R714*($G$8-$E$8)*($F$8-$E$8)),$G$8-SQRT((1-R714)*($G$8-$E$8)*($G$8-$F$8))))</f>
        <v>0.975823083562475</v>
      </c>
      <c r="E714" s="51" t="n">
        <f aca="false">1+IF($G$9=$E$9,$F$9,IF(S714&lt;($F$9-$E$9)/($G$9-$E$9),$E$9+SQRT(S714*($G$9-$E$9)*($F$9-$E$9)),$G$9-SQRT((1-S714)*($G$9-$E$9)*($G$9-$F$9))))</f>
        <v>1.00908863668671</v>
      </c>
      <c r="F714" s="51" t="n">
        <f aca="false">1+IF($G$10=$E$10,$F$10,IF(T714&lt;($F$10-$E$10)/($G$10-$E$10),$E$10+SQRT(T714*($G$10-$E$10)*($F$10-$E$10)),$G$10-SQRT((1-T714)*($G$10-$E$10)*($G$10-$F$10))))</f>
        <v>0.981581799132791</v>
      </c>
      <c r="G714" s="52" t="n">
        <f aca="false">IF($G$11=$E$11,$F$11,IF(U714&lt;($F$11-$E$11)/($G$11-$E$11),$E$11+SQRT(U714*($G$11-$E$11)*($F$11-$E$11)),$G$11-SQRT((1-U714)*($G$11-$E$11)*($G$11-$F$11))))</f>
        <v>0.106277441999384</v>
      </c>
      <c r="H714" s="53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-1963163598.26558</v>
      </c>
      <c r="I714" s="53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-23769026.1469158</v>
      </c>
      <c r="J714" s="53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241811378.732471</v>
      </c>
      <c r="K714" s="53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556470873.568497</v>
      </c>
      <c r="L714" s="53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676796906.512409</v>
      </c>
      <c r="M714" s="53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851692678.758379</v>
      </c>
      <c r="N714" s="53" t="n">
        <f aca="false">IF(COUNT('Business Case'!B11:G11)=0,"",H714+NPV(G714,I714:M714))</f>
        <v>-410201043.282856</v>
      </c>
      <c r="P714" s="54" t="n">
        <f aca="true">RAND()</f>
        <v>0.0493363417598842</v>
      </c>
      <c r="Q714" s="54" t="n">
        <f aca="true">RAND()</f>
        <v>0.447633290484964</v>
      </c>
      <c r="R714" s="54" t="n">
        <f aca="true">RAND()</f>
        <v>0.102589483796083</v>
      </c>
      <c r="S714" s="54" t="n">
        <f aca="true">RAND()</f>
        <v>0.449008268034562</v>
      </c>
      <c r="T714" s="54" t="n">
        <f aca="true">RAND()</f>
        <v>0.0797928029171188</v>
      </c>
      <c r="U714" s="54" t="n">
        <f aca="true">RAND()</f>
        <v>0.686152336532878</v>
      </c>
    </row>
    <row r="715" customFormat="false" ht="15" hidden="false" customHeight="false" outlineLevel="0" collapsed="false">
      <c r="A715" s="50" t="n">
        <v>635</v>
      </c>
      <c r="B715" s="51" t="n">
        <f aca="false">1+IF($G$6=$E$6,$F$6,IF(P715&lt;($F$6-$E$6)/($G$6-$E$6),$E$6+SQRT(P715*($G$6-$E$6)*($F$6-$E$6)),$G$6-SQRT((1-P715)*($G$6-$E$6)*($G$6-$F$6))))</f>
        <v>0.960904118960086</v>
      </c>
      <c r="C715" s="51" t="n">
        <f aca="false">1+IF($G$7=$E$7,$F$7,IF(Q715&lt;($F$7-$E$7)/($G$7-$E$7),$E$7+SQRT(Q715*($G$7-$E$7)*($F$7-$E$7)),$G$7-SQRT((1-Q715)*($G$7-$E$7)*($G$7-$F$7))))</f>
        <v>0.936981357622556</v>
      </c>
      <c r="D715" s="51" t="n">
        <f aca="false">1+IF($G$8=$E$8,$F$8,IF(R715&lt;($F$8-$E$8)/($G$8-$E$8),$E$8+SQRT(R715*($G$8-$E$8)*($F$8-$E$8)),$G$8-SQRT((1-R715)*($G$8-$E$8)*($G$8-$F$8))))</f>
        <v>1.0453985030305</v>
      </c>
      <c r="E715" s="51" t="n">
        <f aca="false">1+IF($G$9=$E$9,$F$9,IF(S715&lt;($F$9-$E$9)/($G$9-$E$9),$E$9+SQRT(S715*($G$9-$E$9)*($F$9-$E$9)),$G$9-SQRT((1-S715)*($G$9-$E$9)*($G$9-$F$9))))</f>
        <v>1.04040432479503</v>
      </c>
      <c r="F715" s="51" t="n">
        <f aca="false">1+IF($G$10=$E$10,$F$10,IF(T715&lt;($F$10-$E$10)/($G$10-$E$10),$E$10+SQRT(T715*($G$10-$E$10)*($F$10-$E$10)),$G$10-SQRT((1-T715)*($G$10-$E$10)*($G$10-$F$10))))</f>
        <v>1.04550892944919</v>
      </c>
      <c r="G715" s="52" t="n">
        <f aca="false">IF($G$11=$E$11,$F$11,IF(U715&lt;($F$11-$E$11)/($G$11-$E$11),$E$11+SQRT(U715*($G$11-$E$11)*($F$11-$E$11)),$G$11-SQRT((1-U715)*($G$11-$E$11)*($G$11-$F$11))))</f>
        <v>0.100091069369923</v>
      </c>
      <c r="H715" s="53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-2091017858.89839</v>
      </c>
      <c r="I715" s="53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-63154954.982565</v>
      </c>
      <c r="J715" s="53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172860582.874567</v>
      </c>
      <c r="K715" s="53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461151567.204158</v>
      </c>
      <c r="L715" s="53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570939483.095818</v>
      </c>
      <c r="M715" s="53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742077867.761875</v>
      </c>
      <c r="N715" s="53" t="n">
        <f aca="false">IF(COUNT('Business Case'!B11:G11)=0,"",H715+NPV(G715,I715:M715))</f>
        <v>-808794890.553898</v>
      </c>
      <c r="P715" s="54" t="n">
        <f aca="true">RAND()</f>
        <v>0.174286140406343</v>
      </c>
      <c r="Q715" s="54" t="n">
        <f aca="true">RAND()</f>
        <v>0.268055604801695</v>
      </c>
      <c r="R715" s="54" t="n">
        <f aca="true">RAND()</f>
        <v>0.884878500718231</v>
      </c>
      <c r="S715" s="54" t="n">
        <f aca="true">RAND()</f>
        <v>0.763223699790904</v>
      </c>
      <c r="T715" s="54" t="n">
        <f aca="true">RAND()</f>
        <v>0.522650182401312</v>
      </c>
      <c r="U715" s="54" t="n">
        <f aca="true">RAND()</f>
        <v>0.339390801944652</v>
      </c>
    </row>
    <row r="716" customFormat="false" ht="15" hidden="false" customHeight="false" outlineLevel="0" collapsed="false">
      <c r="A716" s="50" t="n">
        <v>636</v>
      </c>
      <c r="B716" s="51" t="n">
        <f aca="false">1+IF($G$6=$E$6,$F$6,IF(P716&lt;($F$6-$E$6)/($G$6-$E$6),$E$6+SQRT(P716*($G$6-$E$6)*($F$6-$E$6)),$G$6-SQRT((1-P716)*($G$6-$E$6)*($G$6-$F$6))))</f>
        <v>0.982617821631343</v>
      </c>
      <c r="C716" s="51" t="n">
        <f aca="false">1+IF($G$7=$E$7,$F$7,IF(Q716&lt;($F$7-$E$7)/($G$7-$E$7),$E$7+SQRT(Q716*($G$7-$E$7)*($F$7-$E$7)),$G$7-SQRT((1-Q716)*($G$7-$E$7)*($G$7-$F$7))))</f>
        <v>1.04170212377331</v>
      </c>
      <c r="D716" s="51" t="n">
        <f aca="false">1+IF($G$8=$E$8,$F$8,IF(R716&lt;($F$8-$E$8)/($G$8-$E$8),$E$8+SQRT(R716*($G$8-$E$8)*($F$8-$E$8)),$G$8-SQRT((1-R716)*($G$8-$E$8)*($G$8-$F$8))))</f>
        <v>0.998160428853945</v>
      </c>
      <c r="E716" s="51" t="n">
        <f aca="false">1+IF($G$9=$E$9,$F$9,IF(S716&lt;($F$9-$E$9)/($G$9-$E$9),$E$9+SQRT(S716*($G$9-$E$9)*($F$9-$E$9)),$G$9-SQRT((1-S716)*($G$9-$E$9)*($G$9-$F$9))))</f>
        <v>1.04743737278072</v>
      </c>
      <c r="F716" s="51" t="n">
        <f aca="false">1+IF($G$10=$E$10,$F$10,IF(T716&lt;($F$10-$E$10)/($G$10-$E$10),$E$10+SQRT(T716*($G$10-$E$10)*($F$10-$E$10)),$G$10-SQRT((1-T716)*($G$10-$E$10)*($G$10-$F$10))))</f>
        <v>1.01474961433131</v>
      </c>
      <c r="G716" s="52" t="n">
        <f aca="false">IF($G$11=$E$11,$F$11,IF(U716&lt;($F$11-$E$11)/($G$11-$E$11),$E$11+SQRT(U716*($G$11-$E$11)*($F$11-$E$11)),$G$11-SQRT((1-U716)*($G$11-$E$11)*($G$11-$F$11))))</f>
        <v>0.111059758803482</v>
      </c>
      <c r="H716" s="53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-2029499228.66261</v>
      </c>
      <c r="I716" s="53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2627171.6723218</v>
      </c>
      <c r="J716" s="53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308738067.701574</v>
      </c>
      <c r="K716" s="53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665586444.447391</v>
      </c>
      <c r="L716" s="53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802998855.466729</v>
      </c>
      <c r="M716" s="53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997563806.686127</v>
      </c>
      <c r="N716" s="53" t="n">
        <f aca="false">IF(COUNT('Business Case'!B11:G11)=0,"",H716+NPV(G716,I716:M716))</f>
        <v>-175621363.158764</v>
      </c>
      <c r="P716" s="54" t="n">
        <f aca="true">RAND()</f>
        <v>0.408436623526529</v>
      </c>
      <c r="Q716" s="54" t="n">
        <f aca="true">RAND()</f>
        <v>0.776601333424531</v>
      </c>
      <c r="R716" s="54" t="n">
        <f aca="true">RAND()</f>
        <v>0.356834908830136</v>
      </c>
      <c r="S716" s="54" t="n">
        <f aca="true">RAND()</f>
        <v>0.815811347987137</v>
      </c>
      <c r="T716" s="54" t="n">
        <f aca="true">RAND()</f>
        <v>0.313645892192003</v>
      </c>
      <c r="U716" s="54" t="n">
        <f aca="true">RAND()</f>
        <v>0.866786812246805</v>
      </c>
    </row>
    <row r="717" customFormat="false" ht="15" hidden="false" customHeight="false" outlineLevel="0" collapsed="false">
      <c r="A717" s="50" t="n">
        <v>637</v>
      </c>
      <c r="B717" s="51" t="n">
        <f aca="false">1+IF($G$6=$E$6,$F$6,IF(P717&lt;($F$6-$E$6)/($G$6-$E$6),$E$6+SQRT(P717*($G$6-$E$6)*($F$6-$E$6)),$G$6-SQRT((1-P717)*($G$6-$E$6)*($G$6-$F$6))))</f>
        <v>0.967010384330632</v>
      </c>
      <c r="C717" s="51" t="n">
        <f aca="false">1+IF($G$7=$E$7,$F$7,IF(Q717&lt;($F$7-$E$7)/($G$7-$E$7),$E$7+SQRT(Q717*($G$7-$E$7)*($F$7-$E$7)),$G$7-SQRT((1-Q717)*($G$7-$E$7)*($G$7-$F$7))))</f>
        <v>0.836170070164782</v>
      </c>
      <c r="D717" s="51" t="n">
        <f aca="false">1+IF($G$8=$E$8,$F$8,IF(R717&lt;($F$8-$E$8)/($G$8-$E$8),$E$8+SQRT(R717*($G$8-$E$8)*($F$8-$E$8)),$G$8-SQRT((1-R717)*($G$8-$E$8)*($G$8-$F$8))))</f>
        <v>1.05793368396663</v>
      </c>
      <c r="E717" s="51" t="n">
        <f aca="false">1+IF($G$9=$E$9,$F$9,IF(S717&lt;($F$9-$E$9)/($G$9-$E$9),$E$9+SQRT(S717*($G$9-$E$9)*($F$9-$E$9)),$G$9-SQRT((1-S717)*($G$9-$E$9)*($G$9-$F$9))))</f>
        <v>1.01889747321029</v>
      </c>
      <c r="F717" s="51" t="n">
        <f aca="false">1+IF($G$10=$E$10,$F$10,IF(T717&lt;($F$10-$E$10)/($G$10-$E$10),$E$10+SQRT(T717*($G$10-$E$10)*($F$10-$E$10)),$G$10-SQRT((1-T717)*($G$10-$E$10)*($G$10-$F$10))))</f>
        <v>1.06242415091999</v>
      </c>
      <c r="G717" s="52" t="n">
        <f aca="false">IF($G$11=$E$11,$F$11,IF(U717&lt;($F$11-$E$11)/($G$11-$E$11),$E$11+SQRT(U717*($G$11-$E$11)*($F$11-$E$11)),$G$11-SQRT((1-U717)*($G$11-$E$11)*($G$11-$F$11))))</f>
        <v>0.10241590624409</v>
      </c>
      <c r="H717" s="53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-2124848301.83998</v>
      </c>
      <c r="I717" s="53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-83608063.1178131</v>
      </c>
      <c r="J717" s="53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125830563.251952</v>
      </c>
      <c r="K717" s="53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388390397.167716</v>
      </c>
      <c r="L717" s="53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486147975.094355</v>
      </c>
      <c r="M717" s="53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639843838.679634</v>
      </c>
      <c r="N717" s="53" t="n">
        <f aca="false">IF(COUNT('Business Case'!B11:G11)=0,"",H717+NPV(G717,I717:M717))</f>
        <v>-1085159979.16801</v>
      </c>
      <c r="P717" s="54" t="n">
        <f aca="true">RAND()</f>
        <v>0.230205857803515</v>
      </c>
      <c r="Q717" s="54" t="n">
        <f aca="true">RAND()</f>
        <v>0.0186896282246461</v>
      </c>
      <c r="R717" s="54" t="n">
        <f aca="true">RAND()</f>
        <v>0.953180547761093</v>
      </c>
      <c r="S717" s="54" t="n">
        <f aca="true">RAND()</f>
        <v>0.561492009888261</v>
      </c>
      <c r="T717" s="54" t="n">
        <f aca="true">RAND()</f>
        <v>0.621457714998293</v>
      </c>
      <c r="U717" s="54" t="n">
        <f aca="true">RAND()</f>
        <v>0.4846660779723</v>
      </c>
    </row>
    <row r="718" customFormat="false" ht="15" hidden="false" customHeight="false" outlineLevel="0" collapsed="false">
      <c r="A718" s="50" t="n">
        <v>638</v>
      </c>
      <c r="B718" s="51" t="n">
        <f aca="false">1+IF($G$6=$E$6,$F$6,IF(P718&lt;($F$6-$E$6)/($G$6-$E$6),$E$6+SQRT(P718*($G$6-$E$6)*($F$6-$E$6)),$G$6-SQRT((1-P718)*($G$6-$E$6)*($G$6-$F$6))))</f>
        <v>1.0215717663937</v>
      </c>
      <c r="C718" s="51" t="n">
        <f aca="false">1+IF($G$7=$E$7,$F$7,IF(Q718&lt;($F$7-$E$7)/($G$7-$E$7),$E$7+SQRT(Q718*($G$7-$E$7)*($F$7-$E$7)),$G$7-SQRT((1-Q718)*($G$7-$E$7)*($G$7-$F$7))))</f>
        <v>1.1065460841179</v>
      </c>
      <c r="D718" s="51" t="n">
        <f aca="false">1+IF($G$8=$E$8,$F$8,IF(R718&lt;($F$8-$E$8)/($G$8-$E$8),$E$8+SQRT(R718*($G$8-$E$8)*($F$8-$E$8)),$G$8-SQRT((1-R718)*($G$8-$E$8)*($G$8-$F$8))))</f>
        <v>0.996317145339126</v>
      </c>
      <c r="E718" s="51" t="n">
        <f aca="false">1+IF($G$9=$E$9,$F$9,IF(S718&lt;($F$9-$E$9)/($G$9-$E$9),$E$9+SQRT(S718*($G$9-$E$9)*($F$9-$E$9)),$G$9-SQRT((1-S718)*($G$9-$E$9)*($G$9-$F$9))))</f>
        <v>1.00564389386754</v>
      </c>
      <c r="F718" s="51" t="n">
        <f aca="false">1+IF($G$10=$E$10,$F$10,IF(T718&lt;($F$10-$E$10)/($G$10-$E$10),$E$10+SQRT(T718*($G$10-$E$10)*($F$10-$E$10)),$G$10-SQRT((1-T718)*($G$10-$E$10)*($G$10-$F$10))))</f>
        <v>0.999421289200891</v>
      </c>
      <c r="G718" s="52" t="n">
        <f aca="false">IF($G$11=$E$11,$F$11,IF(U718&lt;($F$11-$E$11)/($G$11-$E$11),$E$11+SQRT(U718*($G$11-$E$11)*($F$11-$E$11)),$G$11-SQRT((1-U718)*($G$11-$E$11)*($G$11-$F$11))))</f>
        <v>0.10203783640708</v>
      </c>
      <c r="H718" s="53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-1998842578.40178</v>
      </c>
      <c r="I718" s="53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59969950.0731088</v>
      </c>
      <c r="J718" s="53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421485368.539145</v>
      </c>
      <c r="K718" s="53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832971851.465226</v>
      </c>
      <c r="L718" s="53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992544176.130488</v>
      </c>
      <c r="M718" s="53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1207413694.6017</v>
      </c>
      <c r="N718" s="53" t="n">
        <f aca="false">IF(COUNT('Business Case'!B11:G11)=0,"",H718+NPV(G718,I718:M718))</f>
        <v>440704931.09236</v>
      </c>
      <c r="P718" s="54" t="n">
        <f aca="true">RAND()</f>
        <v>0.929250042948254</v>
      </c>
      <c r="Q718" s="54" t="n">
        <f aca="true">RAND()</f>
        <v>0.964033470371649</v>
      </c>
      <c r="R718" s="54" t="n">
        <f aca="true">RAND()</f>
        <v>0.330042761902418</v>
      </c>
      <c r="S718" s="54" t="n">
        <f aca="true">RAND()</f>
        <v>0.40646168236797</v>
      </c>
      <c r="T718" s="54" t="n">
        <f aca="true">RAND()</f>
        <v>0.195397106102244</v>
      </c>
      <c r="U718" s="54" t="n">
        <f aca="true">RAND()</f>
        <v>0.462267798435276</v>
      </c>
    </row>
    <row r="719" customFormat="false" ht="15" hidden="false" customHeight="false" outlineLevel="0" collapsed="false">
      <c r="A719" s="50" t="n">
        <v>639</v>
      </c>
      <c r="B719" s="51" t="n">
        <f aca="false">1+IF($G$6=$E$6,$F$6,IF(P719&lt;($F$6-$E$6)/($G$6-$E$6),$E$6+SQRT(P719*($G$6-$E$6)*($F$6-$E$6)),$G$6-SQRT((1-P719)*($G$6-$E$6)*($G$6-$F$6))))</f>
        <v>1.0052668951433</v>
      </c>
      <c r="C719" s="51" t="n">
        <f aca="false">1+IF($G$7=$E$7,$F$7,IF(Q719&lt;($F$7-$E$7)/($G$7-$E$7),$E$7+SQRT(Q719*($G$7-$E$7)*($F$7-$E$7)),$G$7-SQRT((1-Q719)*($G$7-$E$7)*($G$7-$F$7))))</f>
        <v>0.945801602097081</v>
      </c>
      <c r="D719" s="51" t="n">
        <f aca="false">1+IF($G$8=$E$8,$F$8,IF(R719&lt;($F$8-$E$8)/($G$8-$E$8),$E$8+SQRT(R719*($G$8-$E$8)*($F$8-$E$8)),$G$8-SQRT((1-R719)*($G$8-$E$8)*($G$8-$F$8))))</f>
        <v>0.975182331683143</v>
      </c>
      <c r="E719" s="51" t="n">
        <f aca="false">1+IF($G$9=$E$9,$F$9,IF(S719&lt;($F$9-$E$9)/($G$9-$E$9),$E$9+SQRT(S719*($G$9-$E$9)*($F$9-$E$9)),$G$9-SQRT((1-S719)*($G$9-$E$9)*($G$9-$F$9))))</f>
        <v>0.977201539752408</v>
      </c>
      <c r="F719" s="51" t="n">
        <f aca="false">1+IF($G$10=$E$10,$F$10,IF(T719&lt;($F$10-$E$10)/($G$10-$E$10),$E$10+SQRT(T719*($G$10-$E$10)*($F$10-$E$10)),$G$10-SQRT((1-T719)*($G$10-$E$10)*($G$10-$F$10))))</f>
        <v>1.10248626635022</v>
      </c>
      <c r="G719" s="52" t="n">
        <f aca="false">IF($G$11=$E$11,$F$11,IF(U719&lt;($F$11-$E$11)/($G$11-$E$11),$E$11+SQRT(U719*($G$11-$E$11)*($F$11-$E$11)),$G$11-SQRT((1-U719)*($G$11-$E$11)*($G$11-$F$11))))</f>
        <v>0.117567315072414</v>
      </c>
      <c r="H719" s="53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-2204972532.70043</v>
      </c>
      <c r="I719" s="53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8105820.08795098</v>
      </c>
      <c r="J719" s="53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314706918.55533</v>
      </c>
      <c r="K719" s="53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676432330.34022</v>
      </c>
      <c r="L719" s="53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811491758.357089</v>
      </c>
      <c r="M719" s="53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992216598.593007</v>
      </c>
      <c r="N719" s="53" t="n">
        <f aca="false">IF(COUNT('Business Case'!B11:G11)=0,"",H719+NPV(G719,I719:M719))</f>
        <v>-371733869.709317</v>
      </c>
      <c r="P719" s="54" t="n">
        <f aca="true">RAND()</f>
        <v>0.748669047294462</v>
      </c>
      <c r="Q719" s="54" t="n">
        <f aca="true">RAND()</f>
        <v>0.303687245343937</v>
      </c>
      <c r="R719" s="54" t="n">
        <f aca="true">RAND()</f>
        <v>0.0975615121538222</v>
      </c>
      <c r="S719" s="54" t="n">
        <f aca="true">RAND()</f>
        <v>0.0986565019869138</v>
      </c>
      <c r="T719" s="54" t="n">
        <f aca="true">RAND()</f>
        <v>0.80982143499358</v>
      </c>
      <c r="U719" s="54" t="n">
        <f aca="true">RAND()</f>
        <v>0.990136740071826</v>
      </c>
    </row>
    <row r="720" customFormat="false" ht="15" hidden="false" customHeight="false" outlineLevel="0" collapsed="false">
      <c r="A720" s="50" t="n">
        <v>640</v>
      </c>
      <c r="B720" s="51" t="n">
        <f aca="false">1+IF($G$6=$E$6,$F$6,IF(P720&lt;($F$6-$E$6)/($G$6-$E$6),$E$6+SQRT(P720*($G$6-$E$6)*($F$6-$E$6)),$G$6-SQRT((1-P720)*($G$6-$E$6)*($G$6-$F$6))))</f>
        <v>1.01760874696956</v>
      </c>
      <c r="C720" s="51" t="n">
        <f aca="false">1+IF($G$7=$E$7,$F$7,IF(Q720&lt;($F$7-$E$7)/($G$7-$E$7),$E$7+SQRT(Q720*($G$7-$E$7)*($F$7-$E$7)),$G$7-SQRT((1-Q720)*($G$7-$E$7)*($G$7-$F$7))))</f>
        <v>0.8437290532898</v>
      </c>
      <c r="D720" s="51" t="n">
        <f aca="false">1+IF($G$8=$E$8,$F$8,IF(R720&lt;($F$8-$E$8)/($G$8-$E$8),$E$8+SQRT(R720*($G$8-$E$8)*($F$8-$E$8)),$G$8-SQRT((1-R720)*($G$8-$E$8)*($G$8-$F$8))))</f>
        <v>0.998730861089899</v>
      </c>
      <c r="E720" s="51" t="n">
        <f aca="false">1+IF($G$9=$E$9,$F$9,IF(S720&lt;($F$9-$E$9)/($G$9-$E$9),$E$9+SQRT(S720*($G$9-$E$9)*($F$9-$E$9)),$G$9-SQRT((1-S720)*($G$9-$E$9)*($G$9-$F$9))))</f>
        <v>1.07414961441182</v>
      </c>
      <c r="F720" s="51" t="n">
        <f aca="false">1+IF($G$10=$E$10,$F$10,IF(T720&lt;($F$10-$E$10)/($G$10-$E$10),$E$10+SQRT(T720*($G$10-$E$10)*($F$10-$E$10)),$G$10-SQRT((1-T720)*($G$10-$E$10)*($G$10-$F$10))))</f>
        <v>1.14108433381009</v>
      </c>
      <c r="G720" s="52" t="n">
        <f aca="false">IF($G$11=$E$11,$F$11,IF(U720&lt;($F$11-$E$11)/($G$11-$E$11),$E$11+SQRT(U720*($G$11-$E$11)*($F$11-$E$11)),$G$11-SQRT((1-U720)*($G$11-$E$11)*($G$11-$F$11))))</f>
        <v>0.107123138660608</v>
      </c>
      <c r="H720" s="53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-2282168667.62019</v>
      </c>
      <c r="I720" s="53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-39491413.1852763</v>
      </c>
      <c r="J720" s="53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232378783.773869</v>
      </c>
      <c r="K720" s="53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561303197.423518</v>
      </c>
      <c r="L720" s="53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681599330.805933</v>
      </c>
      <c r="M720" s="53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844799369.984119</v>
      </c>
      <c r="N720" s="53" t="n">
        <f aca="false">IF(COUNT('Business Case'!B11:G11)=0,"",H720+NPV(G720,I720:M720))</f>
        <v>-753055240.151367</v>
      </c>
      <c r="P720" s="54" t="n">
        <f aca="true">RAND()</f>
        <v>0.895548289109788</v>
      </c>
      <c r="Q720" s="54" t="n">
        <f aca="true">RAND()</f>
        <v>0.0273175728803172</v>
      </c>
      <c r="R720" s="54" t="n">
        <f aca="true">RAND()</f>
        <v>0.365337972702006</v>
      </c>
      <c r="S720" s="54" t="n">
        <f aca="true">RAND()</f>
        <v>0.955450504329501</v>
      </c>
      <c r="T720" s="54" t="n">
        <f aca="true">RAND()</f>
        <v>0.930578885547994</v>
      </c>
      <c r="U720" s="54" t="n">
        <f aca="true">RAND()</f>
        <v>0.723644070076794</v>
      </c>
    </row>
    <row r="721" customFormat="false" ht="15" hidden="false" customHeight="false" outlineLevel="0" collapsed="false">
      <c r="A721" s="50" t="n">
        <v>641</v>
      </c>
      <c r="B721" s="51" t="n">
        <f aca="false">1+IF($G$6=$E$6,$F$6,IF(P721&lt;($F$6-$E$6)/($G$6-$E$6),$E$6+SQRT(P721*($G$6-$E$6)*($F$6-$E$6)),$G$6-SQRT((1-P721)*($G$6-$E$6)*($G$6-$F$6))))</f>
        <v>0.993179352718368</v>
      </c>
      <c r="C721" s="51" t="n">
        <f aca="false">1+IF($G$7=$E$7,$F$7,IF(Q721&lt;($F$7-$E$7)/($G$7-$E$7),$E$7+SQRT(Q721*($G$7-$E$7)*($F$7-$E$7)),$G$7-SQRT((1-Q721)*($G$7-$E$7)*($G$7-$F$7))))</f>
        <v>0.952066493212502</v>
      </c>
      <c r="D721" s="51" t="n">
        <f aca="false">1+IF($G$8=$E$8,$F$8,IF(R721&lt;($F$8-$E$8)/($G$8-$E$8),$E$8+SQRT(R721*($G$8-$E$8)*($F$8-$E$8)),$G$8-SQRT((1-R721)*($G$8-$E$8)*($G$8-$F$8))))</f>
        <v>0.993280354875962</v>
      </c>
      <c r="E721" s="51" t="n">
        <f aca="false">1+IF($G$9=$E$9,$F$9,IF(S721&lt;($F$9-$E$9)/($G$9-$E$9),$E$9+SQRT(S721*($G$9-$E$9)*($F$9-$E$9)),$G$9-SQRT((1-S721)*($G$9-$E$9)*($G$9-$F$9))))</f>
        <v>1.00134784960835</v>
      </c>
      <c r="F721" s="51" t="n">
        <f aca="false">1+IF($G$10=$E$10,$F$10,IF(T721&lt;($F$10-$E$10)/($G$10-$E$10),$E$10+SQRT(T721*($G$10-$E$10)*($F$10-$E$10)),$G$10-SQRT((1-T721)*($G$10-$E$10)*($G$10-$F$10))))</f>
        <v>1.03876655336077</v>
      </c>
      <c r="G721" s="52" t="n">
        <f aca="false">IF($G$11=$E$11,$F$11,IF(U721&lt;($F$11-$E$11)/($G$11-$E$11),$E$11+SQRT(U721*($G$11-$E$11)*($F$11-$E$11)),$G$11-SQRT((1-U721)*($G$11-$E$11)*($G$11-$F$11))))</f>
        <v>0.0920146952849892</v>
      </c>
      <c r="H721" s="53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-2077533106.72154</v>
      </c>
      <c r="I721" s="53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-4901467.67753395</v>
      </c>
      <c r="J721" s="53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285483877.290589</v>
      </c>
      <c r="K721" s="53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627807549.926751</v>
      </c>
      <c r="L721" s="53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757281660.312974</v>
      </c>
      <c r="M721" s="53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937016134.995644</v>
      </c>
      <c r="N721" s="53" t="n">
        <f aca="false">IF(COUNT('Business Case'!B11:G11)=0,"",H721+NPV(G721,I721:M721))</f>
        <v>-224588520.846346</v>
      </c>
      <c r="P721" s="54" t="n">
        <f aca="true">RAND()</f>
        <v>0.557835173362431</v>
      </c>
      <c r="Q721" s="54" t="n">
        <f aca="true">RAND()</f>
        <v>0.330345976542112</v>
      </c>
      <c r="R721" s="54" t="n">
        <f aca="true">RAND()</f>
        <v>0.288182941259879</v>
      </c>
      <c r="S721" s="54" t="n">
        <f aca="true">RAND()</f>
        <v>0.351183548206836</v>
      </c>
      <c r="T721" s="54" t="n">
        <f aca="true">RAND()</f>
        <v>0.480075513696689</v>
      </c>
      <c r="U721" s="54" t="n">
        <f aca="true">RAND()</f>
        <v>0.0135299903045262</v>
      </c>
    </row>
    <row r="722" customFormat="false" ht="15" hidden="false" customHeight="false" outlineLevel="0" collapsed="false">
      <c r="A722" s="50" t="n">
        <v>642</v>
      </c>
      <c r="B722" s="51" t="n">
        <f aca="false">1+IF($G$6=$E$6,$F$6,IF(P722&lt;($F$6-$E$6)/($G$6-$E$6),$E$6+SQRT(P722*($G$6-$E$6)*($F$6-$E$6)),$G$6-SQRT((1-P722)*($G$6-$E$6)*($G$6-$F$6))))</f>
        <v>1.00765198151706</v>
      </c>
      <c r="C722" s="51" t="n">
        <f aca="false">1+IF($G$7=$E$7,$F$7,IF(Q722&lt;($F$7-$E$7)/($G$7-$E$7),$E$7+SQRT(Q722*($G$7-$E$7)*($F$7-$E$7)),$G$7-SQRT((1-Q722)*($G$7-$E$7)*($G$7-$F$7))))</f>
        <v>0.874660516579813</v>
      </c>
      <c r="D722" s="51" t="n">
        <f aca="false">1+IF($G$8=$E$8,$F$8,IF(R722&lt;($F$8-$E$8)/($G$8-$E$8),$E$8+SQRT(R722*($G$8-$E$8)*($F$8-$E$8)),$G$8-SQRT((1-R722)*($G$8-$E$8)*($G$8-$F$8))))</f>
        <v>0.997823432660924</v>
      </c>
      <c r="E722" s="51" t="n">
        <f aca="false">1+IF($G$9=$E$9,$F$9,IF(S722&lt;($F$9-$E$9)/($G$9-$E$9),$E$9+SQRT(S722*($G$9-$E$9)*($F$9-$E$9)),$G$9-SQRT((1-S722)*($G$9-$E$9)*($G$9-$F$9))))</f>
        <v>1.07355101830784</v>
      </c>
      <c r="F722" s="51" t="n">
        <f aca="false">1+IF($G$10=$E$10,$F$10,IF(T722&lt;($F$10-$E$10)/($G$10-$E$10),$E$10+SQRT(T722*($G$10-$E$10)*($F$10-$E$10)),$G$10-SQRT((1-T722)*($G$10-$E$10)*($G$10-$F$10))))</f>
        <v>0.969824917722696</v>
      </c>
      <c r="G722" s="52" t="n">
        <f aca="false">IF($G$11=$E$11,$F$11,IF(U722&lt;($F$11-$E$11)/($G$11-$E$11),$E$11+SQRT(U722*($G$11-$E$11)*($F$11-$E$11)),$G$11-SQRT((1-U722)*($G$11-$E$11)*($G$11-$F$11))))</f>
        <v>0.104267037441886</v>
      </c>
      <c r="H722" s="53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-1939649835.44539</v>
      </c>
      <c r="I722" s="53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-20220552.8271628</v>
      </c>
      <c r="J722" s="53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254889701.31658</v>
      </c>
      <c r="K722" s="53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578491201.346458</v>
      </c>
      <c r="L722" s="53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700654192.991214</v>
      </c>
      <c r="M722" s="53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868181847.773841</v>
      </c>
      <c r="N722" s="53" t="n">
        <f aca="false">IF(COUNT('Business Case'!B11:G11)=0,"",H722+NPV(G722,I722:M722))</f>
        <v>-319383529.671865</v>
      </c>
      <c r="P722" s="54" t="n">
        <f aca="true">RAND()</f>
        <v>0.782001187547351</v>
      </c>
      <c r="Q722" s="54" t="n">
        <f aca="true">RAND()</f>
        <v>0.0796313247994926</v>
      </c>
      <c r="R722" s="54" t="n">
        <f aca="true">RAND()</f>
        <v>0.351858570995994</v>
      </c>
      <c r="S722" s="54" t="n">
        <f aca="true">RAND()</f>
        <v>0.953363424496505</v>
      </c>
      <c r="T722" s="54" t="n">
        <f aca="true">RAND()</f>
        <v>0.0314421890169343</v>
      </c>
      <c r="U722" s="54" t="n">
        <f aca="true">RAND()</f>
        <v>0.58745648190828</v>
      </c>
    </row>
    <row r="723" customFormat="false" ht="15" hidden="false" customHeight="false" outlineLevel="0" collapsed="false">
      <c r="A723" s="50" t="n">
        <v>643</v>
      </c>
      <c r="B723" s="51" t="n">
        <f aca="false">1+IF($G$6=$E$6,$F$6,IF(P723&lt;($F$6-$E$6)/($G$6-$E$6),$E$6+SQRT(P723*($G$6-$E$6)*($F$6-$E$6)),$G$6-SQRT((1-P723)*($G$6-$E$6)*($G$6-$F$6))))</f>
        <v>0.962601272981286</v>
      </c>
      <c r="C723" s="51" t="n">
        <f aca="false">1+IF($G$7=$E$7,$F$7,IF(Q723&lt;($F$7-$E$7)/($G$7-$E$7),$E$7+SQRT(Q723*($G$7-$E$7)*($F$7-$E$7)),$G$7-SQRT((1-Q723)*($G$7-$E$7)*($G$7-$F$7))))</f>
        <v>0.950436763757439</v>
      </c>
      <c r="D723" s="51" t="n">
        <f aca="false">1+IF($G$8=$E$8,$F$8,IF(R723&lt;($F$8-$E$8)/($G$8-$E$8),$E$8+SQRT(R723*($G$8-$E$8)*($F$8-$E$8)),$G$8-SQRT((1-R723)*($G$8-$E$8)*($G$8-$F$8))))</f>
        <v>1.04395679564811</v>
      </c>
      <c r="E723" s="51" t="n">
        <f aca="false">1+IF($G$9=$E$9,$F$9,IF(S723&lt;($F$9-$E$9)/($G$9-$E$9),$E$9+SQRT(S723*($G$9-$E$9)*($F$9-$E$9)),$G$9-SQRT((1-S723)*($G$9-$E$9)*($G$9-$F$9))))</f>
        <v>0.998213844472986</v>
      </c>
      <c r="F723" s="51" t="n">
        <f aca="false">1+IF($G$10=$E$10,$F$10,IF(T723&lt;($F$10-$E$10)/($G$10-$E$10),$E$10+SQRT(T723*($G$10-$E$10)*($F$10-$E$10)),$G$10-SQRT((1-T723)*($G$10-$E$10)*($G$10-$F$10))))</f>
        <v>1.04479264306939</v>
      </c>
      <c r="G723" s="52" t="n">
        <f aca="false">IF($G$11=$E$11,$F$11,IF(U723&lt;($F$11-$E$11)/($G$11-$E$11),$E$11+SQRT(U723*($G$11-$E$11)*($F$11-$E$11)),$G$11-SQRT((1-U723)*($G$11-$E$11)*($G$11-$F$11))))</f>
        <v>0.0960693892338427</v>
      </c>
      <c r="H723" s="53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-2089585286.13879</v>
      </c>
      <c r="I723" s="53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-52425792.2684223</v>
      </c>
      <c r="J723" s="53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189001671.003383</v>
      </c>
      <c r="K723" s="53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482668766.428659</v>
      </c>
      <c r="L723" s="53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594763242.55208</v>
      </c>
      <c r="M723" s="53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768665845.232588</v>
      </c>
      <c r="N723" s="53" t="n">
        <f aca="false">IF(COUNT('Business Case'!B11:G11)=0,"",H723+NPV(G723,I723:M723))</f>
        <v>-715552089.423457</v>
      </c>
      <c r="P723" s="54" t="n">
        <f aca="true">RAND()</f>
        <v>0.189048797877716</v>
      </c>
      <c r="Q723" s="54" t="n">
        <f aca="true">RAND()</f>
        <v>0.323303141283021</v>
      </c>
      <c r="R723" s="54" t="n">
        <f aca="true">RAND()</f>
        <v>0.875085328850775</v>
      </c>
      <c r="S723" s="54" t="n">
        <f aca="true">RAND()</f>
        <v>0.309943306515371</v>
      </c>
      <c r="T723" s="54" t="n">
        <f aca="true">RAND()</f>
        <v>0.518213527092311</v>
      </c>
      <c r="U723" s="54" t="n">
        <f aca="true">RAND()</f>
        <v>0.122791618906287</v>
      </c>
    </row>
    <row r="724" customFormat="false" ht="15" hidden="false" customHeight="false" outlineLevel="0" collapsed="false">
      <c r="A724" s="50" t="n">
        <v>644</v>
      </c>
      <c r="B724" s="51" t="n">
        <f aca="false">1+IF($G$6=$E$6,$F$6,IF(P724&lt;($F$6-$E$6)/($G$6-$E$6),$E$6+SQRT(P724*($G$6-$E$6)*($F$6-$E$6)),$G$6-SQRT((1-P724)*($G$6-$E$6)*($G$6-$F$6))))</f>
        <v>1.01045287862259</v>
      </c>
      <c r="C724" s="51" t="n">
        <f aca="false">1+IF($G$7=$E$7,$F$7,IF(Q724&lt;($F$7-$E$7)/($G$7-$E$7),$E$7+SQRT(Q724*($G$7-$E$7)*($F$7-$E$7)),$G$7-SQRT((1-Q724)*($G$7-$E$7)*($G$7-$F$7))))</f>
        <v>1.0272188614476</v>
      </c>
      <c r="D724" s="51" t="n">
        <f aca="false">1+IF($G$8=$E$8,$F$8,IF(R724&lt;($F$8-$E$8)/($G$8-$E$8),$E$8+SQRT(R724*($G$8-$E$8)*($F$8-$E$8)),$G$8-SQRT((1-R724)*($G$8-$E$8)*($G$8-$F$8))))</f>
        <v>0.9750684404589</v>
      </c>
      <c r="E724" s="51" t="n">
        <f aca="false">1+IF($G$9=$E$9,$F$9,IF(S724&lt;($F$9-$E$9)/($G$9-$E$9),$E$9+SQRT(S724*($G$9-$E$9)*($F$9-$E$9)),$G$9-SQRT((1-S724)*($G$9-$E$9)*($G$9-$F$9))))</f>
        <v>0.987063910305616</v>
      </c>
      <c r="F724" s="51" t="n">
        <f aca="false">1+IF($G$10=$E$10,$F$10,IF(T724&lt;($F$10-$E$10)/($G$10-$E$10),$E$10+SQRT(T724*($G$10-$E$10)*($F$10-$E$10)),$G$10-SQRT((1-T724)*($G$10-$E$10)*($G$10-$F$10))))</f>
        <v>1.04907794150613</v>
      </c>
      <c r="G724" s="52" t="n">
        <f aca="false">IF($G$11=$E$11,$F$11,IF(U724&lt;($F$11-$E$11)/($G$11-$E$11),$E$11+SQRT(U724*($G$11-$E$11)*($F$11-$E$11)),$G$11-SQRT((1-U724)*($G$11-$E$11)*($G$11-$F$11))))</f>
        <v>0.103290070563522</v>
      </c>
      <c r="H724" s="53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-2098155883.01227</v>
      </c>
      <c r="I724" s="53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38341449.398713</v>
      </c>
      <c r="J724" s="53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375758833.279921</v>
      </c>
      <c r="K724" s="53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765630114.236436</v>
      </c>
      <c r="L724" s="53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913974343.721121</v>
      </c>
      <c r="M724" s="53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1111269068.77134</v>
      </c>
      <c r="N724" s="53" t="n">
        <f aca="false">IF(COUNT('Business Case'!B11:G11)=0,"",H724+NPV(G724,I724:M724))</f>
        <v>112016981.898012</v>
      </c>
      <c r="P724" s="54" t="n">
        <f aca="true">RAND()</f>
        <v>0.81811825381424</v>
      </c>
      <c r="Q724" s="54" t="n">
        <f aca="true">RAND()</f>
        <v>0.712853181252865</v>
      </c>
      <c r="R724" s="54" t="n">
        <f aca="true">RAND()</f>
        <v>0.0966810318525265</v>
      </c>
      <c r="S724" s="54" t="n">
        <f aca="true">RAND()</f>
        <v>0.183164459619034</v>
      </c>
      <c r="T724" s="54" t="n">
        <f aca="true">RAND()</f>
        <v>0.544450645199486</v>
      </c>
      <c r="U724" s="54" t="n">
        <f aca="true">RAND()</f>
        <v>0.534630430379883</v>
      </c>
    </row>
    <row r="725" customFormat="false" ht="15" hidden="false" customHeight="false" outlineLevel="0" collapsed="false">
      <c r="A725" s="50" t="n">
        <v>645</v>
      </c>
      <c r="B725" s="51" t="n">
        <f aca="false">1+IF($G$6=$E$6,$F$6,IF(P725&lt;($F$6-$E$6)/($G$6-$E$6),$E$6+SQRT(P725*($G$6-$E$6)*($F$6-$E$6)),$G$6-SQRT((1-P725)*($G$6-$E$6)*($G$6-$F$6))))</f>
        <v>0.999878778117592</v>
      </c>
      <c r="C725" s="51" t="n">
        <f aca="false">1+IF($G$7=$E$7,$F$7,IF(Q725&lt;($F$7-$E$7)/($G$7-$E$7),$E$7+SQRT(Q725*($G$7-$E$7)*($F$7-$E$7)),$G$7-SQRT((1-Q725)*($G$7-$E$7)*($G$7-$F$7))))</f>
        <v>0.970359969192118</v>
      </c>
      <c r="D725" s="51" t="n">
        <f aca="false">1+IF($G$8=$E$8,$F$8,IF(R725&lt;($F$8-$E$8)/($G$8-$E$8),$E$8+SQRT(R725*($G$8-$E$8)*($F$8-$E$8)),$G$8-SQRT((1-R725)*($G$8-$E$8)*($G$8-$F$8))))</f>
        <v>1.0300546669147</v>
      </c>
      <c r="E725" s="51" t="n">
        <f aca="false">1+IF($G$9=$E$9,$F$9,IF(S725&lt;($F$9-$E$9)/($G$9-$E$9),$E$9+SQRT(S725*($G$9-$E$9)*($F$9-$E$9)),$G$9-SQRT((1-S725)*($G$9-$E$9)*($G$9-$F$9))))</f>
        <v>1.00330734327256</v>
      </c>
      <c r="F725" s="51" t="n">
        <f aca="false">1+IF($G$10=$E$10,$F$10,IF(T725&lt;($F$10-$E$10)/($G$10-$E$10),$E$10+SQRT(T725*($G$10-$E$10)*($F$10-$E$10)),$G$10-SQRT((1-T725)*($G$10-$E$10)*($G$10-$F$10))))</f>
        <v>0.981595688269628</v>
      </c>
      <c r="G725" s="52" t="n">
        <f aca="false">IF($G$11=$E$11,$F$11,IF(U725&lt;($F$11-$E$11)/($G$11-$E$11),$E$11+SQRT(U725*($G$11-$E$11)*($F$11-$E$11)),$G$11-SQRT((1-U725)*($G$11-$E$11)*($G$11-$F$11))))</f>
        <v>0.103187668981796</v>
      </c>
      <c r="H725" s="53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-1963191376.53926</v>
      </c>
      <c r="I725" s="53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-8105133.08405168</v>
      </c>
      <c r="J725" s="53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274916969.794927</v>
      </c>
      <c r="K725" s="53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607018857.087386</v>
      </c>
      <c r="L725" s="53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734891133.328852</v>
      </c>
      <c r="M725" s="53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919314797.378785</v>
      </c>
      <c r="N725" s="53" t="n">
        <f aca="false">IF(COUNT('Business Case'!B11:G11)=0,"",H725+NPV(G725,I725:M725))</f>
        <v>-233738228.959128</v>
      </c>
      <c r="P725" s="54" t="n">
        <f aca="true">RAND()</f>
        <v>0.664647832662441</v>
      </c>
      <c r="Q725" s="54" t="n">
        <f aca="true">RAND()</f>
        <v>0.414607415759133</v>
      </c>
      <c r="R725" s="54" t="n">
        <f aca="true">RAND()</f>
        <v>0.76014074067293</v>
      </c>
      <c r="S725" s="54" t="n">
        <f aca="true">RAND()</f>
        <v>0.376702008999283</v>
      </c>
      <c r="T725" s="54" t="n">
        <f aca="true">RAND()</f>
        <v>0.0798630013785209</v>
      </c>
      <c r="U725" s="54" t="n">
        <f aca="true">RAND()</f>
        <v>0.528909209557207</v>
      </c>
    </row>
    <row r="726" customFormat="false" ht="15" hidden="false" customHeight="false" outlineLevel="0" collapsed="false">
      <c r="A726" s="50" t="n">
        <v>646</v>
      </c>
      <c r="B726" s="51" t="n">
        <f aca="false">1+IF($G$6=$E$6,$F$6,IF(P726&lt;($F$6-$E$6)/($G$6-$E$6),$E$6+SQRT(P726*($G$6-$E$6)*($F$6-$E$6)),$G$6-SQRT((1-P726)*($G$6-$E$6)*($G$6-$F$6))))</f>
        <v>0.971175304529452</v>
      </c>
      <c r="C726" s="51" t="n">
        <f aca="false">1+IF($G$7=$E$7,$F$7,IF(Q726&lt;($F$7-$E$7)/($G$7-$E$7),$E$7+SQRT(Q726*($G$7-$E$7)*($F$7-$E$7)),$G$7-SQRT((1-Q726)*($G$7-$E$7)*($G$7-$F$7))))</f>
        <v>0.963150051125747</v>
      </c>
      <c r="D726" s="51" t="n">
        <f aca="false">1+IF($G$8=$E$8,$F$8,IF(R726&lt;($F$8-$E$8)/($G$8-$E$8),$E$8+SQRT(R726*($G$8-$E$8)*($F$8-$E$8)),$G$8-SQRT((1-R726)*($G$8-$E$8)*($G$8-$F$8))))</f>
        <v>0.986776258460772</v>
      </c>
      <c r="E726" s="51" t="n">
        <f aca="false">1+IF($G$9=$E$9,$F$9,IF(S726&lt;($F$9-$E$9)/($G$9-$E$9),$E$9+SQRT(S726*($G$9-$E$9)*($F$9-$E$9)),$G$9-SQRT((1-S726)*($G$9-$E$9)*($G$9-$F$9))))</f>
        <v>1.03219396066569</v>
      </c>
      <c r="F726" s="51" t="n">
        <f aca="false">1+IF($G$10=$E$10,$F$10,IF(T726&lt;($F$10-$E$10)/($G$10-$E$10),$E$10+SQRT(T726*($G$10-$E$10)*($F$10-$E$10)),$G$10-SQRT((1-T726)*($G$10-$E$10)*($G$10-$F$10))))</f>
        <v>0.993110555398307</v>
      </c>
      <c r="G726" s="52" t="n">
        <f aca="false">IF($G$11=$E$11,$F$11,IF(U726&lt;($F$11-$E$11)/($G$11-$E$11),$E$11+SQRT(U726*($G$11-$E$11)*($F$11-$E$11)),$G$11-SQRT((1-U726)*($G$11-$E$11)*($G$11-$F$11))))</f>
        <v>0.102891407778293</v>
      </c>
      <c r="H726" s="53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-1986221110.79661</v>
      </c>
      <c r="I726" s="53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-14965512.4776824</v>
      </c>
      <c r="J726" s="53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264648502.082953</v>
      </c>
      <c r="K726" s="53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593918044.413503</v>
      </c>
      <c r="L726" s="53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719449709.461599</v>
      </c>
      <c r="M726" s="53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897248173.864961</v>
      </c>
      <c r="N726" s="53" t="n">
        <f aca="false">IF(COUNT('Business Case'!B11:G11)=0,"",H726+NPV(G726,I726:M726))</f>
        <v>-303382091.354036</v>
      </c>
      <c r="P726" s="54" t="n">
        <f aca="true">RAND()</f>
        <v>0.272803311841892</v>
      </c>
      <c r="Q726" s="54" t="n">
        <f aca="true">RAND()</f>
        <v>0.380256274033343</v>
      </c>
      <c r="R726" s="54" t="n">
        <f aca="true">RAND()</f>
        <v>0.208075874826698</v>
      </c>
      <c r="S726" s="54" t="n">
        <f aca="true">RAND()</f>
        <v>0.69348940198626</v>
      </c>
      <c r="T726" s="54" t="n">
        <f aca="true">RAND()</f>
        <v>0.148681598940042</v>
      </c>
      <c r="U726" s="54" t="n">
        <f aca="true">RAND()</f>
        <v>0.512160120318928</v>
      </c>
    </row>
    <row r="727" customFormat="false" ht="15" hidden="false" customHeight="false" outlineLevel="0" collapsed="false">
      <c r="A727" s="50" t="n">
        <v>647</v>
      </c>
      <c r="B727" s="51" t="n">
        <f aca="false">1+IF($G$6=$E$6,$F$6,IF(P727&lt;($F$6-$E$6)/($G$6-$E$6),$E$6+SQRT(P727*($G$6-$E$6)*($F$6-$E$6)),$G$6-SQRT((1-P727)*($G$6-$E$6)*($G$6-$F$6))))</f>
        <v>0.990057440027372</v>
      </c>
      <c r="C727" s="51" t="n">
        <f aca="false">1+IF($G$7=$E$7,$F$7,IF(Q727&lt;($F$7-$E$7)/($G$7-$E$7),$E$7+SQRT(Q727*($G$7-$E$7)*($F$7-$E$7)),$G$7-SQRT((1-Q727)*($G$7-$E$7)*($G$7-$F$7))))</f>
        <v>0.967349270465903</v>
      </c>
      <c r="D727" s="51" t="n">
        <f aca="false">1+IF($G$8=$E$8,$F$8,IF(R727&lt;($F$8-$E$8)/($G$8-$E$8),$E$8+SQRT(R727*($G$8-$E$8)*($F$8-$E$8)),$G$8-SQRT((1-R727)*($G$8-$E$8)*($G$8-$F$8))))</f>
        <v>0.993055029686746</v>
      </c>
      <c r="E727" s="51" t="n">
        <f aca="false">1+IF($G$9=$E$9,$F$9,IF(S727&lt;($F$9-$E$9)/($G$9-$E$9),$E$9+SQRT(S727*($G$9-$E$9)*($F$9-$E$9)),$G$9-SQRT((1-S727)*($G$9-$E$9)*($G$9-$F$9))))</f>
        <v>1.01788735752756</v>
      </c>
      <c r="F727" s="51" t="n">
        <f aca="false">1+IF($G$10=$E$10,$F$10,IF(T727&lt;($F$10-$E$10)/($G$10-$E$10),$E$10+SQRT(T727*($G$10-$E$10)*($F$10-$E$10)),$G$10-SQRT((1-T727)*($G$10-$E$10)*($G$10-$F$10))))</f>
        <v>1.06432542999242</v>
      </c>
      <c r="G727" s="52" t="n">
        <f aca="false">IF($G$11=$E$11,$F$11,IF(U727&lt;($F$11-$E$11)/($G$11-$E$11),$E$11+SQRT(U727*($G$11-$E$11)*($F$11-$E$11)),$G$11-SQRT((1-U727)*($G$11-$E$11)*($G$11-$F$11))))</f>
        <v>0.102378409146229</v>
      </c>
      <c r="H727" s="53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-2128650859.98484</v>
      </c>
      <c r="I727" s="53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-8140243.4685746</v>
      </c>
      <c r="J727" s="53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284544431.08889</v>
      </c>
      <c r="K727" s="53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630445377.145975</v>
      </c>
      <c r="L727" s="53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761106130.522715</v>
      </c>
      <c r="M727" s="53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943151704.072766</v>
      </c>
      <c r="N727" s="53" t="n">
        <f aca="false">IF(COUNT('Business Case'!B11:G11)=0,"",H727+NPV(G727,I727:M727))</f>
        <v>-336577701.197342</v>
      </c>
      <c r="P727" s="54" t="n">
        <f aca="true">RAND()</f>
        <v>0.511254677415501</v>
      </c>
      <c r="Q727" s="54" t="n">
        <f aca="true">RAND()</f>
        <v>0.400082547506714</v>
      </c>
      <c r="R727" s="54" t="n">
        <f aca="true">RAND()</f>
        <v>0.285190089434855</v>
      </c>
      <c r="S727" s="54" t="n">
        <f aca="true">RAND()</f>
        <v>0.550500929746212</v>
      </c>
      <c r="T727" s="54" t="n">
        <f aca="true">RAND()</f>
        <v>0.631848221065165</v>
      </c>
      <c r="U727" s="54" t="n">
        <f aca="true">RAND()</f>
        <v>0.482465892970492</v>
      </c>
    </row>
    <row r="728" customFormat="false" ht="15" hidden="false" customHeight="false" outlineLevel="0" collapsed="false">
      <c r="A728" s="50" t="n">
        <v>648</v>
      </c>
      <c r="B728" s="51" t="n">
        <f aca="false">1+IF($G$6=$E$6,$F$6,IF(P728&lt;($F$6-$E$6)/($G$6-$E$6),$E$6+SQRT(P728*($G$6-$E$6)*($F$6-$E$6)),$G$6-SQRT((1-P728)*($G$6-$E$6)*($G$6-$F$6))))</f>
        <v>0.981416473134086</v>
      </c>
      <c r="C728" s="51" t="n">
        <f aca="false">1+IF($G$7=$E$7,$F$7,IF(Q728&lt;($F$7-$E$7)/($G$7-$E$7),$E$7+SQRT(Q728*($G$7-$E$7)*($F$7-$E$7)),$G$7-SQRT((1-Q728)*($G$7-$E$7)*($G$7-$F$7))))</f>
        <v>1.00725370689732</v>
      </c>
      <c r="D728" s="51" t="n">
        <f aca="false">1+IF($G$8=$E$8,$F$8,IF(R728&lt;($F$8-$E$8)/($G$8-$E$8),$E$8+SQRT(R728*($G$8-$E$8)*($F$8-$E$8)),$G$8-SQRT((1-R728)*($G$8-$E$8)*($G$8-$F$8))))</f>
        <v>1.01398881202146</v>
      </c>
      <c r="E728" s="51" t="n">
        <f aca="false">1+IF($G$9=$E$9,$F$9,IF(S728&lt;($F$9-$E$9)/($G$9-$E$9),$E$9+SQRT(S728*($G$9-$E$9)*($F$9-$E$9)),$G$9-SQRT((1-S728)*($G$9-$E$9)*($G$9-$F$9))))</f>
        <v>1.05870189797065</v>
      </c>
      <c r="F728" s="51" t="n">
        <f aca="false">1+IF($G$10=$E$10,$F$10,IF(T728&lt;($F$10-$E$10)/($G$10-$E$10),$E$10+SQRT(T728*($G$10-$E$10)*($F$10-$E$10)),$G$10-SQRT((1-T728)*($G$10-$E$10)*($G$10-$F$10))))</f>
        <v>1.0943816954456</v>
      </c>
      <c r="G728" s="52" t="n">
        <f aca="false">IF($G$11=$E$11,$F$11,IF(U728&lt;($F$11-$E$11)/($G$11-$E$11),$E$11+SQRT(U728*($G$11-$E$11)*($F$11-$E$11)),$G$11-SQRT((1-U728)*($G$11-$E$11)*($G$11-$F$11))))</f>
        <v>0.111137910344954</v>
      </c>
      <c r="H728" s="53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-2188763390.8912</v>
      </c>
      <c r="I728" s="53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-24396017.5143998</v>
      </c>
      <c r="J728" s="53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262439218.536164</v>
      </c>
      <c r="K728" s="53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603993539.359007</v>
      </c>
      <c r="L728" s="53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733769067.461846</v>
      </c>
      <c r="M728" s="53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921669872.601428</v>
      </c>
      <c r="N728" s="53" t="n">
        <f aca="false">IF(COUNT('Business Case'!B11:G11)=0,"",H728+NPV(G728,I728:M728))</f>
        <v>-532323676.299467</v>
      </c>
      <c r="P728" s="54" t="n">
        <f aca="true">RAND()</f>
        <v>0.392914913773942</v>
      </c>
      <c r="Q728" s="54" t="n">
        <f aca="true">RAND()</f>
        <v>0.611876110579876</v>
      </c>
      <c r="R728" s="54" t="n">
        <f aca="true">RAND()</f>
        <v>0.581011832852109</v>
      </c>
      <c r="S728" s="54" t="n">
        <f aca="true">RAND()</f>
        <v>0.886297784584894</v>
      </c>
      <c r="T728" s="54" t="n">
        <f aca="true">RAND()</f>
        <v>0.776895474861081</v>
      </c>
      <c r="U728" s="54" t="n">
        <f aca="true">RAND()</f>
        <v>0.869105611576536</v>
      </c>
    </row>
    <row r="729" customFormat="false" ht="15" hidden="false" customHeight="false" outlineLevel="0" collapsed="false">
      <c r="A729" s="50" t="n">
        <v>649</v>
      </c>
      <c r="B729" s="51" t="n">
        <f aca="false">1+IF($G$6=$E$6,$F$6,IF(P729&lt;($F$6-$E$6)/($G$6-$E$6),$E$6+SQRT(P729*($G$6-$E$6)*($F$6-$E$6)),$G$6-SQRT((1-P729)*($G$6-$E$6)*($G$6-$F$6))))</f>
        <v>1.00799457765893</v>
      </c>
      <c r="C729" s="51" t="n">
        <f aca="false">1+IF($G$7=$E$7,$F$7,IF(Q729&lt;($F$7-$E$7)/($G$7-$E$7),$E$7+SQRT(Q729*($G$7-$E$7)*($F$7-$E$7)),$G$7-SQRT((1-Q729)*($G$7-$E$7)*($G$7-$F$7))))</f>
        <v>0.908829576616351</v>
      </c>
      <c r="D729" s="51" t="n">
        <f aca="false">1+IF($G$8=$E$8,$F$8,IF(R729&lt;($F$8-$E$8)/($G$8-$E$8),$E$8+SQRT(R729*($G$8-$E$8)*($F$8-$E$8)),$G$8-SQRT((1-R729)*($G$8-$E$8)*($G$8-$F$8))))</f>
        <v>1.06108152640975</v>
      </c>
      <c r="E729" s="51" t="n">
        <f aca="false">1+IF($G$9=$E$9,$F$9,IF(S729&lt;($F$9-$E$9)/($G$9-$E$9),$E$9+SQRT(S729*($G$9-$E$9)*($F$9-$E$9)),$G$9-SQRT((1-S729)*($G$9-$E$9)*($G$9-$F$9))))</f>
        <v>0.971585870161652</v>
      </c>
      <c r="F729" s="51" t="n">
        <f aca="false">1+IF($G$10=$E$10,$F$10,IF(T729&lt;($F$10-$E$10)/($G$10-$E$10),$E$10+SQRT(T729*($G$10-$E$10)*($F$10-$E$10)),$G$10-SQRT((1-T729)*($G$10-$E$10)*($G$10-$F$10))))</f>
        <v>1.13437471657485</v>
      </c>
      <c r="G729" s="52" t="n">
        <f aca="false">IF($G$11=$E$11,$F$11,IF(U729&lt;($F$11-$E$11)/($G$11-$E$11),$E$11+SQRT(U729*($G$11-$E$11)*($F$11-$E$11)),$G$11-SQRT((1-U729)*($G$11-$E$11)*($G$11-$F$11))))</f>
        <v>0.100973978304424</v>
      </c>
      <c r="H729" s="53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-2268749433.1497</v>
      </c>
      <c r="I729" s="53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-42405461.6171998</v>
      </c>
      <c r="J729" s="53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214276438.747191</v>
      </c>
      <c r="K729" s="53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527677074.940325</v>
      </c>
      <c r="L729" s="53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644897961.453201</v>
      </c>
      <c r="M729" s="53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819029353.272635</v>
      </c>
      <c r="N729" s="53" t="n">
        <f aca="false">IF(COUNT('Business Case'!B11:G11)=0,"",H729+NPV(G729,I729:M729))</f>
        <v>-789865910.093526</v>
      </c>
      <c r="P729" s="54" t="n">
        <f aca="true">RAND()</f>
        <v>0.786594362660322</v>
      </c>
      <c r="Q729" s="54" t="n">
        <f aca="true">RAND()</f>
        <v>0.169198239235631</v>
      </c>
      <c r="R729" s="54" t="n">
        <f aca="true">RAND()</f>
        <v>0.965585707405301</v>
      </c>
      <c r="S729" s="54" t="n">
        <f aca="true">RAND()</f>
        <v>0.0621266387514266</v>
      </c>
      <c r="T729" s="54" t="n">
        <f aca="true">RAND()</f>
        <v>0.913866443507381</v>
      </c>
      <c r="U729" s="54" t="n">
        <f aca="true">RAND()</f>
        <v>0.396684164065774</v>
      </c>
    </row>
    <row r="730" customFormat="false" ht="15" hidden="false" customHeight="false" outlineLevel="0" collapsed="false">
      <c r="A730" s="50" t="n">
        <v>650</v>
      </c>
      <c r="B730" s="51" t="n">
        <f aca="false">1+IF($G$6=$E$6,$F$6,IF(P730&lt;($F$6-$E$6)/($G$6-$E$6),$E$6+SQRT(P730*($G$6-$E$6)*($F$6-$E$6)),$G$6-SQRT((1-P730)*($G$6-$E$6)*($G$6-$F$6))))</f>
        <v>0.991981743585838</v>
      </c>
      <c r="C730" s="51" t="n">
        <f aca="false">1+IF($G$7=$E$7,$F$7,IF(Q730&lt;($F$7-$E$7)/($G$7-$E$7),$E$7+SQRT(Q730*($G$7-$E$7)*($F$7-$E$7)),$G$7-SQRT((1-Q730)*($G$7-$E$7)*($G$7-$F$7))))</f>
        <v>0.880660942507556</v>
      </c>
      <c r="D730" s="51" t="n">
        <f aca="false">1+IF($G$8=$E$8,$F$8,IF(R730&lt;($F$8-$E$8)/($G$8-$E$8),$E$8+SQRT(R730*($G$8-$E$8)*($F$8-$E$8)),$G$8-SQRT((1-R730)*($G$8-$E$8)*($G$8-$F$8))))</f>
        <v>1.02544013886883</v>
      </c>
      <c r="E730" s="51" t="n">
        <f aca="false">1+IF($G$9=$E$9,$F$9,IF(S730&lt;($F$9-$E$9)/($G$9-$E$9),$E$9+SQRT(S730*($G$9-$E$9)*($F$9-$E$9)),$G$9-SQRT((1-S730)*($G$9-$E$9)*($G$9-$F$9))))</f>
        <v>1.00299196681484</v>
      </c>
      <c r="F730" s="51" t="n">
        <f aca="false">1+IF($G$10=$E$10,$F$10,IF(T730&lt;($F$10-$E$10)/($G$10-$E$10),$E$10+SQRT(T730*($G$10-$E$10)*($F$10-$E$10)),$G$10-SQRT((1-T730)*($G$10-$E$10)*($G$10-$F$10))))</f>
        <v>1.09492678546995</v>
      </c>
      <c r="G730" s="52" t="n">
        <f aca="false">IF($G$11=$E$11,$F$11,IF(U730&lt;($F$11-$E$11)/($G$11-$E$11),$E$11+SQRT(U730*($G$11-$E$11)*($F$11-$E$11)),$G$11-SQRT((1-U730)*($G$11-$E$11)*($G$11-$F$11))))</f>
        <v>0.0968913046430009</v>
      </c>
      <c r="H730" s="53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-2189853570.9399</v>
      </c>
      <c r="I730" s="53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-44161660.7048282</v>
      </c>
      <c r="J730" s="53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209082216.903391</v>
      </c>
      <c r="K730" s="53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517072433.785107</v>
      </c>
      <c r="L730" s="53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631678661.044501</v>
      </c>
      <c r="M730" s="53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797732468.689434</v>
      </c>
      <c r="N730" s="53" t="n">
        <f aca="false">IF(COUNT('Business Case'!B11:G11)=0,"",H730+NPV(G730,I730:M730))</f>
        <v>-725796790.781181</v>
      </c>
      <c r="P730" s="54" t="n">
        <f aca="true">RAND()</f>
        <v>0.539726188505971</v>
      </c>
      <c r="Q730" s="54" t="n">
        <f aca="true">RAND()</f>
        <v>0.092945537802961</v>
      </c>
      <c r="R730" s="54" t="n">
        <f aca="true">RAND()</f>
        <v>0.713771303206501</v>
      </c>
      <c r="S730" s="54" t="n">
        <f aca="true">RAND()</f>
        <v>0.372629433169779</v>
      </c>
      <c r="T730" s="54" t="n">
        <f aca="true">RAND()</f>
        <v>0.779192391766446</v>
      </c>
      <c r="U730" s="54" t="n">
        <f aca="true">RAND()</f>
        <v>0.158300265608817</v>
      </c>
    </row>
    <row r="731" customFormat="false" ht="15" hidden="false" customHeight="false" outlineLevel="0" collapsed="false">
      <c r="A731" s="50" t="n">
        <v>651</v>
      </c>
      <c r="B731" s="51" t="n">
        <f aca="false">1+IF($G$6=$E$6,$F$6,IF(P731&lt;($F$6-$E$6)/($G$6-$E$6),$E$6+SQRT(P731*($G$6-$E$6)*($F$6-$E$6)),$G$6-SQRT((1-P731)*($G$6-$E$6)*($G$6-$F$6))))</f>
        <v>0.948513792060247</v>
      </c>
      <c r="C731" s="51" t="n">
        <f aca="false">1+IF($G$7=$E$7,$F$7,IF(Q731&lt;($F$7-$E$7)/($G$7-$E$7),$E$7+SQRT(Q731*($G$7-$E$7)*($F$7-$E$7)),$G$7-SQRT((1-Q731)*($G$7-$E$7)*($G$7-$F$7))))</f>
        <v>0.997500517884329</v>
      </c>
      <c r="D731" s="51" t="n">
        <f aca="false">1+IF($G$8=$E$8,$F$8,IF(R731&lt;($F$8-$E$8)/($G$8-$E$8),$E$8+SQRT(R731*($G$8-$E$8)*($F$8-$E$8)),$G$8-SQRT((1-R731)*($G$8-$E$8)*($G$8-$F$8))))</f>
        <v>1.03413667935158</v>
      </c>
      <c r="E731" s="51" t="n">
        <f aca="false">1+IF($G$9=$E$9,$F$9,IF(S731&lt;($F$9-$E$9)/($G$9-$E$9),$E$9+SQRT(S731*($G$9-$E$9)*($F$9-$E$9)),$G$9-SQRT((1-S731)*($G$9-$E$9)*($G$9-$F$9))))</f>
        <v>1.03816043030587</v>
      </c>
      <c r="F731" s="51" t="n">
        <f aca="false">1+IF($G$10=$E$10,$F$10,IF(T731&lt;($F$10-$E$10)/($G$10-$E$10),$E$10+SQRT(T731*($G$10-$E$10)*($F$10-$E$10)),$G$10-SQRT((1-T731)*($G$10-$E$10)*($G$10-$F$10))))</f>
        <v>0.980513894555687</v>
      </c>
      <c r="G731" s="52" t="n">
        <f aca="false">IF($G$11=$E$11,$F$11,IF(U731&lt;($F$11-$E$11)/($G$11-$E$11),$E$11+SQRT(U731*($G$11-$E$11)*($F$11-$E$11)),$G$11-SQRT((1-U731)*($G$11-$E$11)*($G$11-$F$11))))</f>
        <v>0.109055334169174</v>
      </c>
      <c r="H731" s="53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-1961027789.11137</v>
      </c>
      <c r="I731" s="53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-47838652.3262684</v>
      </c>
      <c r="J731" s="53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199048551.050346</v>
      </c>
      <c r="K731" s="53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494961449.154744</v>
      </c>
      <c r="L731" s="53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609955885.652162</v>
      </c>
      <c r="M731" s="53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789798746.864166</v>
      </c>
      <c r="N731" s="53" t="n">
        <f aca="false">IF(COUNT('Business Case'!B11:G11)=0,"",H731+NPV(G731,I731:M731))</f>
        <v>-605623418.028901</v>
      </c>
      <c r="P731" s="54" t="n">
        <f aca="true">RAND()</f>
        <v>0.0846912851723989</v>
      </c>
      <c r="Q731" s="54" t="n">
        <f aca="true">RAND()</f>
        <v>0.557235065208261</v>
      </c>
      <c r="R731" s="54" t="n">
        <f aca="true">RAND()</f>
        <v>0.797745751836556</v>
      </c>
      <c r="S731" s="54" t="n">
        <f aca="true">RAND()</f>
        <v>0.745057841336322</v>
      </c>
      <c r="T731" s="54" t="n">
        <f aca="true">RAND()</f>
        <v>0.0744878208764479</v>
      </c>
      <c r="U731" s="54" t="n">
        <f aca="true">RAND()</f>
        <v>0.800357149752598</v>
      </c>
    </row>
    <row r="732" customFormat="false" ht="15" hidden="false" customHeight="false" outlineLevel="0" collapsed="false">
      <c r="A732" s="50" t="n">
        <v>652</v>
      </c>
      <c r="B732" s="51" t="n">
        <f aca="false">1+IF($G$6=$E$6,$F$6,IF(P732&lt;($F$6-$E$6)/($G$6-$E$6),$E$6+SQRT(P732*($G$6-$E$6)*($F$6-$E$6)),$G$6-SQRT((1-P732)*($G$6-$E$6)*($G$6-$F$6))))</f>
        <v>1.00438415352434</v>
      </c>
      <c r="C732" s="51" t="n">
        <f aca="false">1+IF($G$7=$E$7,$F$7,IF(Q732&lt;($F$7-$E$7)/($G$7-$E$7),$E$7+SQRT(Q732*($G$7-$E$7)*($F$7-$E$7)),$G$7-SQRT((1-Q732)*($G$7-$E$7)*($G$7-$F$7))))</f>
        <v>0.960937435485608</v>
      </c>
      <c r="D732" s="51" t="n">
        <f aca="false">1+IF($G$8=$E$8,$F$8,IF(R732&lt;($F$8-$E$8)/($G$8-$E$8),$E$8+SQRT(R732*($G$8-$E$8)*($F$8-$E$8)),$G$8-SQRT((1-R732)*($G$8-$E$8)*($G$8-$F$8))))</f>
        <v>0.973852210362367</v>
      </c>
      <c r="E732" s="51" t="n">
        <f aca="false">1+IF($G$9=$E$9,$F$9,IF(S732&lt;($F$9-$E$9)/($G$9-$E$9),$E$9+SQRT(S732*($G$9-$E$9)*($F$9-$E$9)),$G$9-SQRT((1-S732)*($G$9-$E$9)*($G$9-$F$9))))</f>
        <v>1.00161422964559</v>
      </c>
      <c r="F732" s="51" t="n">
        <f aca="false">1+IF($G$10=$E$10,$F$10,IF(T732&lt;($F$10-$E$10)/($G$10-$E$10),$E$10+SQRT(T732*($G$10-$E$10)*($F$10-$E$10)),$G$10-SQRT((1-T732)*($G$10-$E$10)*($G$10-$F$10))))</f>
        <v>1.13651606314877</v>
      </c>
      <c r="G732" s="52" t="n">
        <f aca="false">IF($G$11=$E$11,$F$11,IF(U732&lt;($F$11-$E$11)/($G$11-$E$11),$E$11+SQRT(U732*($G$11-$E$11)*($F$11-$E$11)),$G$11-SQRT((1-U732)*($G$11-$E$11)*($G$11-$F$11))))</f>
        <v>0.105307962011387</v>
      </c>
      <c r="H732" s="53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-2273032126.29754</v>
      </c>
      <c r="I732" s="53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5352679.86370643</v>
      </c>
      <c r="J732" s="53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316819902.74662</v>
      </c>
      <c r="K732" s="53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685112928.786973</v>
      </c>
      <c r="L732" s="53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822290931.913762</v>
      </c>
      <c r="M732" s="53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1005746707.15909</v>
      </c>
      <c r="N732" s="53" t="n">
        <f aca="false">IF(COUNT('Business Case'!B11:G11)=0,"",H732+NPV(G732,I732:M732))</f>
        <v>-340945247.635109</v>
      </c>
      <c r="P732" s="54" t="n">
        <f aca="true">RAND()</f>
        <v>0.735731558296367</v>
      </c>
      <c r="Q732" s="54" t="n">
        <f aca="true">RAND()</f>
        <v>0.370012259152632</v>
      </c>
      <c r="R732" s="54" t="n">
        <f aca="true">RAND()</f>
        <v>0.0875273752570158</v>
      </c>
      <c r="S732" s="54" t="n">
        <f aca="true">RAND()</f>
        <v>0.354682679451342</v>
      </c>
      <c r="T732" s="54" t="n">
        <f aca="true">RAND()</f>
        <v>0.919395795237384</v>
      </c>
      <c r="U732" s="54" t="n">
        <f aca="true">RAND()</f>
        <v>0.640240032901918</v>
      </c>
    </row>
    <row r="733" customFormat="false" ht="15" hidden="false" customHeight="false" outlineLevel="0" collapsed="false">
      <c r="A733" s="50" t="n">
        <v>653</v>
      </c>
      <c r="B733" s="51" t="n">
        <f aca="false">1+IF($G$6=$E$6,$F$6,IF(P733&lt;($F$6-$E$6)/($G$6-$E$6),$E$6+SQRT(P733*($G$6-$E$6)*($F$6-$E$6)),$G$6-SQRT((1-P733)*($G$6-$E$6)*($G$6-$F$6))))</f>
        <v>0.981774273203364</v>
      </c>
      <c r="C733" s="51" t="n">
        <f aca="false">1+IF($G$7=$E$7,$F$7,IF(Q733&lt;($F$7-$E$7)/($G$7-$E$7),$E$7+SQRT(Q733*($G$7-$E$7)*($F$7-$E$7)),$G$7-SQRT((1-Q733)*($G$7-$E$7)*($G$7-$F$7))))</f>
        <v>0.982777343097912</v>
      </c>
      <c r="D733" s="51" t="n">
        <f aca="false">1+IF($G$8=$E$8,$F$8,IF(R733&lt;($F$8-$E$8)/($G$8-$E$8),$E$8+SQRT(R733*($G$8-$E$8)*($F$8-$E$8)),$G$8-SQRT((1-R733)*($G$8-$E$8)*($G$8-$F$8))))</f>
        <v>1.02145609010489</v>
      </c>
      <c r="E733" s="51" t="n">
        <f aca="false">1+IF($G$9=$E$9,$F$9,IF(S733&lt;($F$9-$E$9)/($G$9-$E$9),$E$9+SQRT(S733*($G$9-$E$9)*($F$9-$E$9)),$G$9-SQRT((1-S733)*($G$9-$E$9)*($G$9-$F$9))))</f>
        <v>1.04792812383113</v>
      </c>
      <c r="F733" s="51" t="n">
        <f aca="false">1+IF($G$10=$E$10,$F$10,IF(T733&lt;($F$10-$E$10)/($G$10-$E$10),$E$10+SQRT(T733*($G$10-$E$10)*($F$10-$E$10)),$G$10-SQRT((1-T733)*($G$10-$E$10)*($G$10-$F$10))))</f>
        <v>1.02749565697609</v>
      </c>
      <c r="G733" s="52" t="n">
        <f aca="false">IF($G$11=$E$11,$F$11,IF(U733&lt;($F$11-$E$11)/($G$11-$E$11),$E$11+SQRT(U733*($G$11-$E$11)*($F$11-$E$11)),$G$11-SQRT((1-U733)*($G$11-$E$11)*($G$11-$F$11))))</f>
        <v>0.106750002058934</v>
      </c>
      <c r="H733" s="53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-2054991313.95218</v>
      </c>
      <c r="I733" s="53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-25387257.4805077</v>
      </c>
      <c r="J733" s="53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251009058.074017</v>
      </c>
      <c r="K733" s="53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578780156.477347</v>
      </c>
      <c r="L733" s="53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704258013.747947</v>
      </c>
      <c r="M733" s="53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887659650.219616</v>
      </c>
      <c r="N733" s="53" t="n">
        <f aca="false">IF(COUNT('Business Case'!B11:G11)=0,"",H733+NPV(G733,I733:M733))</f>
        <v>-442116098.151258</v>
      </c>
      <c r="P733" s="54" t="n">
        <f aca="true">RAND()</f>
        <v>0.397506336437899</v>
      </c>
      <c r="Q733" s="54" t="n">
        <f aca="true">RAND()</f>
        <v>0.4772508164276</v>
      </c>
      <c r="R733" s="54" t="n">
        <f aca="true">RAND()</f>
        <v>0.670443328287848</v>
      </c>
      <c r="S733" s="54" t="n">
        <f aca="true">RAND()</f>
        <v>0.819234647483586</v>
      </c>
      <c r="T733" s="54" t="n">
        <f aca="true">RAND()</f>
        <v>0.404845032757786</v>
      </c>
      <c r="U733" s="54" t="n">
        <f aca="true">RAND()</f>
        <v>0.707395924269599</v>
      </c>
    </row>
    <row r="734" customFormat="false" ht="15" hidden="false" customHeight="false" outlineLevel="0" collapsed="false">
      <c r="A734" s="50" t="n">
        <v>654</v>
      </c>
      <c r="B734" s="51" t="n">
        <f aca="false">1+IF($G$6=$E$6,$F$6,IF(P734&lt;($F$6-$E$6)/($G$6-$E$6),$E$6+SQRT(P734*($G$6-$E$6)*($F$6-$E$6)),$G$6-SQRT((1-P734)*($G$6-$E$6)*($G$6-$F$6))))</f>
        <v>1.00085952790913</v>
      </c>
      <c r="C734" s="51" t="n">
        <f aca="false">1+IF($G$7=$E$7,$F$7,IF(Q734&lt;($F$7-$E$7)/($G$7-$E$7),$E$7+SQRT(Q734*($G$7-$E$7)*($F$7-$E$7)),$G$7-SQRT((1-Q734)*($G$7-$E$7)*($G$7-$F$7))))</f>
        <v>0.979437940107204</v>
      </c>
      <c r="D734" s="51" t="n">
        <f aca="false">1+IF($G$8=$E$8,$F$8,IF(R734&lt;($F$8-$E$8)/($G$8-$E$8),$E$8+SQRT(R734*($G$8-$E$8)*($F$8-$E$8)),$G$8-SQRT((1-R734)*($G$8-$E$8)*($G$8-$F$8))))</f>
        <v>1.02544508939157</v>
      </c>
      <c r="E734" s="51" t="n">
        <f aca="false">1+IF($G$9=$E$9,$F$9,IF(S734&lt;($F$9-$E$9)/($G$9-$E$9),$E$9+SQRT(S734*($G$9-$E$9)*($F$9-$E$9)),$G$9-SQRT((1-S734)*($G$9-$E$9)*($G$9-$F$9))))</f>
        <v>0.992999384699288</v>
      </c>
      <c r="F734" s="51" t="n">
        <f aca="false">1+IF($G$10=$E$10,$F$10,IF(T734&lt;($F$10-$E$10)/($G$10-$E$10),$E$10+SQRT(T734*($G$10-$E$10)*($F$10-$E$10)),$G$10-SQRT((1-T734)*($G$10-$E$10)*($G$10-$F$10))))</f>
        <v>0.98469753850613</v>
      </c>
      <c r="G734" s="52" t="n">
        <f aca="false">IF($G$11=$E$11,$F$11,IF(U734&lt;($F$11-$E$11)/($G$11-$E$11),$E$11+SQRT(U734*($G$11-$E$11)*($F$11-$E$11)),$G$11-SQRT((1-U734)*($G$11-$E$11)*($G$11-$F$11))))</f>
        <v>0.0969902286013028</v>
      </c>
      <c r="H734" s="53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-1969395077.01226</v>
      </c>
      <c r="I734" s="53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-1724121.32442811</v>
      </c>
      <c r="J734" s="53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287043728.245202</v>
      </c>
      <c r="K734" s="53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625046454.740139</v>
      </c>
      <c r="L734" s="53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755180874.289488</v>
      </c>
      <c r="M734" s="53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941512457.599913</v>
      </c>
      <c r="N734" s="53" t="n">
        <f aca="false">IF(COUNT('Business Case'!B11:G11)=0,"",H734+NPV(G734,I734:M734))</f>
        <v>-144802585.635355</v>
      </c>
      <c r="P734" s="54" t="n">
        <f aca="true">RAND()</f>
        <v>0.680838217604955</v>
      </c>
      <c r="Q734" s="54" t="n">
        <f aca="true">RAND()</f>
        <v>0.459971062141667</v>
      </c>
      <c r="R734" s="54" t="n">
        <f aca="true">RAND()</f>
        <v>0.713823243125583</v>
      </c>
      <c r="S734" s="54" t="n">
        <f aca="true">RAND()</f>
        <v>0.246526277935642</v>
      </c>
      <c r="T734" s="54" t="n">
        <f aca="true">RAND()</f>
        <v>0.0963135342707473</v>
      </c>
      <c r="U734" s="54" t="n">
        <f aca="true">RAND()</f>
        <v>0.162877652994907</v>
      </c>
    </row>
    <row r="735" customFormat="false" ht="15" hidden="false" customHeight="false" outlineLevel="0" collapsed="false">
      <c r="A735" s="50" t="n">
        <v>655</v>
      </c>
      <c r="B735" s="51" t="n">
        <f aca="false">1+IF($G$6=$E$6,$F$6,IF(P735&lt;($F$6-$E$6)/($G$6-$E$6),$E$6+SQRT(P735*($G$6-$E$6)*($F$6-$E$6)),$G$6-SQRT((1-P735)*($G$6-$E$6)*($G$6-$F$6))))</f>
        <v>1.03138178630834</v>
      </c>
      <c r="C735" s="51" t="n">
        <f aca="false">1+IF($G$7=$E$7,$F$7,IF(Q735&lt;($F$7-$E$7)/($G$7-$E$7),$E$7+SQRT(Q735*($G$7-$E$7)*($F$7-$E$7)),$G$7-SQRT((1-Q735)*($G$7-$E$7)*($G$7-$F$7))))</f>
        <v>0.984904221474816</v>
      </c>
      <c r="D735" s="51" t="n">
        <f aca="false">1+IF($G$8=$E$8,$F$8,IF(R735&lt;($F$8-$E$8)/($G$8-$E$8),$E$8+SQRT(R735*($G$8-$E$8)*($F$8-$E$8)),$G$8-SQRT((1-R735)*($G$8-$E$8)*($G$8-$F$8))))</f>
        <v>0.975651572246584</v>
      </c>
      <c r="E735" s="51" t="n">
        <f aca="false">1+IF($G$9=$E$9,$F$9,IF(S735&lt;($F$9-$E$9)/($G$9-$E$9),$E$9+SQRT(S735*($G$9-$E$9)*($F$9-$E$9)),$G$9-SQRT((1-S735)*($G$9-$E$9)*($G$9-$F$9))))</f>
        <v>1.01631042993669</v>
      </c>
      <c r="F735" s="51" t="n">
        <f aca="false">1+IF($G$10=$E$10,$F$10,IF(T735&lt;($F$10-$E$10)/($G$10-$E$10),$E$10+SQRT(T735*($G$10-$E$10)*($F$10-$E$10)),$G$10-SQRT((1-T735)*($G$10-$E$10)*($G$10-$F$10))))</f>
        <v>1.04348484953738</v>
      </c>
      <c r="G735" s="52" t="n">
        <f aca="false">IF($G$11=$E$11,$F$11,IF(U735&lt;($F$11-$E$11)/($G$11-$E$11),$E$11+SQRT(U735*($G$11-$E$11)*($F$11-$E$11)),$G$11-SQRT((1-U735)*($G$11-$E$11)*($G$11-$F$11))))</f>
        <v>0.102014939287323</v>
      </c>
      <c r="H735" s="53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-2086969699.07476</v>
      </c>
      <c r="I735" s="53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38579973.0472515</v>
      </c>
      <c r="J735" s="53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378687482.536134</v>
      </c>
      <c r="K735" s="53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770969234.501885</v>
      </c>
      <c r="L735" s="53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919444876.565442</v>
      </c>
      <c r="M735" s="53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1112530473.85206</v>
      </c>
      <c r="N735" s="53" t="n">
        <f aca="false">IF(COUNT('Business Case'!B11:G11)=0,"",H735+NPV(G735,I735:M735))</f>
        <v>143843991.749529</v>
      </c>
      <c r="P735" s="54" t="n">
        <f aca="true">RAND()</f>
        <v>0.984526331826023</v>
      </c>
      <c r="Q735" s="54" t="n">
        <f aca="true">RAND()</f>
        <v>0.488422444560113</v>
      </c>
      <c r="R735" s="54" t="n">
        <f aca="true">RAND()</f>
        <v>0.101231255187955</v>
      </c>
      <c r="S735" s="54" t="n">
        <f aca="true">RAND()</f>
        <v>0.533070390841234</v>
      </c>
      <c r="T735" s="54" t="n">
        <f aca="true">RAND()</f>
        <v>0.510060153513282</v>
      </c>
      <c r="U735" s="54" t="n">
        <f aca="true">RAND()</f>
        <v>0.460895985268869</v>
      </c>
    </row>
    <row r="736" customFormat="false" ht="15" hidden="false" customHeight="false" outlineLevel="0" collapsed="false">
      <c r="A736" s="50" t="n">
        <v>656</v>
      </c>
      <c r="B736" s="51" t="n">
        <f aca="false">1+IF($G$6=$E$6,$F$6,IF(P736&lt;($F$6-$E$6)/($G$6-$E$6),$E$6+SQRT(P736*($G$6-$E$6)*($F$6-$E$6)),$G$6-SQRT((1-P736)*($G$6-$E$6)*($G$6-$F$6))))</f>
        <v>0.94130191195537</v>
      </c>
      <c r="C736" s="51" t="n">
        <f aca="false">1+IF($G$7=$E$7,$F$7,IF(Q736&lt;($F$7-$E$7)/($G$7-$E$7),$E$7+SQRT(Q736*($G$7-$E$7)*($F$7-$E$7)),$G$7-SQRT((1-Q736)*($G$7-$E$7)*($G$7-$F$7))))</f>
        <v>0.96236886481878</v>
      </c>
      <c r="D736" s="51" t="n">
        <f aca="false">1+IF($G$8=$E$8,$F$8,IF(R736&lt;($F$8-$E$8)/($G$8-$E$8),$E$8+SQRT(R736*($G$8-$E$8)*($F$8-$E$8)),$G$8-SQRT((1-R736)*($G$8-$E$8)*($G$8-$F$8))))</f>
        <v>1.01204608418874</v>
      </c>
      <c r="E736" s="51" t="n">
        <f aca="false">1+IF($G$9=$E$9,$F$9,IF(S736&lt;($F$9-$E$9)/($G$9-$E$9),$E$9+SQRT(S736*($G$9-$E$9)*($F$9-$E$9)),$G$9-SQRT((1-S736)*($G$9-$E$9)*($G$9-$F$9))))</f>
        <v>1.02128136739735</v>
      </c>
      <c r="F736" s="51" t="n">
        <f aca="false">1+IF($G$10=$E$10,$F$10,IF(T736&lt;($F$10-$E$10)/($G$10-$E$10),$E$10+SQRT(T736*($G$10-$E$10)*($F$10-$E$10)),$G$10-SQRT((1-T736)*($G$10-$E$10)*($G$10-$F$10))))</f>
        <v>1.05622533166041</v>
      </c>
      <c r="G736" s="52" t="n">
        <f aca="false">IF($G$11=$E$11,$F$11,IF(U736&lt;($F$11-$E$11)/($G$11-$E$11),$E$11+SQRT(U736*($G$11-$E$11)*($F$11-$E$11)),$G$11-SQRT((1-U736)*($G$11-$E$11)*($G$11-$F$11))))</f>
        <v>0.103602486562232</v>
      </c>
      <c r="H736" s="53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-2112450663.32083</v>
      </c>
      <c r="I736" s="53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-54419329.4490032</v>
      </c>
      <c r="J736" s="53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188970885.895477</v>
      </c>
      <c r="K736" s="53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485172367.822979</v>
      </c>
      <c r="L736" s="53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597609640.393498</v>
      </c>
      <c r="M736" s="53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769799244.73314</v>
      </c>
      <c r="N736" s="53" t="n">
        <f aca="false">IF(COUNT('Business Case'!B11:G11)=0,"",H736+NPV(G736,I736:M736))</f>
        <v>-772539843.117132</v>
      </c>
      <c r="P736" s="54" t="n">
        <f aca="true">RAND()</f>
        <v>0.0472678596827428</v>
      </c>
      <c r="Q736" s="54" t="n">
        <f aca="true">RAND()</f>
        <v>0.376623546607703</v>
      </c>
      <c r="R736" s="54" t="n">
        <f aca="true">RAND()</f>
        <v>0.555987050568869</v>
      </c>
      <c r="S736" s="54" t="n">
        <f aca="true">RAND()</f>
        <v>0.586891792077973</v>
      </c>
      <c r="T736" s="54" t="n">
        <f aca="true">RAND()</f>
        <v>0.586576894876845</v>
      </c>
      <c r="U736" s="54" t="n">
        <f aca="true">RAND()</f>
        <v>0.551869255097017</v>
      </c>
    </row>
    <row r="737" customFormat="false" ht="15" hidden="false" customHeight="false" outlineLevel="0" collapsed="false">
      <c r="A737" s="50" t="n">
        <v>657</v>
      </c>
      <c r="B737" s="51" t="n">
        <f aca="false">1+IF($G$6=$E$6,$F$6,IF(P737&lt;($F$6-$E$6)/($G$6-$E$6),$E$6+SQRT(P737*($G$6-$E$6)*($F$6-$E$6)),$G$6-SQRT((1-P737)*($G$6-$E$6)*($G$6-$F$6))))</f>
        <v>0.993801800071242</v>
      </c>
      <c r="C737" s="51" t="n">
        <f aca="false">1+IF($G$7=$E$7,$F$7,IF(Q737&lt;($F$7-$E$7)/($G$7-$E$7),$E$7+SQRT(Q737*($G$7-$E$7)*($F$7-$E$7)),$G$7-SQRT((1-Q737)*($G$7-$E$7)*($G$7-$F$7))))</f>
        <v>1.0790106995081</v>
      </c>
      <c r="D737" s="51" t="n">
        <f aca="false">1+IF($G$8=$E$8,$F$8,IF(R737&lt;($F$8-$E$8)/($G$8-$E$8),$E$8+SQRT(R737*($G$8-$E$8)*($F$8-$E$8)),$G$8-SQRT((1-R737)*($G$8-$E$8)*($G$8-$F$8))))</f>
        <v>1.01042376121793</v>
      </c>
      <c r="E737" s="51" t="n">
        <f aca="false">1+IF($G$9=$E$9,$F$9,IF(S737&lt;($F$9-$E$9)/($G$9-$E$9),$E$9+SQRT(S737*($G$9-$E$9)*($F$9-$E$9)),$G$9-SQRT((1-S737)*($G$9-$E$9)*($G$9-$F$9))))</f>
        <v>0.987293414672314</v>
      </c>
      <c r="F737" s="51" t="n">
        <f aca="false">1+IF($G$10=$E$10,$F$10,IF(T737&lt;($F$10-$E$10)/($G$10-$E$10),$E$10+SQRT(T737*($G$10-$E$10)*($F$10-$E$10)),$G$10-SQRT((1-T737)*($G$10-$E$10)*($G$10-$F$10))))</f>
        <v>1.0825837900726</v>
      </c>
      <c r="G737" s="52" t="n">
        <f aca="false">IF($G$11=$E$11,$F$11,IF(U737&lt;($F$11-$E$11)/($G$11-$E$11),$E$11+SQRT(U737*($G$11-$E$11)*($F$11-$E$11)),$G$11-SQRT((1-U737)*($G$11-$E$11)*($G$11-$F$11))))</f>
        <v>0.101009962162119</v>
      </c>
      <c r="H737" s="53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-2165167580.14521</v>
      </c>
      <c r="I737" s="53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15943944.4492212</v>
      </c>
      <c r="J737" s="53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336128604.152329</v>
      </c>
      <c r="K737" s="53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710442453.359068</v>
      </c>
      <c r="L737" s="53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854230148.380253</v>
      </c>
      <c r="M737" s="53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1058057261.54107</v>
      </c>
      <c r="N737" s="53" t="n">
        <f aca="false">IF(COUNT('Business Case'!B11:G11)=0,"",H737+NPV(G737,I737:M737))</f>
        <v>-105829708.316874</v>
      </c>
      <c r="P737" s="54" t="n">
        <f aca="true">RAND()</f>
        <v>0.567365176432876</v>
      </c>
      <c r="Q737" s="54" t="n">
        <f aca="true">RAND()</f>
        <v>0.904009889822289</v>
      </c>
      <c r="R737" s="54" t="n">
        <f aca="true">RAND()</f>
        <v>0.534533365090411</v>
      </c>
      <c r="S737" s="54" t="n">
        <f aca="true">RAND()</f>
        <v>0.185439837056157</v>
      </c>
      <c r="T737" s="54" t="n">
        <f aca="true">RAND()</f>
        <v>0.724268672925708</v>
      </c>
      <c r="U737" s="54" t="n">
        <f aca="true">RAND()</f>
        <v>0.39896410485977</v>
      </c>
    </row>
    <row r="738" customFormat="false" ht="15" hidden="false" customHeight="false" outlineLevel="0" collapsed="false">
      <c r="A738" s="50" t="n">
        <v>658</v>
      </c>
      <c r="B738" s="51" t="n">
        <f aca="false">1+IF($G$6=$E$6,$F$6,IF(P738&lt;($F$6-$E$6)/($G$6-$E$6),$E$6+SQRT(P738*($G$6-$E$6)*($F$6-$E$6)),$G$6-SQRT((1-P738)*($G$6-$E$6)*($G$6-$F$6))))</f>
        <v>0.996676934393109</v>
      </c>
      <c r="C738" s="51" t="n">
        <f aca="false">1+IF($G$7=$E$7,$F$7,IF(Q738&lt;($F$7-$E$7)/($G$7-$E$7),$E$7+SQRT(Q738*($G$7-$E$7)*($F$7-$E$7)),$G$7-SQRT((1-Q738)*($G$7-$E$7)*($G$7-$F$7))))</f>
        <v>0.970849041142866</v>
      </c>
      <c r="D738" s="51" t="n">
        <f aca="false">1+IF($G$8=$E$8,$F$8,IF(R738&lt;($F$8-$E$8)/($G$8-$E$8),$E$8+SQRT(R738*($G$8-$E$8)*($F$8-$E$8)),$G$8-SQRT((1-R738)*($G$8-$E$8)*($G$8-$F$8))))</f>
        <v>1.00030840282481</v>
      </c>
      <c r="E738" s="51" t="n">
        <f aca="false">1+IF($G$9=$E$9,$F$9,IF(S738&lt;($F$9-$E$9)/($G$9-$E$9),$E$9+SQRT(S738*($G$9-$E$9)*($F$9-$E$9)),$G$9-SQRT((1-S738)*($G$9-$E$9)*($G$9-$F$9))))</f>
        <v>0.987196714029967</v>
      </c>
      <c r="F738" s="51" t="n">
        <f aca="false">1+IF($G$10=$E$10,$F$10,IF(T738&lt;($F$10-$E$10)/($G$10-$E$10),$E$10+SQRT(T738*($G$10-$E$10)*($F$10-$E$10)),$G$10-SQRT((1-T738)*($G$10-$E$10)*($G$10-$F$10))))</f>
        <v>1.05995294131052</v>
      </c>
      <c r="G738" s="52" t="n">
        <f aca="false">IF($G$11=$E$11,$F$11,IF(U738&lt;($F$11-$E$11)/($G$11-$E$11),$E$11+SQRT(U738*($G$11-$E$11)*($F$11-$E$11)),$G$11-SQRT((1-U738)*($G$11-$E$11)*($G$11-$F$11))))</f>
        <v>0.096656364182267</v>
      </c>
      <c r="H738" s="53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-2119905882.62103</v>
      </c>
      <c r="I738" s="53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-1133771.85207407</v>
      </c>
      <c r="J738" s="53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294268691.502999</v>
      </c>
      <c r="K738" s="53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642668801.923597</v>
      </c>
      <c r="L738" s="53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774577335.26931</v>
      </c>
      <c r="M738" s="53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958503085.853101</v>
      </c>
      <c r="N738" s="53" t="n">
        <f aca="false">IF(COUNT('Business Case'!B11:G11)=0,"",H738+NPV(G738,I738:M738))</f>
        <v>-249168767.018332</v>
      </c>
      <c r="P738" s="54" t="n">
        <f aca="true">RAND()</f>
        <v>0.612432527908863</v>
      </c>
      <c r="Q738" s="54" t="n">
        <f aca="true">RAND()</f>
        <v>0.416991355134811</v>
      </c>
      <c r="R738" s="54" t="n">
        <f aca="true">RAND()</f>
        <v>0.38935089804487</v>
      </c>
      <c r="S738" s="54" t="n">
        <f aca="true">RAND()</f>
        <v>0.18447940461695</v>
      </c>
      <c r="T738" s="54" t="n">
        <f aca="true">RAND()</f>
        <v>0.60773642704848</v>
      </c>
      <c r="U738" s="54" t="n">
        <f aca="true">RAND()</f>
        <v>0.147690613756556</v>
      </c>
    </row>
    <row r="739" customFormat="false" ht="15" hidden="false" customHeight="false" outlineLevel="0" collapsed="false">
      <c r="A739" s="50" t="n">
        <v>659</v>
      </c>
      <c r="B739" s="51" t="n">
        <f aca="false">1+IF($G$6=$E$6,$F$6,IF(P739&lt;($F$6-$E$6)/($G$6-$E$6),$E$6+SQRT(P739*($G$6-$E$6)*($F$6-$E$6)),$G$6-SQRT((1-P739)*($G$6-$E$6)*($G$6-$F$6))))</f>
        <v>0.950400598558338</v>
      </c>
      <c r="C739" s="51" t="n">
        <f aca="false">1+IF($G$7=$E$7,$F$7,IF(Q739&lt;($F$7-$E$7)/($G$7-$E$7),$E$7+SQRT(Q739*($G$7-$E$7)*($F$7-$E$7)),$G$7-SQRT((1-Q739)*($G$7-$E$7)*($G$7-$F$7))))</f>
        <v>1.10724002550259</v>
      </c>
      <c r="D739" s="51" t="n">
        <f aca="false">1+IF($G$8=$E$8,$F$8,IF(R739&lt;($F$8-$E$8)/($G$8-$E$8),$E$8+SQRT(R739*($G$8-$E$8)*($F$8-$E$8)),$G$8-SQRT((1-R739)*($G$8-$E$8)*($G$8-$F$8))))</f>
        <v>0.984368262500338</v>
      </c>
      <c r="E739" s="51" t="n">
        <f aca="false">1+IF($G$9=$E$9,$F$9,IF(S739&lt;($F$9-$E$9)/($G$9-$E$9),$E$9+SQRT(S739*($G$9-$E$9)*($F$9-$E$9)),$G$9-SQRT((1-S739)*($G$9-$E$9)*($G$9-$F$9))))</f>
        <v>1.02612665682815</v>
      </c>
      <c r="F739" s="51" t="n">
        <f aca="false">1+IF($G$10=$E$10,$F$10,IF(T739&lt;($F$10-$E$10)/($G$10-$E$10),$E$10+SQRT(T739*($G$10-$E$10)*($F$10-$E$10)),$G$10-SQRT((1-T739)*($G$10-$E$10)*($G$10-$F$10))))</f>
        <v>0.966794884419945</v>
      </c>
      <c r="G739" s="52" t="n">
        <f aca="false">IF($G$11=$E$11,$F$11,IF(U739&lt;($F$11-$E$11)/($G$11-$E$11),$E$11+SQRT(U739*($G$11-$E$11)*($F$11-$E$11)),$G$11-SQRT((1-U739)*($G$11-$E$11)*($G$11-$F$11))))</f>
        <v>0.0985567018797165</v>
      </c>
      <c r="H739" s="53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-1933589768.83989</v>
      </c>
      <c r="I739" s="53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6822134.95100813</v>
      </c>
      <c r="J739" s="53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310791319.806937</v>
      </c>
      <c r="K739" s="53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663100248.883863</v>
      </c>
      <c r="L739" s="53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800791544.410482</v>
      </c>
      <c r="M739" s="53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1000816830.90435</v>
      </c>
      <c r="N739" s="53" t="n">
        <f aca="false">IF(COUNT('Business Case'!B11:G11)=0,"",H739+NPV(G739,I739:M739))</f>
        <v>5664124.19301868</v>
      </c>
      <c r="P739" s="54" t="n">
        <f aca="true">RAND()</f>
        <v>0.096270457573463</v>
      </c>
      <c r="Q739" s="54" t="n">
        <f aca="true">RAND()</f>
        <v>0.965173039637736</v>
      </c>
      <c r="R739" s="54" t="n">
        <f aca="true">RAND()</f>
        <v>0.181719610352631</v>
      </c>
      <c r="S739" s="54" t="n">
        <f aca="true">RAND()</f>
        <v>0.636181944574242</v>
      </c>
      <c r="T739" s="54" t="n">
        <f aca="true">RAND()</f>
        <v>0.0225654514143452</v>
      </c>
      <c r="U739" s="54" t="n">
        <f aca="true">RAND()</f>
        <v>0.244057156861146</v>
      </c>
    </row>
    <row r="740" customFormat="false" ht="15" hidden="false" customHeight="false" outlineLevel="0" collapsed="false">
      <c r="A740" s="50" t="n">
        <v>660</v>
      </c>
      <c r="B740" s="51" t="n">
        <f aca="false">1+IF($G$6=$E$6,$F$6,IF(P740&lt;($F$6-$E$6)/($G$6-$E$6),$E$6+SQRT(P740*($G$6-$E$6)*($F$6-$E$6)),$G$6-SQRT((1-P740)*($G$6-$E$6)*($G$6-$F$6))))</f>
        <v>1.03111326394221</v>
      </c>
      <c r="C740" s="51" t="n">
        <f aca="false">1+IF($G$7=$E$7,$F$7,IF(Q740&lt;($F$7-$E$7)/($G$7-$E$7),$E$7+SQRT(Q740*($G$7-$E$7)*($F$7-$E$7)),$G$7-SQRT((1-Q740)*($G$7-$E$7)*($G$7-$F$7))))</f>
        <v>0.911353852138942</v>
      </c>
      <c r="D740" s="51" t="n">
        <f aca="false">1+IF($G$8=$E$8,$F$8,IF(R740&lt;($F$8-$E$8)/($G$8-$E$8),$E$8+SQRT(R740*($G$8-$E$8)*($F$8-$E$8)),$G$8-SQRT((1-R740)*($G$8-$E$8)*($G$8-$F$8))))</f>
        <v>0.982810114004154</v>
      </c>
      <c r="E740" s="51" t="n">
        <f aca="false">1+IF($G$9=$E$9,$F$9,IF(S740&lt;($F$9-$E$9)/($G$9-$E$9),$E$9+SQRT(S740*($G$9-$E$9)*($F$9-$E$9)),$G$9-SQRT((1-S740)*($G$9-$E$9)*($G$9-$F$9))))</f>
        <v>1.00972155724358</v>
      </c>
      <c r="F740" s="51" t="n">
        <f aca="false">1+IF($G$10=$E$10,$F$10,IF(T740&lt;($F$10-$E$10)/($G$10-$E$10),$E$10+SQRT(T740*($G$10-$E$10)*($F$10-$E$10)),$G$10-SQRT((1-T740)*($G$10-$E$10)*($G$10-$F$10))))</f>
        <v>1.13314136860922</v>
      </c>
      <c r="G740" s="52" t="n">
        <f aca="false">IF($G$11=$E$11,$F$11,IF(U740&lt;($F$11-$E$11)/($G$11-$E$11),$E$11+SQRT(U740*($G$11-$E$11)*($F$11-$E$11)),$G$11-SQRT((1-U740)*($G$11-$E$11)*($G$11-$F$11))))</f>
        <v>0.112833337338456</v>
      </c>
      <c r="H740" s="53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-2266282737.21845</v>
      </c>
      <c r="I740" s="53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5557817.74135625</v>
      </c>
      <c r="J740" s="53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316726694.680893</v>
      </c>
      <c r="K740" s="53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684552640.050891</v>
      </c>
      <c r="L740" s="53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820751943.628884</v>
      </c>
      <c r="M740" s="53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999371838.918695</v>
      </c>
      <c r="N740" s="53" t="n">
        <f aca="false">IF(COUNT('Business Case'!B11:G11)=0,"",H740+NPV(G740,I740:M740))</f>
        <v>-388071361.262899</v>
      </c>
      <c r="P740" s="54" t="n">
        <f aca="true">RAND()</f>
        <v>0.983547067133145</v>
      </c>
      <c r="Q740" s="54" t="n">
        <f aca="true">RAND()</f>
        <v>0.177138291231161</v>
      </c>
      <c r="R740" s="54" t="n">
        <f aca="true">RAND()</f>
        <v>0.165615935533161</v>
      </c>
      <c r="S740" s="54" t="n">
        <f aca="true">RAND()</f>
        <v>0.456653518231692</v>
      </c>
      <c r="T740" s="54" t="n">
        <f aca="true">RAND()</f>
        <v>0.910598468171049</v>
      </c>
      <c r="U740" s="54" t="n">
        <f aca="true">RAND()</f>
        <v>0.914398243826059</v>
      </c>
    </row>
    <row r="741" customFormat="false" ht="15" hidden="false" customHeight="false" outlineLevel="0" collapsed="false">
      <c r="A741" s="50" t="n">
        <v>661</v>
      </c>
      <c r="B741" s="51" t="n">
        <f aca="false">1+IF($G$6=$E$6,$F$6,IF(P741&lt;($F$6-$E$6)/($G$6-$E$6),$E$6+SQRT(P741*($G$6-$E$6)*($F$6-$E$6)),$G$6-SQRT((1-P741)*($G$6-$E$6)*($G$6-$F$6))))</f>
        <v>0.988080975483009</v>
      </c>
      <c r="C741" s="51" t="n">
        <f aca="false">1+IF($G$7=$E$7,$F$7,IF(Q741&lt;($F$7-$E$7)/($G$7-$E$7),$E$7+SQRT(Q741*($G$7-$E$7)*($F$7-$E$7)),$G$7-SQRT((1-Q741)*($G$7-$E$7)*($G$7-$F$7))))</f>
        <v>1.01073609488754</v>
      </c>
      <c r="D741" s="51" t="n">
        <f aca="false">1+IF($G$8=$E$8,$F$8,IF(R741&lt;($F$8-$E$8)/($G$8-$E$8),$E$8+SQRT(R741*($G$8-$E$8)*($F$8-$E$8)),$G$8-SQRT((1-R741)*($G$8-$E$8)*($G$8-$F$8))))</f>
        <v>0.977603259479118</v>
      </c>
      <c r="E741" s="51" t="n">
        <f aca="false">1+IF($G$9=$E$9,$F$9,IF(S741&lt;($F$9-$E$9)/($G$9-$E$9),$E$9+SQRT(S741*($G$9-$E$9)*($F$9-$E$9)),$G$9-SQRT((1-S741)*($G$9-$E$9)*($G$9-$F$9))))</f>
        <v>1.0065961924977</v>
      </c>
      <c r="F741" s="51" t="n">
        <f aca="false">1+IF($G$10=$E$10,$F$10,IF(T741&lt;($F$10-$E$10)/($G$10-$E$10),$E$10+SQRT(T741*($G$10-$E$10)*($F$10-$E$10)),$G$10-SQRT((1-T741)*($G$10-$E$10)*($G$10-$F$10))))</f>
        <v>1.056899803886</v>
      </c>
      <c r="G741" s="52" t="n">
        <f aca="false">IF($G$11=$E$11,$F$11,IF(U741&lt;($F$11-$E$11)/($G$11-$E$11),$E$11+SQRT(U741*($G$11-$E$11)*($F$11-$E$11)),$G$11-SQRT((1-U741)*($G$11-$E$11)*($G$11-$F$11))))</f>
        <v>0.0934966461809688</v>
      </c>
      <c r="H741" s="53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-2113799607.77201</v>
      </c>
      <c r="I741" s="53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11570692.3517186</v>
      </c>
      <c r="J741" s="53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323741386.950959</v>
      </c>
      <c r="K741" s="53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688757071.744501</v>
      </c>
      <c r="L741" s="53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827328665.46808</v>
      </c>
      <c r="M741" s="53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1017159490.84916</v>
      </c>
      <c r="N741" s="53" t="n">
        <f aca="false">IF(COUNT('Business Case'!B11:G11)=0,"",H741+NPV(G741,I741:M741))</f>
        <v>-76489004.1011982</v>
      </c>
      <c r="P741" s="54" t="n">
        <f aca="true">RAND()</f>
        <v>0.482814502366473</v>
      </c>
      <c r="Q741" s="54" t="n">
        <f aca="true">RAND()</f>
        <v>0.630582185387196</v>
      </c>
      <c r="R741" s="54" t="n">
        <f aca="true">RAND()</f>
        <v>0.117221528287928</v>
      </c>
      <c r="S741" s="54" t="n">
        <f aca="true">RAND()</f>
        <v>0.418381916271578</v>
      </c>
      <c r="T741" s="54" t="n">
        <f aca="true">RAND()</f>
        <v>0.590446677442715</v>
      </c>
      <c r="U741" s="54" t="n">
        <f aca="true">RAND()</f>
        <v>0.0407551150496123</v>
      </c>
    </row>
    <row r="742" customFormat="false" ht="15" hidden="false" customHeight="false" outlineLevel="0" collapsed="false">
      <c r="A742" s="50" t="n">
        <v>662</v>
      </c>
      <c r="B742" s="51" t="n">
        <f aca="false">1+IF($G$6=$E$6,$F$6,IF(P742&lt;($F$6-$E$6)/($G$6-$E$6),$E$6+SQRT(P742*($G$6-$E$6)*($F$6-$E$6)),$G$6-SQRT((1-P742)*($G$6-$E$6)*($G$6-$F$6))))</f>
        <v>1.00212181691363</v>
      </c>
      <c r="C742" s="51" t="n">
        <f aca="false">1+IF($G$7=$E$7,$F$7,IF(Q742&lt;($F$7-$E$7)/($G$7-$E$7),$E$7+SQRT(Q742*($G$7-$E$7)*($F$7-$E$7)),$G$7-SQRT((1-Q742)*($G$7-$E$7)*($G$7-$F$7))))</f>
        <v>0.973159319419026</v>
      </c>
      <c r="D742" s="51" t="n">
        <f aca="false">1+IF($G$8=$E$8,$F$8,IF(R742&lt;($F$8-$E$8)/($G$8-$E$8),$E$8+SQRT(R742*($G$8-$E$8)*($F$8-$E$8)),$G$8-SQRT((1-R742)*($G$8-$E$8)*($G$8-$F$8))))</f>
        <v>0.995849488082153</v>
      </c>
      <c r="E742" s="51" t="n">
        <f aca="false">1+IF($G$9=$E$9,$F$9,IF(S742&lt;($F$9-$E$9)/($G$9-$E$9),$E$9+SQRT(S742*($G$9-$E$9)*($F$9-$E$9)),$G$9-SQRT((1-S742)*($G$9-$E$9)*($G$9-$F$9))))</f>
        <v>1.0420204027529</v>
      </c>
      <c r="F742" s="51" t="n">
        <f aca="false">1+IF($G$10=$E$10,$F$10,IF(T742&lt;($F$10-$E$10)/($G$10-$E$10),$E$10+SQRT(T742*($G$10-$E$10)*($F$10-$E$10)),$G$10-SQRT((1-T742)*($G$10-$E$10)*($G$10-$F$10))))</f>
        <v>0.990506173032978</v>
      </c>
      <c r="G742" s="52" t="n">
        <f aca="false">IF($G$11=$E$11,$F$11,IF(U742&lt;($F$11-$E$11)/($G$11-$E$11),$E$11+SQRT(U742*($G$11-$E$11)*($F$11-$E$11)),$G$11-SQRT((1-U742)*($G$11-$E$11)*($G$11-$F$11))))</f>
        <v>0.0951307615332114</v>
      </c>
      <c r="H742" s="53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-1981012346.06596</v>
      </c>
      <c r="I742" s="53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4885265.64180072</v>
      </c>
      <c r="J742" s="53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307552071.625486</v>
      </c>
      <c r="K742" s="53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659744186.26082</v>
      </c>
      <c r="L742" s="53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794336869.433465</v>
      </c>
      <c r="M742" s="53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979707482.579591</v>
      </c>
      <c r="N742" s="53" t="n">
        <f aca="false">IF(COUNT('Business Case'!B11:G11)=0,"",H742+NPV(G742,I742:M742))</f>
        <v>-43571868.752454</v>
      </c>
      <c r="P742" s="54" t="n">
        <f aca="true">RAND()</f>
        <v>0.701092342932433</v>
      </c>
      <c r="Q742" s="54" t="n">
        <f aca="true">RAND()</f>
        <v>0.428344998595147</v>
      </c>
      <c r="R742" s="54" t="n">
        <f aca="true">RAND()</f>
        <v>0.323411624214688</v>
      </c>
      <c r="S742" s="54" t="n">
        <f aca="true">RAND()</f>
        <v>0.775891086870908</v>
      </c>
      <c r="T742" s="54" t="n">
        <f aca="true">RAND()</f>
        <v>0.131260004302202</v>
      </c>
      <c r="U742" s="54" t="n">
        <f aca="true">RAND()</f>
        <v>0.0877490463689393</v>
      </c>
    </row>
    <row r="743" customFormat="false" ht="15" hidden="false" customHeight="false" outlineLevel="0" collapsed="false">
      <c r="A743" s="50" t="n">
        <v>663</v>
      </c>
      <c r="B743" s="51" t="n">
        <f aca="false">1+IF($G$6=$E$6,$F$6,IF(P743&lt;($F$6-$E$6)/($G$6-$E$6),$E$6+SQRT(P743*($G$6-$E$6)*($F$6-$E$6)),$G$6-SQRT((1-P743)*($G$6-$E$6)*($G$6-$F$6))))</f>
        <v>0.958992226800903</v>
      </c>
      <c r="C743" s="51" t="n">
        <f aca="false">1+IF($G$7=$E$7,$F$7,IF(Q743&lt;($F$7-$E$7)/($G$7-$E$7),$E$7+SQRT(Q743*($G$7-$E$7)*($F$7-$E$7)),$G$7-SQRT((1-Q743)*($G$7-$E$7)*($G$7-$F$7))))</f>
        <v>0.994395002910539</v>
      </c>
      <c r="D743" s="51" t="n">
        <f aca="false">1+IF($G$8=$E$8,$F$8,IF(R743&lt;($F$8-$E$8)/($G$8-$E$8),$E$8+SQRT(R743*($G$8-$E$8)*($F$8-$E$8)),$G$8-SQRT((1-R743)*($G$8-$E$8)*($G$8-$F$8))))</f>
        <v>1.06066800312906</v>
      </c>
      <c r="E743" s="51" t="n">
        <f aca="false">1+IF($G$9=$E$9,$F$9,IF(S743&lt;($F$9-$E$9)/($G$9-$E$9),$E$9+SQRT(S743*($G$9-$E$9)*($F$9-$E$9)),$G$9-SQRT((1-S743)*($G$9-$E$9)*($G$9-$F$9))))</f>
        <v>0.98151864729662</v>
      </c>
      <c r="F743" s="51" t="n">
        <f aca="false">1+IF($G$10=$E$10,$F$10,IF(T743&lt;($F$10-$E$10)/($G$10-$E$10),$E$10+SQRT(T743*($G$10-$E$10)*($F$10-$E$10)),$G$10-SQRT((1-T743)*($G$10-$E$10)*($G$10-$F$10))))</f>
        <v>0.998603671975168</v>
      </c>
      <c r="G743" s="52" t="n">
        <f aca="false">IF($G$11=$E$11,$F$11,IF(U743&lt;($F$11-$E$11)/($G$11-$E$11),$E$11+SQRT(U743*($G$11-$E$11)*($F$11-$E$11)),$G$11-SQRT((1-U743)*($G$11-$E$11)*($G$11-$F$11))))</f>
        <v>0.102662708050764</v>
      </c>
      <c r="H743" s="53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-1997207343.95034</v>
      </c>
      <c r="I743" s="53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-47720559.4686366</v>
      </c>
      <c r="J743" s="53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193426709.237682</v>
      </c>
      <c r="K743" s="53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484504161.54276</v>
      </c>
      <c r="L743" s="53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597843590.666106</v>
      </c>
      <c r="M743" s="53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779107124.882924</v>
      </c>
      <c r="N743" s="53" t="n">
        <f aca="false">IF(COUNT('Business Case'!B11:G11)=0,"",H743+NPV(G743,I743:M743))</f>
        <v>-637658102.712902</v>
      </c>
      <c r="P743" s="54" t="n">
        <f aca="true">RAND()</f>
        <v>0.158374349051356</v>
      </c>
      <c r="Q743" s="54" t="n">
        <f aca="true">RAND()</f>
        <v>0.539848816522691</v>
      </c>
      <c r="R743" s="54" t="n">
        <f aca="true">RAND()</f>
        <v>0.96406479778674</v>
      </c>
      <c r="S743" s="54" t="n">
        <f aca="true">RAND()</f>
        <v>0.132456683654501</v>
      </c>
      <c r="T743" s="54" t="n">
        <f aca="true">RAND()</f>
        <v>0.188985354357577</v>
      </c>
      <c r="U743" s="54" t="n">
        <f aca="true">RAND()</f>
        <v>0.49903051311159</v>
      </c>
    </row>
    <row r="744" customFormat="false" ht="15" hidden="false" customHeight="false" outlineLevel="0" collapsed="false">
      <c r="A744" s="50" t="n">
        <v>664</v>
      </c>
      <c r="B744" s="51" t="n">
        <f aca="false">1+IF($G$6=$E$6,$F$6,IF(P744&lt;($F$6-$E$6)/($G$6-$E$6),$E$6+SQRT(P744*($G$6-$E$6)*($F$6-$E$6)),$G$6-SQRT((1-P744)*($G$6-$E$6)*($G$6-$F$6))))</f>
        <v>0.959129530983244</v>
      </c>
      <c r="C744" s="51" t="n">
        <f aca="false">1+IF($G$7=$E$7,$F$7,IF(Q744&lt;($F$7-$E$7)/($G$7-$E$7),$E$7+SQRT(Q744*($G$7-$E$7)*($F$7-$E$7)),$G$7-SQRT((1-Q744)*($G$7-$E$7)*($G$7-$F$7))))</f>
        <v>1.00086005162417</v>
      </c>
      <c r="D744" s="51" t="n">
        <f aca="false">1+IF($G$8=$E$8,$F$8,IF(R744&lt;($F$8-$E$8)/($G$8-$E$8),$E$8+SQRT(R744*($G$8-$E$8)*($F$8-$E$8)),$G$8-SQRT((1-R744)*($G$8-$E$8)*($G$8-$F$8))))</f>
        <v>1.00315860395043</v>
      </c>
      <c r="E744" s="51" t="n">
        <f aca="false">1+IF($G$9=$E$9,$F$9,IF(S744&lt;($F$9-$E$9)/($G$9-$E$9),$E$9+SQRT(S744*($G$9-$E$9)*($F$9-$E$9)),$G$9-SQRT((1-S744)*($G$9-$E$9)*($G$9-$F$9))))</f>
        <v>1.05805103402266</v>
      </c>
      <c r="F744" s="51" t="n">
        <f aca="false">1+IF($G$10=$E$10,$F$10,IF(T744&lt;($F$10-$E$10)/($G$10-$E$10),$E$10+SQRT(T744*($G$10-$E$10)*($F$10-$E$10)),$G$10-SQRT((1-T744)*($G$10-$E$10)*($G$10-$F$10))))</f>
        <v>1.09953404070833</v>
      </c>
      <c r="G744" s="52" t="n">
        <f aca="false">IF($G$11=$E$11,$F$11,IF(U744&lt;($F$11-$E$11)/($G$11-$E$11),$E$11+SQRT(U744*($G$11-$E$11)*($F$11-$E$11)),$G$11-SQRT((1-U744)*($G$11-$E$11)*($G$11-$F$11))))</f>
        <v>0.10511369050495</v>
      </c>
      <c r="H744" s="53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-2199068081.41666</v>
      </c>
      <c r="I744" s="53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-37879123.2422436</v>
      </c>
      <c r="J744" s="53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234414052.373761</v>
      </c>
      <c r="K744" s="53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561683930.025183</v>
      </c>
      <c r="L744" s="53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685624347.063446</v>
      </c>
      <c r="M744" s="53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868092485.477886</v>
      </c>
      <c r="N744" s="53" t="n">
        <f aca="false">IF(COUNT('Business Case'!B11:G11)=0,"",H744+NPV(G744,I744:M744))</f>
        <v>-638888097.157639</v>
      </c>
      <c r="P744" s="54" t="n">
        <f aca="true">RAND()</f>
        <v>0.159491686975901</v>
      </c>
      <c r="Q744" s="54" t="n">
        <f aca="true">RAND()</f>
        <v>0.576329062827688</v>
      </c>
      <c r="R744" s="54" t="n">
        <f aca="true">RAND()</f>
        <v>0.432249985880148</v>
      </c>
      <c r="S744" s="54" t="n">
        <f aca="true">RAND()</f>
        <v>0.882685616895479</v>
      </c>
      <c r="T744" s="54" t="n">
        <f aca="true">RAND()</f>
        <v>0.798131820472084</v>
      </c>
      <c r="U744" s="54" t="n">
        <f aca="true">RAND()</f>
        <v>0.630662982695993</v>
      </c>
    </row>
    <row r="745" customFormat="false" ht="15" hidden="false" customHeight="false" outlineLevel="0" collapsed="false">
      <c r="A745" s="50" t="n">
        <v>665</v>
      </c>
      <c r="B745" s="51" t="n">
        <f aca="false">1+IF($G$6=$E$6,$F$6,IF(P745&lt;($F$6-$E$6)/($G$6-$E$6),$E$6+SQRT(P745*($G$6-$E$6)*($F$6-$E$6)),$G$6-SQRT((1-P745)*($G$6-$E$6)*($G$6-$F$6))))</f>
        <v>1.02362948395024</v>
      </c>
      <c r="C745" s="51" t="n">
        <f aca="false">1+IF($G$7=$E$7,$F$7,IF(Q745&lt;($F$7-$E$7)/($G$7-$E$7),$E$7+SQRT(Q745*($G$7-$E$7)*($F$7-$E$7)),$G$7-SQRT((1-Q745)*($G$7-$E$7)*($G$7-$F$7))))</f>
        <v>0.864902858098131</v>
      </c>
      <c r="D745" s="51" t="n">
        <f aca="false">1+IF($G$8=$E$8,$F$8,IF(R745&lt;($F$8-$E$8)/($G$8-$E$8),$E$8+SQRT(R745*($G$8-$E$8)*($F$8-$E$8)),$G$8-SQRT((1-R745)*($G$8-$E$8)*($G$8-$F$8))))</f>
        <v>1.01684183702688</v>
      </c>
      <c r="E745" s="51" t="n">
        <f aca="false">1+IF($G$9=$E$9,$F$9,IF(S745&lt;($F$9-$E$9)/($G$9-$E$9),$E$9+SQRT(S745*($G$9-$E$9)*($F$9-$E$9)),$G$9-SQRT((1-S745)*($G$9-$E$9)*($G$9-$F$9))))</f>
        <v>0.978986061760079</v>
      </c>
      <c r="F745" s="51" t="n">
        <f aca="false">1+IF($G$10=$E$10,$F$10,IF(T745&lt;($F$10-$E$10)/($G$10-$E$10),$E$10+SQRT(T745*($G$10-$E$10)*($F$10-$E$10)),$G$10-SQRT((1-T745)*($G$10-$E$10)*($G$10-$F$10))))</f>
        <v>1.1960085907375</v>
      </c>
      <c r="G745" s="52" t="n">
        <f aca="false">IF($G$11=$E$11,$F$11,IF(U745&lt;($F$11-$E$11)/($G$11-$E$11),$E$11+SQRT(U745*($G$11-$E$11)*($F$11-$E$11)),$G$11-SQRT((1-U745)*($G$11-$E$11)*($G$11-$F$11))))</f>
        <v>0.0975837900369693</v>
      </c>
      <c r="H745" s="53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-2392017181.475</v>
      </c>
      <c r="I745" s="53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-29769428.2261595</v>
      </c>
      <c r="J745" s="53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245169849.640814</v>
      </c>
      <c r="K745" s="53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579909557.044663</v>
      </c>
      <c r="L745" s="53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702153335.691721</v>
      </c>
      <c r="M745" s="53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870438775.49442</v>
      </c>
      <c r="N745" s="53" t="n">
        <f aca="false">IF(COUNT('Business Case'!B11:G11)=0,"",H745+NPV(G745,I745:M745))</f>
        <v>-746782389.275966</v>
      </c>
      <c r="P745" s="54" t="n">
        <f aca="true">RAND()</f>
        <v>0.944167959221798</v>
      </c>
      <c r="Q745" s="54" t="n">
        <f aca="true">RAND()</f>
        <v>0.0601768712758017</v>
      </c>
      <c r="R745" s="54" t="n">
        <f aca="true">RAND()</f>
        <v>0.616446774025044</v>
      </c>
      <c r="S745" s="54" t="n">
        <f aca="true">RAND()</f>
        <v>0.112025570181216</v>
      </c>
      <c r="T745" s="54" t="n">
        <f aca="true">RAND()</f>
        <v>0.999681373041985</v>
      </c>
      <c r="U745" s="54" t="n">
        <f aca="true">RAND()</f>
        <v>0.191712904416117</v>
      </c>
    </row>
    <row r="746" customFormat="false" ht="15" hidden="false" customHeight="false" outlineLevel="0" collapsed="false">
      <c r="A746" s="50" t="n">
        <v>666</v>
      </c>
      <c r="B746" s="51" t="n">
        <f aca="false">1+IF($G$6=$E$6,$F$6,IF(P746&lt;($F$6-$E$6)/($G$6-$E$6),$E$6+SQRT(P746*($G$6-$E$6)*($F$6-$E$6)),$G$6-SQRT((1-P746)*($G$6-$E$6)*($G$6-$F$6))))</f>
        <v>0.957840124535432</v>
      </c>
      <c r="C746" s="51" t="n">
        <f aca="false">1+IF($G$7=$E$7,$F$7,IF(Q746&lt;($F$7-$E$7)/($G$7-$E$7),$E$7+SQRT(Q746*($G$7-$E$7)*($F$7-$E$7)),$G$7-SQRT((1-Q746)*($G$7-$E$7)*($G$7-$F$7))))</f>
        <v>0.831866520325755</v>
      </c>
      <c r="D746" s="51" t="n">
        <f aca="false">1+IF($G$8=$E$8,$F$8,IF(R746&lt;($F$8-$E$8)/($G$8-$E$8),$E$8+SQRT(R746*($G$8-$E$8)*($F$8-$E$8)),$G$8-SQRT((1-R746)*($G$8-$E$8)*($G$8-$F$8))))</f>
        <v>1.03425815567746</v>
      </c>
      <c r="E746" s="51" t="n">
        <f aca="false">1+IF($G$9=$E$9,$F$9,IF(S746&lt;($F$9-$E$9)/($G$9-$E$9),$E$9+SQRT(S746*($G$9-$E$9)*($F$9-$E$9)),$G$9-SQRT((1-S746)*($G$9-$E$9)*($G$9-$F$9))))</f>
        <v>0.976900358781192</v>
      </c>
      <c r="F746" s="51" t="n">
        <f aca="false">1+IF($G$10=$E$10,$F$10,IF(T746&lt;($F$10-$E$10)/($G$10-$E$10),$E$10+SQRT(T746*($G$10-$E$10)*($F$10-$E$10)),$G$10-SQRT((1-T746)*($G$10-$E$10)*($G$10-$F$10))))</f>
        <v>1.13566051029357</v>
      </c>
      <c r="G746" s="52" t="n">
        <f aca="false">IF($G$11=$E$11,$F$11,IF(U746&lt;($F$11-$E$11)/($G$11-$E$11),$E$11+SQRT(U746*($G$11-$E$11)*($F$11-$E$11)),$G$11-SQRT((1-U746)*($G$11-$E$11)*($G$11-$F$11))))</f>
        <v>0.109795565753376</v>
      </c>
      <c r="H746" s="53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-2271321020.58714</v>
      </c>
      <c r="I746" s="53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-81592473.9333642</v>
      </c>
      <c r="J746" s="53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130602193.794421</v>
      </c>
      <c r="K746" s="53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399579887.036885</v>
      </c>
      <c r="L746" s="53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497848682.688219</v>
      </c>
      <c r="M746" s="53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649303501.269611</v>
      </c>
      <c r="N746" s="53" t="n">
        <f aca="false">IF(COUNT('Business Case'!B11:G11)=0,"",H746+NPV(G746,I746:M746))</f>
        <v>-1232596587.85733</v>
      </c>
      <c r="P746" s="54" t="n">
        <f aca="true">RAND()</f>
        <v>0.149153648422606</v>
      </c>
      <c r="Q746" s="54" t="n">
        <f aca="true">RAND()</f>
        <v>0.0145067873953106</v>
      </c>
      <c r="R746" s="54" t="n">
        <f aca="true">RAND()</f>
        <v>0.798815738266579</v>
      </c>
      <c r="S746" s="54" t="n">
        <f aca="true">RAND()</f>
        <v>0.0964839070075831</v>
      </c>
      <c r="T746" s="54" t="n">
        <f aca="true">RAND()</f>
        <v>0.917208601286326</v>
      </c>
      <c r="U746" s="54" t="n">
        <f aca="true">RAND()</f>
        <v>0.826449202843894</v>
      </c>
    </row>
    <row r="747" customFormat="false" ht="15" hidden="false" customHeight="false" outlineLevel="0" collapsed="false">
      <c r="A747" s="50" t="n">
        <v>667</v>
      </c>
      <c r="B747" s="51" t="n">
        <f aca="false">1+IF($G$6=$E$6,$F$6,IF(P747&lt;($F$6-$E$6)/($G$6-$E$6),$E$6+SQRT(P747*($G$6-$E$6)*($F$6-$E$6)),$G$6-SQRT((1-P747)*($G$6-$E$6)*($G$6-$F$6))))</f>
        <v>0.994348533475003</v>
      </c>
      <c r="C747" s="51" t="n">
        <f aca="false">1+IF($G$7=$E$7,$F$7,IF(Q747&lt;($F$7-$E$7)/($G$7-$E$7),$E$7+SQRT(Q747*($G$7-$E$7)*($F$7-$E$7)),$G$7-SQRT((1-Q747)*($G$7-$E$7)*($G$7-$F$7))))</f>
        <v>0.87995792246086</v>
      </c>
      <c r="D747" s="51" t="n">
        <f aca="false">1+IF($G$8=$E$8,$F$8,IF(R747&lt;($F$8-$E$8)/($G$8-$E$8),$E$8+SQRT(R747*($G$8-$E$8)*($F$8-$E$8)),$G$8-SQRT((1-R747)*($G$8-$E$8)*($G$8-$F$8))))</f>
        <v>0.990791595670404</v>
      </c>
      <c r="E747" s="51" t="n">
        <f aca="false">1+IF($G$9=$E$9,$F$9,IF(S747&lt;($F$9-$E$9)/($G$9-$E$9),$E$9+SQRT(S747*($G$9-$E$9)*($F$9-$E$9)),$G$9-SQRT((1-S747)*($G$9-$E$9)*($G$9-$F$9))))</f>
        <v>1.04840714853005</v>
      </c>
      <c r="F747" s="51" t="n">
        <f aca="false">1+IF($G$10=$E$10,$F$10,IF(T747&lt;($F$10-$E$10)/($G$10-$E$10),$E$10+SQRT(T747*($G$10-$E$10)*($F$10-$E$10)),$G$10-SQRT((1-T747)*($G$10-$E$10)*($G$10-$F$10))))</f>
        <v>1.00447355502509</v>
      </c>
      <c r="G747" s="52" t="n">
        <f aca="false">IF($G$11=$E$11,$F$11,IF(U747&lt;($F$11-$E$11)/($G$11-$E$11),$E$11+SQRT(U747*($G$11-$E$11)*($F$11-$E$11)),$G$11-SQRT((1-U747)*($G$11-$E$11)*($G$11-$F$11))))</f>
        <v>0.0992135399852962</v>
      </c>
      <c r="H747" s="53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-2008947110.05018</v>
      </c>
      <c r="I747" s="53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-24534428.0946784</v>
      </c>
      <c r="J747" s="53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245821211.48034</v>
      </c>
      <c r="K747" s="53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566400528.806614</v>
      </c>
      <c r="L747" s="53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686758552.429097</v>
      </c>
      <c r="M747" s="53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853075676.465221</v>
      </c>
      <c r="N747" s="53" t="n">
        <f aca="false">IF(COUNT('Business Case'!B11:G11)=0,"",H747+NPV(G747,I747:M747))</f>
        <v>-399359405.981288</v>
      </c>
      <c r="P747" s="54" t="n">
        <f aca="true">RAND()</f>
        <v>0.57580254477955</v>
      </c>
      <c r="Q747" s="54" t="n">
        <f aca="true">RAND()</f>
        <v>0.0913324194893836</v>
      </c>
      <c r="R747" s="54" t="n">
        <f aca="true">RAND()</f>
        <v>0.255992965744268</v>
      </c>
      <c r="S747" s="54" t="n">
        <f aca="true">RAND()</f>
        <v>0.822545178479957</v>
      </c>
      <c r="T747" s="54" t="n">
        <f aca="true">RAND()</f>
        <v>0.235388186309462</v>
      </c>
      <c r="U747" s="54" t="n">
        <f aca="true">RAND()</f>
        <v>0.282964396868838</v>
      </c>
    </row>
    <row r="748" customFormat="false" ht="15" hidden="false" customHeight="false" outlineLevel="0" collapsed="false">
      <c r="A748" s="50" t="n">
        <v>668</v>
      </c>
      <c r="B748" s="51" t="n">
        <f aca="false">1+IF($G$6=$E$6,$F$6,IF(P748&lt;($F$6-$E$6)/($G$6-$E$6),$E$6+SQRT(P748*($G$6-$E$6)*($F$6-$E$6)),$G$6-SQRT((1-P748)*($G$6-$E$6)*($G$6-$F$6))))</f>
        <v>0.960561167055754</v>
      </c>
      <c r="C748" s="51" t="n">
        <f aca="false">1+IF($G$7=$E$7,$F$7,IF(Q748&lt;($F$7-$E$7)/($G$7-$E$7),$E$7+SQRT(Q748*($G$7-$E$7)*($F$7-$E$7)),$G$7-SQRT((1-Q748)*($G$7-$E$7)*($G$7-$F$7))))</f>
        <v>1.0852580953341</v>
      </c>
      <c r="D748" s="51" t="n">
        <f aca="false">1+IF($G$8=$E$8,$F$8,IF(R748&lt;($F$8-$E$8)/($G$8-$E$8),$E$8+SQRT(R748*($G$8-$E$8)*($F$8-$E$8)),$G$8-SQRT((1-R748)*($G$8-$E$8)*($G$8-$F$8))))</f>
        <v>1.00762526349859</v>
      </c>
      <c r="E748" s="51" t="n">
        <f aca="false">1+IF($G$9=$E$9,$F$9,IF(S748&lt;($F$9-$E$9)/($G$9-$E$9),$E$9+SQRT(S748*($G$9-$E$9)*($F$9-$E$9)),$G$9-SQRT((1-S748)*($G$9-$E$9)*($G$9-$F$9))))</f>
        <v>1.04754248532627</v>
      </c>
      <c r="F748" s="51" t="n">
        <f aca="false">1+IF($G$10=$E$10,$F$10,IF(T748&lt;($F$10-$E$10)/($G$10-$E$10),$E$10+SQRT(T748*($G$10-$E$10)*($F$10-$E$10)),$G$10-SQRT((1-T748)*($G$10-$E$10)*($G$10-$F$10))))</f>
        <v>1.03170387703211</v>
      </c>
      <c r="G748" s="52" t="n">
        <f aca="false">IF($G$11=$E$11,$F$11,IF(U748&lt;($F$11-$E$11)/($G$11-$E$11),$E$11+SQRT(U748*($G$11-$E$11)*($F$11-$E$11)),$G$11-SQRT((1-U748)*($G$11-$E$11)*($G$11-$F$11))))</f>
        <v>0.104972304487251</v>
      </c>
      <c r="H748" s="53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-2063407754.06423</v>
      </c>
      <c r="I748" s="53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-12126383.0313925</v>
      </c>
      <c r="J748" s="53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281919122.664367</v>
      </c>
      <c r="K748" s="53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627549822.211732</v>
      </c>
      <c r="L748" s="53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761592297.184015</v>
      </c>
      <c r="M748" s="53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959742482.422681</v>
      </c>
      <c r="N748" s="53" t="n">
        <f aca="false">IF(COUNT('Business Case'!B11:G11)=0,"",H748+NPV(G748,I748:M748))</f>
        <v>-284817893.547002</v>
      </c>
      <c r="P748" s="54" t="n">
        <f aca="true">RAND()</f>
        <v>0.171375861762995</v>
      </c>
      <c r="Q748" s="54" t="n">
        <f aca="true">RAND()</f>
        <v>0.920161633909162</v>
      </c>
      <c r="R748" s="54" t="n">
        <f aca="true">RAND()</f>
        <v>0.496336299649108</v>
      </c>
      <c r="S748" s="54" t="n">
        <f aca="true">RAND()</f>
        <v>0.816547276950342</v>
      </c>
      <c r="T748" s="54" t="n">
        <f aca="true">RAND()</f>
        <v>0.433528299879567</v>
      </c>
      <c r="U748" s="54" t="n">
        <f aca="true">RAND()</f>
        <v>0.623613945960178</v>
      </c>
    </row>
    <row r="749" customFormat="false" ht="15" hidden="false" customHeight="false" outlineLevel="0" collapsed="false">
      <c r="A749" s="50" t="n">
        <v>669</v>
      </c>
      <c r="B749" s="51" t="n">
        <f aca="false">1+IF($G$6=$E$6,$F$6,IF(P749&lt;($F$6-$E$6)/($G$6-$E$6),$E$6+SQRT(P749*($G$6-$E$6)*($F$6-$E$6)),$G$6-SQRT((1-P749)*($G$6-$E$6)*($G$6-$F$6))))</f>
        <v>1.00168450529049</v>
      </c>
      <c r="C749" s="51" t="n">
        <f aca="false">1+IF($G$7=$E$7,$F$7,IF(Q749&lt;($F$7-$E$7)/($G$7-$E$7),$E$7+SQRT(Q749*($G$7-$E$7)*($F$7-$E$7)),$G$7-SQRT((1-Q749)*($G$7-$E$7)*($G$7-$F$7))))</f>
        <v>0.905305198343425</v>
      </c>
      <c r="D749" s="51" t="n">
        <f aca="false">1+IF($G$8=$E$8,$F$8,IF(R749&lt;($F$8-$E$8)/($G$8-$E$8),$E$8+SQRT(R749*($G$8-$E$8)*($F$8-$E$8)),$G$8-SQRT((1-R749)*($G$8-$E$8)*($G$8-$F$8))))</f>
        <v>1.00045783627542</v>
      </c>
      <c r="E749" s="51" t="n">
        <f aca="false">1+IF($G$9=$E$9,$F$9,IF(S749&lt;($F$9-$E$9)/($G$9-$E$9),$E$9+SQRT(S749*($G$9-$E$9)*($F$9-$E$9)),$G$9-SQRT((1-S749)*($G$9-$E$9)*($G$9-$F$9))))</f>
        <v>1.05982099096654</v>
      </c>
      <c r="F749" s="51" t="n">
        <f aca="false">1+IF($G$10=$E$10,$F$10,IF(T749&lt;($F$10-$E$10)/($G$10-$E$10),$E$10+SQRT(T749*($G$10-$E$10)*($F$10-$E$10)),$G$10-SQRT((1-T749)*($G$10-$E$10)*($G$10-$F$10))))</f>
        <v>0.981293858656093</v>
      </c>
      <c r="G749" s="52" t="n">
        <f aca="false">IF($G$11=$E$11,$F$11,IF(U749&lt;($F$11-$E$11)/($G$11-$E$11),$E$11+SQRT(U749*($G$11-$E$11)*($F$11-$E$11)),$G$11-SQRT((1-U749)*($G$11-$E$11)*($G$11-$F$11))))</f>
        <v>0.110630697436956</v>
      </c>
      <c r="H749" s="53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-1962587717.31219</v>
      </c>
      <c r="I749" s="53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-16742809.1830267</v>
      </c>
      <c r="J749" s="53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262360389.451095</v>
      </c>
      <c r="K749" s="53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590528281.018022</v>
      </c>
      <c r="L749" s="53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714902731.920128</v>
      </c>
      <c r="M749" s="53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887273014.385821</v>
      </c>
      <c r="N749" s="53" t="n">
        <f aca="false">IF(COUNT('Business Case'!B11:G11)=0,"",H749+NPV(G749,I749:M749))</f>
        <v>-338993216.770942</v>
      </c>
      <c r="P749" s="54" t="n">
        <f aca="true">RAND()</f>
        <v>0.694150596909523</v>
      </c>
      <c r="Q749" s="54" t="n">
        <f aca="true">RAND()</f>
        <v>0.15841692568783</v>
      </c>
      <c r="R749" s="54" t="n">
        <f aca="true">RAND()</f>
        <v>0.391638864424234</v>
      </c>
      <c r="S749" s="54" t="n">
        <f aca="true">RAND()</f>
        <v>0.892376482205922</v>
      </c>
      <c r="T749" s="54" t="n">
        <f aca="true">RAND()</f>
        <v>0.0783444471670005</v>
      </c>
      <c r="U749" s="54" t="n">
        <f aca="true">RAND()</f>
        <v>0.85369361580356</v>
      </c>
    </row>
    <row r="750" customFormat="false" ht="15" hidden="false" customHeight="false" outlineLevel="0" collapsed="false">
      <c r="A750" s="50" t="n">
        <v>670</v>
      </c>
      <c r="B750" s="51" t="n">
        <f aca="false">1+IF($G$6=$E$6,$F$6,IF(P750&lt;($F$6-$E$6)/($G$6-$E$6),$E$6+SQRT(P750*($G$6-$E$6)*($F$6-$E$6)),$G$6-SQRT((1-P750)*($G$6-$E$6)*($G$6-$F$6))))</f>
        <v>0.986706224746898</v>
      </c>
      <c r="C750" s="51" t="n">
        <f aca="false">1+IF($G$7=$E$7,$F$7,IF(Q750&lt;($F$7-$E$7)/($G$7-$E$7),$E$7+SQRT(Q750*($G$7-$E$7)*($F$7-$E$7)),$G$7-SQRT((1-Q750)*($G$7-$E$7)*($G$7-$F$7))))</f>
        <v>0.992278293097616</v>
      </c>
      <c r="D750" s="51" t="n">
        <f aca="false">1+IF($G$8=$E$8,$F$8,IF(R750&lt;($F$8-$E$8)/($G$8-$E$8),$E$8+SQRT(R750*($G$8-$E$8)*($F$8-$E$8)),$G$8-SQRT((1-R750)*($G$8-$E$8)*($G$8-$F$8))))</f>
        <v>1.04358078056108</v>
      </c>
      <c r="E750" s="51" t="n">
        <f aca="false">1+IF($G$9=$E$9,$F$9,IF(S750&lt;($F$9-$E$9)/($G$9-$E$9),$E$9+SQRT(S750*($G$9-$E$9)*($F$9-$E$9)),$G$9-SQRT((1-S750)*($G$9-$E$9)*($G$9-$F$9))))</f>
        <v>1.00209224723717</v>
      </c>
      <c r="F750" s="51" t="n">
        <f aca="false">1+IF($G$10=$E$10,$F$10,IF(T750&lt;($F$10-$E$10)/($G$10-$E$10),$E$10+SQRT(T750*($G$10-$E$10)*($F$10-$E$10)),$G$10-SQRT((1-T750)*($G$10-$E$10)*($G$10-$F$10))))</f>
        <v>1.03585708375526</v>
      </c>
      <c r="G750" s="52" t="n">
        <f aca="false">IF($G$11=$E$11,$F$11,IF(U750&lt;($F$11-$E$11)/($G$11-$E$11),$E$11+SQRT(U750*($G$11-$E$11)*($F$11-$E$11)),$G$11-SQRT((1-U750)*($G$11-$E$11)*($G$11-$F$11))))</f>
        <v>0.104146762929528</v>
      </c>
      <c r="H750" s="53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-2071714167.51052</v>
      </c>
      <c r="I750" s="53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-25000926.1705088</v>
      </c>
      <c r="J750" s="53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246837252.40567</v>
      </c>
      <c r="K750" s="53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570468285.169612</v>
      </c>
      <c r="L750" s="53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694918263.904362</v>
      </c>
      <c r="M750" s="53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881023152.889163</v>
      </c>
      <c r="N750" s="53" t="n">
        <f aca="false">IF(COUNT('Business Case'!B11:G11)=0,"",H750+NPV(G750,I750:M750))</f>
        <v>-463699455.469488</v>
      </c>
      <c r="P750" s="54" t="n">
        <f aca="true">RAND()</f>
        <v>0.463512543748296</v>
      </c>
      <c r="Q750" s="54" t="n">
        <f aca="true">RAND()</f>
        <v>0.528156314236181</v>
      </c>
      <c r="R750" s="54" t="n">
        <f aca="true">RAND()</f>
        <v>0.87246542840963</v>
      </c>
      <c r="S750" s="54" t="n">
        <f aca="true">RAND()</f>
        <v>0.360938129928807</v>
      </c>
      <c r="T750" s="54" t="n">
        <f aca="true">RAND()</f>
        <v>0.461142060933432</v>
      </c>
      <c r="U750" s="54" t="n">
        <f aca="true">RAND()</f>
        <v>0.581124790645702</v>
      </c>
    </row>
    <row r="751" customFormat="false" ht="15" hidden="false" customHeight="false" outlineLevel="0" collapsed="false">
      <c r="A751" s="50" t="n">
        <v>671</v>
      </c>
      <c r="B751" s="51" t="n">
        <f aca="false">1+IF($G$6=$E$6,$F$6,IF(P751&lt;($F$6-$E$6)/($G$6-$E$6),$E$6+SQRT(P751*($G$6-$E$6)*($F$6-$E$6)),$G$6-SQRT((1-P751)*($G$6-$E$6)*($G$6-$F$6))))</f>
        <v>0.950761535986325</v>
      </c>
      <c r="C751" s="51" t="n">
        <f aca="false">1+IF($G$7=$E$7,$F$7,IF(Q751&lt;($F$7-$E$7)/($G$7-$E$7),$E$7+SQRT(Q751*($G$7-$E$7)*($F$7-$E$7)),$G$7-SQRT((1-Q751)*($G$7-$E$7)*($G$7-$F$7))))</f>
        <v>0.948436000952954</v>
      </c>
      <c r="D751" s="51" t="n">
        <f aca="false">1+IF($G$8=$E$8,$F$8,IF(R751&lt;($F$8-$E$8)/($G$8-$E$8),$E$8+SQRT(R751*($G$8-$E$8)*($F$8-$E$8)),$G$8-SQRT((1-R751)*($G$8-$E$8)*($G$8-$F$8))))</f>
        <v>1.05103984839585</v>
      </c>
      <c r="E751" s="51" t="n">
        <f aca="false">1+IF($G$9=$E$9,$F$9,IF(S751&lt;($F$9-$E$9)/($G$9-$E$9),$E$9+SQRT(S751*($G$9-$E$9)*($F$9-$E$9)),$G$9-SQRT((1-S751)*($G$9-$E$9)*($G$9-$F$9))))</f>
        <v>0.994401937501701</v>
      </c>
      <c r="F751" s="51" t="n">
        <f aca="false">1+IF($G$10=$E$10,$F$10,IF(T751&lt;($F$10-$E$10)/($G$10-$E$10),$E$10+SQRT(T751*($G$10-$E$10)*($F$10-$E$10)),$G$10-SQRT((1-T751)*($G$10-$E$10)*($G$10-$F$10))))</f>
        <v>0.980415348622476</v>
      </c>
      <c r="G751" s="52" t="n">
        <f aca="false">IF($G$11=$E$11,$F$11,IF(U751&lt;($F$11-$E$11)/($G$11-$E$11),$E$11+SQRT(U751*($G$11-$E$11)*($F$11-$E$11)),$G$11-SQRT((1-U751)*($G$11-$E$11)*($G$11-$F$11))))</f>
        <v>0.106019362372675</v>
      </c>
      <c r="H751" s="53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-1960830697.24495</v>
      </c>
      <c r="I751" s="53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-57908811.9250232</v>
      </c>
      <c r="J751" s="53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170373885.080534</v>
      </c>
      <c r="K751" s="53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447677349.517216</v>
      </c>
      <c r="L751" s="53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554935594.222796</v>
      </c>
      <c r="M751" s="53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726337662.259964</v>
      </c>
      <c r="N751" s="53" t="n">
        <f aca="false">IF(COUNT('Business Case'!B11:G11)=0,"",H751+NPV(G751,I751:M751))</f>
        <v>-733324013.532618</v>
      </c>
      <c r="P751" s="54" t="n">
        <f aca="true">RAND()</f>
        <v>0.0985700100247885</v>
      </c>
      <c r="Q751" s="54" t="n">
        <f aca="true">RAND()</f>
        <v>0.314760662555789</v>
      </c>
      <c r="R751" s="54" t="n">
        <f aca="true">RAND()</f>
        <v>0.91935669414084</v>
      </c>
      <c r="S751" s="54" t="n">
        <f aca="true">RAND()</f>
        <v>0.262870940520666</v>
      </c>
      <c r="T751" s="54" t="n">
        <f aca="true">RAND()</f>
        <v>0.0740074745461392</v>
      </c>
      <c r="U751" s="54" t="n">
        <f aca="true">RAND()</f>
        <v>0.674236285889041</v>
      </c>
    </row>
    <row r="752" customFormat="false" ht="15" hidden="false" customHeight="false" outlineLevel="0" collapsed="false">
      <c r="A752" s="50" t="n">
        <v>672</v>
      </c>
      <c r="B752" s="51" t="n">
        <f aca="false">1+IF($G$6=$E$6,$F$6,IF(P752&lt;($F$6-$E$6)/($G$6-$E$6),$E$6+SQRT(P752*($G$6-$E$6)*($F$6-$E$6)),$G$6-SQRT((1-P752)*($G$6-$E$6)*($G$6-$F$6))))</f>
        <v>0.991391377412254</v>
      </c>
      <c r="C752" s="51" t="n">
        <f aca="false">1+IF($G$7=$E$7,$F$7,IF(Q752&lt;($F$7-$E$7)/($G$7-$E$7),$E$7+SQRT(Q752*($G$7-$E$7)*($F$7-$E$7)),$G$7-SQRT((1-Q752)*($G$7-$E$7)*($G$7-$F$7))))</f>
        <v>1.03467161037186</v>
      </c>
      <c r="D752" s="51" t="n">
        <f aca="false">1+IF($G$8=$E$8,$F$8,IF(R752&lt;($F$8-$E$8)/($G$8-$E$8),$E$8+SQRT(R752*($G$8-$E$8)*($F$8-$E$8)),$G$8-SQRT((1-R752)*($G$8-$E$8)*($G$8-$F$8))))</f>
        <v>0.983264030846958</v>
      </c>
      <c r="E752" s="51" t="n">
        <f aca="false">1+IF($G$9=$E$9,$F$9,IF(S752&lt;($F$9-$E$9)/($G$9-$E$9),$E$9+SQRT(S752*($G$9-$E$9)*($F$9-$E$9)),$G$9-SQRT((1-S752)*($G$9-$E$9)*($G$9-$F$9))))</f>
        <v>1.05950530460248</v>
      </c>
      <c r="F752" s="51" t="n">
        <f aca="false">1+IF($G$10=$E$10,$F$10,IF(T752&lt;($F$10-$E$10)/($G$10-$E$10),$E$10+SQRT(T752*($G$10-$E$10)*($F$10-$E$10)),$G$10-SQRT((1-T752)*($G$10-$E$10)*($G$10-$F$10))))</f>
        <v>1.00575973033816</v>
      </c>
      <c r="G752" s="52" t="n">
        <f aca="false">IF($G$11=$E$11,$F$11,IF(U752&lt;($F$11-$E$11)/($G$11-$E$11),$E$11+SQRT(U752*($G$11-$E$11)*($F$11-$E$11)),$G$11-SQRT((1-U752)*($G$11-$E$11)*($G$11-$F$11))))</f>
        <v>0.10400624438389</v>
      </c>
      <c r="H752" s="53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-2011519460.67631</v>
      </c>
      <c r="I752" s="53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14957166.2543248</v>
      </c>
      <c r="J752" s="53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334327592.209609</v>
      </c>
      <c r="K752" s="53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703986004.681801</v>
      </c>
      <c r="L752" s="53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845893234.90201</v>
      </c>
      <c r="M752" s="53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1040870553.52847</v>
      </c>
      <c r="N752" s="53" t="n">
        <f aca="false">IF(COUNT('Business Case'!B11:G11)=0,"",H752+NPV(G752,I752:M752))</f>
        <v>3581385.22800612</v>
      </c>
      <c r="P752" s="54" t="n">
        <f aca="true">RAND()</f>
        <v>0.53090924675196</v>
      </c>
      <c r="Q752" s="54" t="n">
        <f aca="true">RAND()</f>
        <v>0.746654524681523</v>
      </c>
      <c r="R752" s="54" t="n">
        <f aca="true">RAND()</f>
        <v>0.170230115105748</v>
      </c>
      <c r="S752" s="54" t="n">
        <f aca="true">RAND()</f>
        <v>0.890678642977471</v>
      </c>
      <c r="T752" s="54" t="n">
        <f aca="true">RAND()</f>
        <v>0.245414352833881</v>
      </c>
      <c r="U752" s="54" t="n">
        <f aca="true">RAND()</f>
        <v>0.573666302153569</v>
      </c>
    </row>
    <row r="753" customFormat="false" ht="15" hidden="false" customHeight="false" outlineLevel="0" collapsed="false">
      <c r="A753" s="50" t="n">
        <v>673</v>
      </c>
      <c r="B753" s="51" t="n">
        <f aca="false">1+IF($G$6=$E$6,$F$6,IF(P753&lt;($F$6-$E$6)/($G$6-$E$6),$E$6+SQRT(P753*($G$6-$E$6)*($F$6-$E$6)),$G$6-SQRT((1-P753)*($G$6-$E$6)*($G$6-$F$6))))</f>
        <v>0.983273156969201</v>
      </c>
      <c r="C753" s="51" t="n">
        <f aca="false">1+IF($G$7=$E$7,$F$7,IF(Q753&lt;($F$7-$E$7)/($G$7-$E$7),$E$7+SQRT(Q753*($G$7-$E$7)*($F$7-$E$7)),$G$7-SQRT((1-Q753)*($G$7-$E$7)*($G$7-$F$7))))</f>
        <v>1.03335869029514</v>
      </c>
      <c r="D753" s="51" t="n">
        <f aca="false">1+IF($G$8=$E$8,$F$8,IF(R753&lt;($F$8-$E$8)/($G$8-$E$8),$E$8+SQRT(R753*($G$8-$E$8)*($F$8-$E$8)),$G$8-SQRT((1-R753)*($G$8-$E$8)*($G$8-$F$8))))</f>
        <v>0.980311992745581</v>
      </c>
      <c r="E753" s="51" t="n">
        <f aca="false">1+IF($G$9=$E$9,$F$9,IF(S753&lt;($F$9-$E$9)/($G$9-$E$9),$E$9+SQRT(S753*($G$9-$E$9)*($F$9-$E$9)),$G$9-SQRT((1-S753)*($G$9-$E$9)*($G$9-$F$9))))</f>
        <v>1.00774184322786</v>
      </c>
      <c r="F753" s="51" t="n">
        <f aca="false">1+IF($G$10=$E$10,$F$10,IF(T753&lt;($F$10-$E$10)/($G$10-$E$10),$E$10+SQRT(T753*($G$10-$E$10)*($F$10-$E$10)),$G$10-SQRT((1-T753)*($G$10-$E$10)*($G$10-$F$10))))</f>
        <v>1.02434217638176</v>
      </c>
      <c r="G753" s="52" t="n">
        <f aca="false">IF($G$11=$E$11,$F$11,IF(U753&lt;($F$11-$E$11)/($G$11-$E$11),$E$11+SQRT(U753*($G$11-$E$11)*($F$11-$E$11)),$G$11-SQRT((1-U753)*($G$11-$E$11)*($G$11-$F$11))))</f>
        <v>0.103871587694743</v>
      </c>
      <c r="H753" s="53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-2048684352.76351</v>
      </c>
      <c r="I753" s="53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15247188.9638825</v>
      </c>
      <c r="J753" s="53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328902754.662851</v>
      </c>
      <c r="K753" s="53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693775429.180907</v>
      </c>
      <c r="L753" s="53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833442797.073836</v>
      </c>
      <c r="M753" s="53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1026578116.7035</v>
      </c>
      <c r="N753" s="53" t="n">
        <f aca="false">IF(COUNT('Business Case'!B11:G11)=0,"",H753+NPV(G753,I753:M753))</f>
        <v>-61543575.5420589</v>
      </c>
      <c r="P753" s="54" t="n">
        <f aca="true">RAND()</f>
        <v>0.417030457588457</v>
      </c>
      <c r="Q753" s="54" t="n">
        <f aca="true">RAND()</f>
        <v>0.740853426101596</v>
      </c>
      <c r="R753" s="54" t="n">
        <f aca="true">RAND()</f>
        <v>0.141356446801251</v>
      </c>
      <c r="S753" s="54" t="n">
        <f aca="true">RAND()</f>
        <v>0.432562167267139</v>
      </c>
      <c r="T753" s="54" t="n">
        <f aca="true">RAND()</f>
        <v>0.382886580034031</v>
      </c>
      <c r="U753" s="54" t="n">
        <f aca="true">RAND()</f>
        <v>0.566457194186047</v>
      </c>
    </row>
    <row r="754" customFormat="false" ht="15" hidden="false" customHeight="false" outlineLevel="0" collapsed="false">
      <c r="A754" s="50" t="n">
        <v>674</v>
      </c>
      <c r="B754" s="51" t="n">
        <f aca="false">1+IF($G$6=$E$6,$F$6,IF(P754&lt;($F$6-$E$6)/($G$6-$E$6),$E$6+SQRT(P754*($G$6-$E$6)*($F$6-$E$6)),$G$6-SQRT((1-P754)*($G$6-$E$6)*($G$6-$F$6))))</f>
        <v>0.956338217047687</v>
      </c>
      <c r="C754" s="51" t="n">
        <f aca="false">1+IF($G$7=$E$7,$F$7,IF(Q754&lt;($F$7-$E$7)/($G$7-$E$7),$E$7+SQRT(Q754*($G$7-$E$7)*($F$7-$E$7)),$G$7-SQRT((1-Q754)*($G$7-$E$7)*($G$7-$F$7))))</f>
        <v>0.915036323917957</v>
      </c>
      <c r="D754" s="51" t="n">
        <f aca="false">1+IF($G$8=$E$8,$F$8,IF(R754&lt;($F$8-$E$8)/($G$8-$E$8),$E$8+SQRT(R754*($G$8-$E$8)*($F$8-$E$8)),$G$8-SQRT((1-R754)*($G$8-$E$8)*($G$8-$F$8))))</f>
        <v>1.01973970154913</v>
      </c>
      <c r="E754" s="51" t="n">
        <f aca="false">1+IF($G$9=$E$9,$F$9,IF(S754&lt;($F$9-$E$9)/($G$9-$E$9),$E$9+SQRT(S754*($G$9-$E$9)*($F$9-$E$9)),$G$9-SQRT((1-S754)*($G$9-$E$9)*($G$9-$F$9))))</f>
        <v>1.01016858073011</v>
      </c>
      <c r="F754" s="51" t="n">
        <f aca="false">1+IF($G$10=$E$10,$F$10,IF(T754&lt;($F$10-$E$10)/($G$10-$E$10),$E$10+SQRT(T754*($G$10-$E$10)*($F$10-$E$10)),$G$10-SQRT((1-T754)*($G$10-$E$10)*($G$10-$F$10))))</f>
        <v>1.13763256231224</v>
      </c>
      <c r="G754" s="52" t="n">
        <f aca="false">IF($G$11=$E$11,$F$11,IF(U754&lt;($F$11-$E$11)/($G$11-$E$11),$E$11+SQRT(U754*($G$11-$E$11)*($F$11-$E$11)),$G$11-SQRT((1-U754)*($G$11-$E$11)*($G$11-$F$11))))</f>
        <v>0.102363450961715</v>
      </c>
      <c r="H754" s="53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-2275265124.62449</v>
      </c>
      <c r="I754" s="53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-63688594.8858403</v>
      </c>
      <c r="J754" s="53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175396403.906896</v>
      </c>
      <c r="K754" s="53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471363030.815244</v>
      </c>
      <c r="L754" s="53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581300940.591176</v>
      </c>
      <c r="M754" s="53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747636946.572118</v>
      </c>
      <c r="N754" s="53" t="n">
        <f aca="false">IF(COUNT('Business Case'!B11:G11)=0,"",H754+NPV(G754,I754:M754))</f>
        <v>-983924921.600179</v>
      </c>
      <c r="P754" s="54" t="n">
        <f aca="true">RAND()</f>
        <v>0.137548543563002</v>
      </c>
      <c r="Q754" s="54" t="n">
        <f aca="true">RAND()</f>
        <v>0.189047940293674</v>
      </c>
      <c r="R754" s="54" t="n">
        <f aca="true">RAND()</f>
        <v>0.650836195251201</v>
      </c>
      <c r="S754" s="54" t="n">
        <f aca="true">RAND()</f>
        <v>0.462021074130514</v>
      </c>
      <c r="T754" s="54" t="n">
        <f aca="true">RAND()</f>
        <v>0.922206054325279</v>
      </c>
      <c r="U754" s="54" t="n">
        <f aca="true">RAND()</f>
        <v>0.481586896700291</v>
      </c>
    </row>
    <row r="755" customFormat="false" ht="15" hidden="false" customHeight="false" outlineLevel="0" collapsed="false">
      <c r="A755" s="50" t="n">
        <v>675</v>
      </c>
      <c r="B755" s="51" t="n">
        <f aca="false">1+IF($G$6=$E$6,$F$6,IF(P755&lt;($F$6-$E$6)/($G$6-$E$6),$E$6+SQRT(P755*($G$6-$E$6)*($F$6-$E$6)),$G$6-SQRT((1-P755)*($G$6-$E$6)*($G$6-$F$6))))</f>
        <v>0.994883628422865</v>
      </c>
      <c r="C755" s="51" t="n">
        <f aca="false">1+IF($G$7=$E$7,$F$7,IF(Q755&lt;($F$7-$E$7)/($G$7-$E$7),$E$7+SQRT(Q755*($G$7-$E$7)*($F$7-$E$7)),$G$7-SQRT((1-Q755)*($G$7-$E$7)*($G$7-$F$7))))</f>
        <v>1.0587226500672</v>
      </c>
      <c r="D755" s="51" t="n">
        <f aca="false">1+IF($G$8=$E$8,$F$8,IF(R755&lt;($F$8-$E$8)/($G$8-$E$8),$E$8+SQRT(R755*($G$8-$E$8)*($F$8-$E$8)),$G$8-SQRT((1-R755)*($G$8-$E$8)*($G$8-$F$8))))</f>
        <v>1.00446725427099</v>
      </c>
      <c r="E755" s="51" t="n">
        <f aca="false">1+IF($G$9=$E$9,$F$9,IF(S755&lt;($F$9-$E$9)/($G$9-$E$9),$E$9+SQRT(S755*($G$9-$E$9)*($F$9-$E$9)),$G$9-SQRT((1-S755)*($G$9-$E$9)*($G$9-$F$9))))</f>
        <v>0.970838803937997</v>
      </c>
      <c r="F755" s="51" t="n">
        <f aca="false">1+IF($G$10=$E$10,$F$10,IF(T755&lt;($F$10-$E$10)/($G$10-$E$10),$E$10+SQRT(T755*($G$10-$E$10)*($F$10-$E$10)),$G$10-SQRT((1-T755)*($G$10-$E$10)*($G$10-$F$10))))</f>
        <v>1.05356863195401</v>
      </c>
      <c r="G755" s="52" t="n">
        <f aca="false">IF($G$11=$E$11,$F$11,IF(U755&lt;($F$11-$E$11)/($G$11-$E$11),$E$11+SQRT(U755*($G$11-$E$11)*($F$11-$E$11)),$G$11-SQRT((1-U755)*($G$11-$E$11)*($G$11-$F$11))))</f>
        <v>0.105558289807501</v>
      </c>
      <c r="H755" s="53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-2107137263.90803</v>
      </c>
      <c r="I755" s="53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20317331.3736026</v>
      </c>
      <c r="J755" s="53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338648178.172336</v>
      </c>
      <c r="K755" s="53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709657456.568771</v>
      </c>
      <c r="L755" s="53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852169988.374846</v>
      </c>
      <c r="M755" s="53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1052382360.84392</v>
      </c>
      <c r="N755" s="53" t="n">
        <f aca="false">IF(COUNT('Business Case'!B11:G11)=0,"",H755+NPV(G755,I755:M755))</f>
        <v>-78906523.0115199</v>
      </c>
      <c r="P755" s="54" t="n">
        <f aca="true">RAND()</f>
        <v>0.584120604768097</v>
      </c>
      <c r="Q755" s="54" t="n">
        <f aca="true">RAND()</f>
        <v>0.841303721699915</v>
      </c>
      <c r="R755" s="54" t="n">
        <f aca="true">RAND()</f>
        <v>0.451423492561276</v>
      </c>
      <c r="S755" s="54" t="n">
        <f aca="true">RAND()</f>
        <v>0.0579007666088367</v>
      </c>
      <c r="T755" s="54" t="n">
        <f aca="true">RAND()</f>
        <v>0.571157089043622</v>
      </c>
      <c r="U755" s="54" t="n">
        <f aca="true">RAND()</f>
        <v>0.652395011193132</v>
      </c>
    </row>
    <row r="756" customFormat="false" ht="15" hidden="false" customHeight="false" outlineLevel="0" collapsed="false">
      <c r="A756" s="50" t="n">
        <v>676</v>
      </c>
      <c r="B756" s="51" t="n">
        <f aca="false">1+IF($G$6=$E$6,$F$6,IF(P756&lt;($F$6-$E$6)/($G$6-$E$6),$E$6+SQRT(P756*($G$6-$E$6)*($F$6-$E$6)),$G$6-SQRT((1-P756)*($G$6-$E$6)*($G$6-$F$6))))</f>
        <v>0.987294492408287</v>
      </c>
      <c r="C756" s="51" t="n">
        <f aca="false">1+IF($G$7=$E$7,$F$7,IF(Q756&lt;($F$7-$E$7)/($G$7-$E$7),$E$7+SQRT(Q756*($G$7-$E$7)*($F$7-$E$7)),$G$7-SQRT((1-Q756)*($G$7-$E$7)*($G$7-$F$7))))</f>
        <v>0.966983231162176</v>
      </c>
      <c r="D756" s="51" t="n">
        <f aca="false">1+IF($G$8=$E$8,$F$8,IF(R756&lt;($F$8-$E$8)/($G$8-$E$8),$E$8+SQRT(R756*($G$8-$E$8)*($F$8-$E$8)),$G$8-SQRT((1-R756)*($G$8-$E$8)*($G$8-$F$8))))</f>
        <v>1.0277170781902</v>
      </c>
      <c r="E756" s="51" t="n">
        <f aca="false">1+IF($G$9=$E$9,$F$9,IF(S756&lt;($F$9-$E$9)/($G$9-$E$9),$E$9+SQRT(S756*($G$9-$E$9)*($F$9-$E$9)),$G$9-SQRT((1-S756)*($G$9-$E$9)*($G$9-$F$9))))</f>
        <v>1.00323325798238</v>
      </c>
      <c r="F756" s="51" t="n">
        <f aca="false">1+IF($G$10=$E$10,$F$10,IF(T756&lt;($F$10-$E$10)/($G$10-$E$10),$E$10+SQRT(T756*($G$10-$E$10)*($F$10-$E$10)),$G$10-SQRT((1-T756)*($G$10-$E$10)*($G$10-$F$10))))</f>
        <v>1.15049751617865</v>
      </c>
      <c r="G756" s="52" t="n">
        <f aca="false">IF($G$11=$E$11,$F$11,IF(U756&lt;($F$11-$E$11)/($G$11-$E$11),$E$11+SQRT(U756*($G$11-$E$11)*($F$11-$E$11)),$G$11-SQRT((1-U756)*($G$11-$E$11)*($G$11-$F$11))))</f>
        <v>0.0943329237339625</v>
      </c>
      <c r="H756" s="53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-2300995032.35731</v>
      </c>
      <c r="I756" s="53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-33973774.5045304</v>
      </c>
      <c r="J756" s="53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239253475.694593</v>
      </c>
      <c r="K756" s="53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570005601.70265</v>
      </c>
      <c r="L756" s="53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694075687.636154</v>
      </c>
      <c r="M756" s="53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875544534.905365</v>
      </c>
      <c r="N756" s="53" t="n">
        <f aca="false">IF(COUNT('Business Case'!B11:G11)=0,"",H756+NPV(G756,I756:M756))</f>
        <v>-655488722.146594</v>
      </c>
      <c r="P756" s="54" t="n">
        <f aca="true">RAND()</f>
        <v>0.471723823800931</v>
      </c>
      <c r="Q756" s="54" t="n">
        <f aca="true">RAND()</f>
        <v>0.398334278419439</v>
      </c>
      <c r="R756" s="54" t="n">
        <f aca="true">RAND()</f>
        <v>0.737163085291353</v>
      </c>
      <c r="S756" s="54" t="n">
        <f aca="true">RAND()</f>
        <v>0.375746509286405</v>
      </c>
      <c r="T756" s="54" t="n">
        <f aca="true">RAND()</f>
        <v>0.950990081910348</v>
      </c>
      <c r="U756" s="54" t="n">
        <f aca="true">RAND()</f>
        <v>0.0625807602811172</v>
      </c>
    </row>
    <row r="757" customFormat="false" ht="15" hidden="false" customHeight="false" outlineLevel="0" collapsed="false">
      <c r="A757" s="50" t="n">
        <v>677</v>
      </c>
      <c r="B757" s="51" t="n">
        <f aca="false">1+IF($G$6=$E$6,$F$6,IF(P757&lt;($F$6-$E$6)/($G$6-$E$6),$E$6+SQRT(P757*($G$6-$E$6)*($F$6-$E$6)),$G$6-SQRT((1-P757)*($G$6-$E$6)*($G$6-$F$6))))</f>
        <v>0.98604535110866</v>
      </c>
      <c r="C757" s="51" t="n">
        <f aca="false">1+IF($G$7=$E$7,$F$7,IF(Q757&lt;($F$7-$E$7)/($G$7-$E$7),$E$7+SQRT(Q757*($G$7-$E$7)*($F$7-$E$7)),$G$7-SQRT((1-Q757)*($G$7-$E$7)*($G$7-$F$7))))</f>
        <v>1.0301134555396</v>
      </c>
      <c r="D757" s="51" t="n">
        <f aca="false">1+IF($G$8=$E$8,$F$8,IF(R757&lt;($F$8-$E$8)/($G$8-$E$8),$E$8+SQRT(R757*($G$8-$E$8)*($F$8-$E$8)),$G$8-SQRT((1-R757)*($G$8-$E$8)*($G$8-$F$8))))</f>
        <v>1.02598206021572</v>
      </c>
      <c r="E757" s="51" t="n">
        <f aca="false">1+IF($G$9=$E$9,$F$9,IF(S757&lt;($F$9-$E$9)/($G$9-$E$9),$E$9+SQRT(S757*($G$9-$E$9)*($F$9-$E$9)),$G$9-SQRT((1-S757)*($G$9-$E$9)*($G$9-$F$9))))</f>
        <v>0.97689138227172</v>
      </c>
      <c r="F757" s="51" t="n">
        <f aca="false">1+IF($G$10=$E$10,$F$10,IF(T757&lt;($F$10-$E$10)/($G$10-$E$10),$E$10+SQRT(T757*($G$10-$E$10)*($F$10-$E$10)),$G$10-SQRT((1-T757)*($G$10-$E$10)*($G$10-$F$10))))</f>
        <v>0.970884932277222</v>
      </c>
      <c r="G757" s="52" t="n">
        <f aca="false">IF($G$11=$E$11,$F$11,IF(U757&lt;($F$11-$E$11)/($G$11-$E$11),$E$11+SQRT(U757*($G$11-$E$11)*($F$11-$E$11)),$G$11-SQRT((1-U757)*($G$11-$E$11)*($G$11-$F$11))))</f>
        <v>0.106249706014601</v>
      </c>
      <c r="H757" s="53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-1941769864.55444</v>
      </c>
      <c r="I757" s="53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2267749.89818519</v>
      </c>
      <c r="J757" s="53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293193835.775063</v>
      </c>
      <c r="K757" s="53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632664168.265802</v>
      </c>
      <c r="L757" s="53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764743455.686049</v>
      </c>
      <c r="M757" s="53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957815045.723132</v>
      </c>
      <c r="N757" s="53" t="n">
        <f aca="false">IF(COUNT('Business Case'!B11:G11)=0,"",H757+NPV(G757,I757:M757))</f>
        <v>-144078441.865313</v>
      </c>
      <c r="P757" s="54" t="n">
        <f aca="true">RAND()</f>
        <v>0.454373791986056</v>
      </c>
      <c r="Q757" s="54" t="n">
        <f aca="true">RAND()</f>
        <v>0.72623269442562</v>
      </c>
      <c r="R757" s="54" t="n">
        <f aca="true">RAND()</f>
        <v>0.71942905590982</v>
      </c>
      <c r="S757" s="54" t="n">
        <f aca="true">RAND()</f>
        <v>0.0964195253978327</v>
      </c>
      <c r="T757" s="54" t="n">
        <f aca="true">RAND()</f>
        <v>0.0348944316979328</v>
      </c>
      <c r="U757" s="54" t="n">
        <f aca="true">RAND()</f>
        <v>0.684882358858496</v>
      </c>
    </row>
    <row r="758" customFormat="false" ht="15" hidden="false" customHeight="false" outlineLevel="0" collapsed="false">
      <c r="A758" s="50" t="n">
        <v>678</v>
      </c>
      <c r="B758" s="51" t="n">
        <f aca="false">1+IF($G$6=$E$6,$F$6,IF(P758&lt;($F$6-$E$6)/($G$6-$E$6),$E$6+SQRT(P758*($G$6-$E$6)*($F$6-$E$6)),$G$6-SQRT((1-P758)*($G$6-$E$6)*($G$6-$F$6))))</f>
        <v>1.02277545620419</v>
      </c>
      <c r="C758" s="51" t="n">
        <f aca="false">1+IF($G$7=$E$7,$F$7,IF(Q758&lt;($F$7-$E$7)/($G$7-$E$7),$E$7+SQRT(Q758*($G$7-$E$7)*($F$7-$E$7)),$G$7-SQRT((1-Q758)*($G$7-$E$7)*($G$7-$F$7))))</f>
        <v>1.0795179174503</v>
      </c>
      <c r="D758" s="51" t="n">
        <f aca="false">1+IF($G$8=$E$8,$F$8,IF(R758&lt;($F$8-$E$8)/($G$8-$E$8),$E$8+SQRT(R758*($G$8-$E$8)*($F$8-$E$8)),$G$8-SQRT((1-R758)*($G$8-$E$8)*($G$8-$F$8))))</f>
        <v>0.975783462665711</v>
      </c>
      <c r="E758" s="51" t="n">
        <f aca="false">1+IF($G$9=$E$9,$F$9,IF(S758&lt;($F$9-$E$9)/($G$9-$E$9),$E$9+SQRT(S758*($G$9-$E$9)*($F$9-$E$9)),$G$9-SQRT((1-S758)*($G$9-$E$9)*($G$9-$F$9))))</f>
        <v>0.977878260667755</v>
      </c>
      <c r="F758" s="51" t="n">
        <f aca="false">1+IF($G$10=$E$10,$F$10,IF(T758&lt;($F$10-$E$10)/($G$10-$E$10),$E$10+SQRT(T758*($G$10-$E$10)*($F$10-$E$10)),$G$10-SQRT((1-T758)*($G$10-$E$10)*($G$10-$F$10))))</f>
        <v>1.0324858375869</v>
      </c>
      <c r="G758" s="52" t="n">
        <f aca="false">IF($G$11=$E$11,$F$11,IF(U758&lt;($F$11-$E$11)/($G$11-$E$11),$E$11+SQRT(U758*($G$11-$E$11)*($F$11-$E$11)),$G$11-SQRT((1-U758)*($G$11-$E$11)*($G$11-$F$11))))</f>
        <v>0.1129609920841</v>
      </c>
      <c r="H758" s="53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-2064971675.1738</v>
      </c>
      <c r="I758" s="53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65557273.5272269</v>
      </c>
      <c r="J758" s="53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430654193.157261</v>
      </c>
      <c r="K758" s="53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847375404.666641</v>
      </c>
      <c r="L758" s="53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1007232226.99476</v>
      </c>
      <c r="M758" s="53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1217100397.14436</v>
      </c>
      <c r="N758" s="53" t="n">
        <f aca="false">IF(COUNT('Business Case'!B11:G11)=0,"",H758+NPV(G758,I758:M758))</f>
        <v>325459666.758418</v>
      </c>
      <c r="P758" s="54" t="n">
        <f aca="true">RAND()</f>
        <v>0.938190643963791</v>
      </c>
      <c r="Q758" s="54" t="n">
        <f aca="true">RAND()</f>
        <v>0.905376686465844</v>
      </c>
      <c r="R758" s="54" t="n">
        <f aca="true">RAND()</f>
        <v>0.102274914928326</v>
      </c>
      <c r="S758" s="54" t="n">
        <f aca="true">RAND()</f>
        <v>0.103626322381241</v>
      </c>
      <c r="T758" s="54" t="n">
        <f aca="true">RAND()</f>
        <v>0.438780107820756</v>
      </c>
      <c r="U758" s="54" t="n">
        <f aca="true">RAND()</f>
        <v>0.917420612599821</v>
      </c>
    </row>
    <row r="759" customFormat="false" ht="15" hidden="false" customHeight="false" outlineLevel="0" collapsed="false">
      <c r="A759" s="50" t="n">
        <v>679</v>
      </c>
      <c r="B759" s="51" t="n">
        <f aca="false">1+IF($G$6=$E$6,$F$6,IF(P759&lt;($F$6-$E$6)/($G$6-$E$6),$E$6+SQRT(P759*($G$6-$E$6)*($F$6-$E$6)),$G$6-SQRT((1-P759)*($G$6-$E$6)*($G$6-$F$6))))</f>
        <v>0.984370947246449</v>
      </c>
      <c r="C759" s="51" t="n">
        <f aca="false">1+IF($G$7=$E$7,$F$7,IF(Q759&lt;($F$7-$E$7)/($G$7-$E$7),$E$7+SQRT(Q759*($G$7-$E$7)*($F$7-$E$7)),$G$7-SQRT((1-Q759)*($G$7-$E$7)*($G$7-$F$7))))</f>
        <v>0.969656921251862</v>
      </c>
      <c r="D759" s="51" t="n">
        <f aca="false">1+IF($G$8=$E$8,$F$8,IF(R759&lt;($F$8-$E$8)/($G$8-$E$8),$E$8+SQRT(R759*($G$8-$E$8)*($F$8-$E$8)),$G$8-SQRT((1-R759)*($G$8-$E$8)*($G$8-$F$8))))</f>
        <v>1.02752717298112</v>
      </c>
      <c r="E759" s="51" t="n">
        <f aca="false">1+IF($G$9=$E$9,$F$9,IF(S759&lt;($F$9-$E$9)/($G$9-$E$9),$E$9+SQRT(S759*($G$9-$E$9)*($F$9-$E$9)),$G$9-SQRT((1-S759)*($G$9-$E$9)*($G$9-$F$9))))</f>
        <v>1.00264343516013</v>
      </c>
      <c r="F759" s="51" t="n">
        <f aca="false">1+IF($G$10=$E$10,$F$10,IF(T759&lt;($F$10-$E$10)/($G$10-$E$10),$E$10+SQRT(T759*($G$10-$E$10)*($F$10-$E$10)),$G$10-SQRT((1-T759)*($G$10-$E$10)*($G$10-$F$10))))</f>
        <v>0.978970595144563</v>
      </c>
      <c r="G759" s="52" t="n">
        <f aca="false">IF($G$11=$E$11,$F$11,IF(U759&lt;($F$11-$E$11)/($G$11-$E$11),$E$11+SQRT(U759*($G$11-$E$11)*($F$11-$E$11)),$G$11-SQRT((1-U759)*($G$11-$E$11)*($G$11-$F$11))))</f>
        <v>0.118849869222152</v>
      </c>
      <c r="H759" s="53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-1957941190.28913</v>
      </c>
      <c r="I759" s="53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-18199294.8552745</v>
      </c>
      <c r="J759" s="53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253555755.255337</v>
      </c>
      <c r="K759" s="53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574259335.123177</v>
      </c>
      <c r="L759" s="53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697831944.474487</v>
      </c>
      <c r="M759" s="53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879263704.03724</v>
      </c>
      <c r="N759" s="53" t="n">
        <f aca="false">IF(COUNT('Business Case'!B11:G11)=0,"",H759+NPV(G759,I759:M759))</f>
        <v>-414851500.734916</v>
      </c>
      <c r="P759" s="54" t="n">
        <f aca="true">RAND()</f>
        <v>0.431626963479703</v>
      </c>
      <c r="Q759" s="54" t="n">
        <f aca="true">RAND()</f>
        <v>0.411192441838008</v>
      </c>
      <c r="R759" s="54" t="n">
        <f aca="true">RAND()</f>
        <v>0.735250233139123</v>
      </c>
      <c r="S759" s="54" t="n">
        <f aca="true">RAND()</f>
        <v>0.368113285505281</v>
      </c>
      <c r="T759" s="54" t="n">
        <f aca="true">RAND()</f>
        <v>0.0671436306424138</v>
      </c>
      <c r="U759" s="54" t="n">
        <f aca="true">RAND()</f>
        <v>0.997795331989746</v>
      </c>
    </row>
    <row r="760" customFormat="false" ht="15" hidden="false" customHeight="false" outlineLevel="0" collapsed="false">
      <c r="A760" s="50" t="n">
        <v>680</v>
      </c>
      <c r="B760" s="51" t="n">
        <f aca="false">1+IF($G$6=$E$6,$F$6,IF(P760&lt;($F$6-$E$6)/($G$6-$E$6),$E$6+SQRT(P760*($G$6-$E$6)*($F$6-$E$6)),$G$6-SQRT((1-P760)*($G$6-$E$6)*($G$6-$F$6))))</f>
        <v>0.96365127033506</v>
      </c>
      <c r="C760" s="51" t="n">
        <f aca="false">1+IF($G$7=$E$7,$F$7,IF(Q760&lt;($F$7-$E$7)/($G$7-$E$7),$E$7+SQRT(Q760*($G$7-$E$7)*($F$7-$E$7)),$G$7-SQRT((1-Q760)*($G$7-$E$7)*($G$7-$F$7))))</f>
        <v>0.954681002517414</v>
      </c>
      <c r="D760" s="51" t="n">
        <f aca="false">1+IF($G$8=$E$8,$F$8,IF(R760&lt;($F$8-$E$8)/($G$8-$E$8),$E$8+SQRT(R760*($G$8-$E$8)*($F$8-$E$8)),$G$8-SQRT((1-R760)*($G$8-$E$8)*($G$8-$F$8))))</f>
        <v>1.01044219497164</v>
      </c>
      <c r="E760" s="51" t="n">
        <f aca="false">1+IF($G$9=$E$9,$F$9,IF(S760&lt;($F$9-$E$9)/($G$9-$E$9),$E$9+SQRT(S760*($G$9-$E$9)*($F$9-$E$9)),$G$9-SQRT((1-S760)*($G$9-$E$9)*($G$9-$F$9))))</f>
        <v>1.02830157934775</v>
      </c>
      <c r="F760" s="51" t="n">
        <f aca="false">1+IF($G$10=$E$10,$F$10,IF(T760&lt;($F$10-$E$10)/($G$10-$E$10),$E$10+SQRT(T760*($G$10-$E$10)*($F$10-$E$10)),$G$10-SQRT((1-T760)*($G$10-$E$10)*($G$10-$F$10))))</f>
        <v>0.993618015758629</v>
      </c>
      <c r="G760" s="52" t="n">
        <f aca="false">IF($G$11=$E$11,$F$11,IF(U760&lt;($F$11-$E$11)/($G$11-$E$11),$E$11+SQRT(U760*($G$11-$E$11)*($F$11-$E$11)),$G$11-SQRT((1-U760)*($G$11-$E$11)*($G$11-$F$11))))</f>
        <v>0.11353728777538</v>
      </c>
      <c r="H760" s="53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-1987236031.51726</v>
      </c>
      <c r="I760" s="53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-33572139.1916884</v>
      </c>
      <c r="J760" s="53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226133748.209716</v>
      </c>
      <c r="K760" s="53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535520536.399052</v>
      </c>
      <c r="L760" s="53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653883659.155507</v>
      </c>
      <c r="M760" s="53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828753374.080099</v>
      </c>
      <c r="N760" s="53" t="n">
        <f aca="false">IF(COUNT('Business Case'!B11:G11)=0,"",H760+NPV(G760,I760:M760))</f>
        <v>-537816955.715216</v>
      </c>
      <c r="P760" s="54" t="n">
        <f aca="true">RAND()</f>
        <v>0.198482646027551</v>
      </c>
      <c r="Q760" s="54" t="n">
        <f aca="true">RAND()</f>
        <v>0.341803036282745</v>
      </c>
      <c r="R760" s="54" t="n">
        <f aca="true">RAND()</f>
        <v>0.534779976888105</v>
      </c>
      <c r="S760" s="54" t="n">
        <f aca="true">RAND()</f>
        <v>0.65728909839823</v>
      </c>
      <c r="T760" s="54" t="n">
        <f aca="true">RAND()</f>
        <v>0.152202503897601</v>
      </c>
      <c r="U760" s="54" t="n">
        <f aca="true">RAND()</f>
        <v>0.930388917836243</v>
      </c>
    </row>
    <row r="761" customFormat="false" ht="15" hidden="false" customHeight="false" outlineLevel="0" collapsed="false">
      <c r="A761" s="50" t="n">
        <v>681</v>
      </c>
      <c r="B761" s="51" t="n">
        <f aca="false">1+IF($G$6=$E$6,$F$6,IF(P761&lt;($F$6-$E$6)/($G$6-$E$6),$E$6+SQRT(P761*($G$6-$E$6)*($F$6-$E$6)),$G$6-SQRT((1-P761)*($G$6-$E$6)*($G$6-$F$6))))</f>
        <v>0.941353685268253</v>
      </c>
      <c r="C761" s="51" t="n">
        <f aca="false">1+IF($G$7=$E$7,$F$7,IF(Q761&lt;($F$7-$E$7)/($G$7-$E$7),$E$7+SQRT(Q761*($G$7-$E$7)*($F$7-$E$7)),$G$7-SQRT((1-Q761)*($G$7-$E$7)*($G$7-$F$7))))</f>
        <v>0.98744525329661</v>
      </c>
      <c r="D761" s="51" t="n">
        <f aca="false">1+IF($G$8=$E$8,$F$8,IF(R761&lt;($F$8-$E$8)/($G$8-$E$8),$E$8+SQRT(R761*($G$8-$E$8)*($F$8-$E$8)),$G$8-SQRT((1-R761)*($G$8-$E$8)*($G$8-$F$8))))</f>
        <v>0.999216484624507</v>
      </c>
      <c r="E761" s="51" t="n">
        <f aca="false">1+IF($G$9=$E$9,$F$9,IF(S761&lt;($F$9-$E$9)/($G$9-$E$9),$E$9+SQRT(S761*($G$9-$E$9)*($F$9-$E$9)),$G$9-SQRT((1-S761)*($G$9-$E$9)*($G$9-$F$9))))</f>
        <v>1.01227750747439</v>
      </c>
      <c r="F761" s="51" t="n">
        <f aca="false">1+IF($G$10=$E$10,$F$10,IF(T761&lt;($F$10-$E$10)/($G$10-$E$10),$E$10+SQRT(T761*($G$10-$E$10)*($F$10-$E$10)),$G$10-SQRT((1-T761)*($G$10-$E$10)*($G$10-$F$10))))</f>
        <v>0.97770844722337</v>
      </c>
      <c r="G761" s="52" t="n">
        <f aca="false">IF($G$11=$E$11,$F$11,IF(U761&lt;($F$11-$E$11)/($G$11-$E$11),$E$11+SQRT(U761*($G$11-$E$11)*($F$11-$E$11)),$G$11-SQRT((1-U761)*($G$11-$E$11)*($G$11-$F$11))))</f>
        <v>0.0991386521234816</v>
      </c>
      <c r="H761" s="53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-1955416894.44674</v>
      </c>
      <c r="I761" s="53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-33644446.6396612</v>
      </c>
      <c r="J761" s="53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222614919.235316</v>
      </c>
      <c r="K761" s="53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527759707.471462</v>
      </c>
      <c r="L761" s="53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645304233.582749</v>
      </c>
      <c r="M761" s="53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821990289.757372</v>
      </c>
      <c r="N761" s="53" t="n">
        <f aca="false">IF(COUNT('Business Case'!B11:G11)=0,"",H761+NPV(G761,I761:M761))</f>
        <v>-449783397.288101</v>
      </c>
      <c r="P761" s="54" t="n">
        <f aca="true">RAND()</f>
        <v>0.0474979035974563</v>
      </c>
      <c r="Q761" s="54" t="n">
        <f aca="true">RAND()</f>
        <v>0.501938899763288</v>
      </c>
      <c r="R761" s="54" t="n">
        <f aca="true">RAND()</f>
        <v>0.372655747506814</v>
      </c>
      <c r="S761" s="54" t="n">
        <f aca="true">RAND()</f>
        <v>0.486984287006336</v>
      </c>
      <c r="T761" s="54" t="n">
        <f aca="true">RAND()</f>
        <v>0.0614206438024214</v>
      </c>
      <c r="U761" s="54" t="n">
        <f aca="true">RAND()</f>
        <v>0.27838320878005</v>
      </c>
    </row>
    <row r="762" customFormat="false" ht="15" hidden="false" customHeight="false" outlineLevel="0" collapsed="false">
      <c r="A762" s="50" t="n">
        <v>682</v>
      </c>
      <c r="B762" s="51" t="n">
        <f aca="false">1+IF($G$6=$E$6,$F$6,IF(P762&lt;($F$6-$E$6)/($G$6-$E$6),$E$6+SQRT(P762*($G$6-$E$6)*($F$6-$E$6)),$G$6-SQRT((1-P762)*($G$6-$E$6)*($G$6-$F$6))))</f>
        <v>1.00914455429766</v>
      </c>
      <c r="C762" s="51" t="n">
        <f aca="false">1+IF($G$7=$E$7,$F$7,IF(Q762&lt;($F$7-$E$7)/($G$7-$E$7),$E$7+SQRT(Q762*($G$7-$E$7)*($F$7-$E$7)),$G$7-SQRT((1-Q762)*($G$7-$E$7)*($G$7-$F$7))))</f>
        <v>0.956138701653863</v>
      </c>
      <c r="D762" s="51" t="n">
        <f aca="false">1+IF($G$8=$E$8,$F$8,IF(R762&lt;($F$8-$E$8)/($G$8-$E$8),$E$8+SQRT(R762*($G$8-$E$8)*($F$8-$E$8)),$G$8-SQRT((1-R762)*($G$8-$E$8)*($G$8-$F$8))))</f>
        <v>0.980776501516886</v>
      </c>
      <c r="E762" s="51" t="n">
        <f aca="false">1+IF($G$9=$E$9,$F$9,IF(S762&lt;($F$9-$E$9)/($G$9-$E$9),$E$9+SQRT(S762*($G$9-$E$9)*($F$9-$E$9)),$G$9-SQRT((1-S762)*($G$9-$E$9)*($G$9-$F$9))))</f>
        <v>1.02476363415992</v>
      </c>
      <c r="F762" s="51" t="n">
        <f aca="false">1+IF($G$10=$E$10,$F$10,IF(T762&lt;($F$10-$E$10)/($G$10-$E$10),$E$10+SQRT(T762*($G$10-$E$10)*($F$10-$E$10)),$G$10-SQRT((1-T762)*($G$10-$E$10)*($G$10-$F$10))))</f>
        <v>1.08076491078401</v>
      </c>
      <c r="G762" s="52" t="n">
        <f aca="false">IF($G$11=$E$11,$F$11,IF(U762&lt;($F$11-$E$11)/($G$11-$E$11),$E$11+SQRT(U762*($G$11-$E$11)*($F$11-$E$11)),$G$11-SQRT((1-U762)*($G$11-$E$11)*($G$11-$F$11))))</f>
        <v>0.109438480557605</v>
      </c>
      <c r="H762" s="53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-2161529821.56802</v>
      </c>
      <c r="I762" s="53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6433327.37217668</v>
      </c>
      <c r="J762" s="53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316684025.978283</v>
      </c>
      <c r="K762" s="53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680972970.12359</v>
      </c>
      <c r="L762" s="53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817736197.244283</v>
      </c>
      <c r="M762" s="53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1001140998.96357</v>
      </c>
      <c r="N762" s="53" t="n">
        <f aca="false">IF(COUNT('Business Case'!B11:G11)=0,"",H762+NPV(G762,I762:M762))</f>
        <v>-264371965.04239</v>
      </c>
      <c r="P762" s="54" t="n">
        <f aca="true">RAND()</f>
        <v>0.801654473022937</v>
      </c>
      <c r="Q762" s="54" t="n">
        <f aca="true">RAND()</f>
        <v>0.348275630773629</v>
      </c>
      <c r="R762" s="54" t="n">
        <f aca="true">RAND()</f>
        <v>0.145722007018294</v>
      </c>
      <c r="S762" s="54" t="n">
        <f aca="true">RAND()</f>
        <v>0.622632617011829</v>
      </c>
      <c r="T762" s="54" t="n">
        <f aca="true">RAND()</f>
        <v>0.715659869993108</v>
      </c>
      <c r="U762" s="54" t="n">
        <f aca="true">RAND()</f>
        <v>0.81409051177986</v>
      </c>
    </row>
    <row r="763" customFormat="false" ht="15" hidden="false" customHeight="false" outlineLevel="0" collapsed="false">
      <c r="A763" s="50" t="n">
        <v>683</v>
      </c>
      <c r="B763" s="51" t="n">
        <f aca="false">1+IF($G$6=$E$6,$F$6,IF(P763&lt;($F$6-$E$6)/($G$6-$E$6),$E$6+SQRT(P763*($G$6-$E$6)*($F$6-$E$6)),$G$6-SQRT((1-P763)*($G$6-$E$6)*($G$6-$F$6))))</f>
        <v>0.96179688348193</v>
      </c>
      <c r="C763" s="51" t="n">
        <f aca="false">1+IF($G$7=$E$7,$F$7,IF(Q763&lt;($F$7-$E$7)/($G$7-$E$7),$E$7+SQRT(Q763*($G$7-$E$7)*($F$7-$E$7)),$G$7-SQRT((1-Q763)*($G$7-$E$7)*($G$7-$F$7))))</f>
        <v>0.885378674806367</v>
      </c>
      <c r="D763" s="51" t="n">
        <f aca="false">1+IF($G$8=$E$8,$F$8,IF(R763&lt;($F$8-$E$8)/($G$8-$E$8),$E$8+SQRT(R763*($G$8-$E$8)*($F$8-$E$8)),$G$8-SQRT((1-R763)*($G$8-$E$8)*($G$8-$F$8))))</f>
        <v>0.996634345283105</v>
      </c>
      <c r="E763" s="51" t="n">
        <f aca="false">1+IF($G$9=$E$9,$F$9,IF(S763&lt;($F$9-$E$9)/($G$9-$E$9),$E$9+SQRT(S763*($G$9-$E$9)*($F$9-$E$9)),$G$9-SQRT((1-S763)*($G$9-$E$9)*($G$9-$F$9))))</f>
        <v>0.98662888463468</v>
      </c>
      <c r="F763" s="51" t="n">
        <f aca="false">1+IF($G$10=$E$10,$F$10,IF(T763&lt;($F$10-$E$10)/($G$10-$E$10),$E$10+SQRT(T763*($G$10-$E$10)*($F$10-$E$10)),$G$10-SQRT((1-T763)*($G$10-$E$10)*($G$10-$F$10))))</f>
        <v>0.989229042280139</v>
      </c>
      <c r="G763" s="52" t="n">
        <f aca="false">IF($G$11=$E$11,$F$11,IF(U763&lt;($F$11-$E$11)/($G$11-$E$11),$E$11+SQRT(U763*($G$11-$E$11)*($F$11-$E$11)),$G$11-SQRT((1-U763)*($G$11-$E$11)*($G$11-$F$11))))</f>
        <v>0.104144725158428</v>
      </c>
      <c r="H763" s="53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-1978458084.56028</v>
      </c>
      <c r="I763" s="53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-37599299.3345107</v>
      </c>
      <c r="J763" s="53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208167515.64879</v>
      </c>
      <c r="K763" s="53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503395782.746097</v>
      </c>
      <c r="L763" s="53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614747776.203694</v>
      </c>
      <c r="M763" s="53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776611246.084428</v>
      </c>
      <c r="N763" s="53" t="n">
        <f aca="false">IF(COUNT('Business Case'!B11:G11)=0,"",H763+NPV(G763,I763:M763))</f>
        <v>-580951979.113091</v>
      </c>
      <c r="P763" s="54" t="n">
        <f aca="true">RAND()</f>
        <v>0.181977028000211</v>
      </c>
      <c r="Q763" s="54" t="n">
        <f aca="true">RAND()</f>
        <v>0.104135973024161</v>
      </c>
      <c r="R763" s="54" t="n">
        <f aca="true">RAND()</f>
        <v>0.334578793843674</v>
      </c>
      <c r="S763" s="54" t="n">
        <f aca="true">RAND()</f>
        <v>0.178890025277427</v>
      </c>
      <c r="T763" s="54" t="n">
        <f aca="true">RAND()</f>
        <v>0.123113420657357</v>
      </c>
      <c r="U763" s="54" t="n">
        <f aca="true">RAND()</f>
        <v>0.581017099497019</v>
      </c>
    </row>
    <row r="764" customFormat="false" ht="15" hidden="false" customHeight="false" outlineLevel="0" collapsed="false">
      <c r="A764" s="50" t="n">
        <v>684</v>
      </c>
      <c r="B764" s="51" t="n">
        <f aca="false">1+IF($G$6=$E$6,$F$6,IF(P764&lt;($F$6-$E$6)/($G$6-$E$6),$E$6+SQRT(P764*($G$6-$E$6)*($F$6-$E$6)),$G$6-SQRT((1-P764)*($G$6-$E$6)*($G$6-$F$6))))</f>
        <v>0.964192393754354</v>
      </c>
      <c r="C764" s="51" t="n">
        <f aca="false">1+IF($G$7=$E$7,$F$7,IF(Q764&lt;($F$7-$E$7)/($G$7-$E$7),$E$7+SQRT(Q764*($G$7-$E$7)*($F$7-$E$7)),$G$7-SQRT((1-Q764)*($G$7-$E$7)*($G$7-$F$7))))</f>
        <v>1.08109986630055</v>
      </c>
      <c r="D764" s="51" t="n">
        <f aca="false">1+IF($G$8=$E$8,$F$8,IF(R764&lt;($F$8-$E$8)/($G$8-$E$8),$E$8+SQRT(R764*($G$8-$E$8)*($F$8-$E$8)),$G$8-SQRT((1-R764)*($G$8-$E$8)*($G$8-$F$8))))</f>
        <v>1.02047030982884</v>
      </c>
      <c r="E764" s="51" t="n">
        <f aca="false">1+IF($G$9=$E$9,$F$9,IF(S764&lt;($F$9-$E$9)/($G$9-$E$9),$E$9+SQRT(S764*($G$9-$E$9)*($F$9-$E$9)),$G$9-SQRT((1-S764)*($G$9-$E$9)*($G$9-$F$9))))</f>
        <v>1.01215394828793</v>
      </c>
      <c r="F764" s="51" t="n">
        <f aca="false">1+IF($G$10=$E$10,$F$10,IF(T764&lt;($F$10-$E$10)/($G$10-$E$10),$E$10+SQRT(T764*($G$10-$E$10)*($F$10-$E$10)),$G$10-SQRT((1-T764)*($G$10-$E$10)*($G$10-$F$10))))</f>
        <v>0.988852451487543</v>
      </c>
      <c r="G764" s="52" t="n">
        <f aca="false">IF($G$11=$E$11,$F$11,IF(U764&lt;($F$11-$E$11)/($G$11-$E$11),$E$11+SQRT(U764*($G$11-$E$11)*($F$11-$E$11)),$G$11-SQRT((1-U764)*($G$11-$E$11)*($G$11-$F$11))))</f>
        <v>0.102961157479591</v>
      </c>
      <c r="H764" s="53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-1977704902.97509</v>
      </c>
      <c r="I764" s="53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-7825564.10046987</v>
      </c>
      <c r="J764" s="53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281199816.206225</v>
      </c>
      <c r="K764" s="53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619667819.087298</v>
      </c>
      <c r="L764" s="53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752034551.064108</v>
      </c>
      <c r="M764" s="53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950171713.040956</v>
      </c>
      <c r="N764" s="53" t="n">
        <f aca="false">IF(COUNT('Business Case'!B11:G11)=0,"",H764+NPV(G764,I764:M764))</f>
        <v>-201563273.503809</v>
      </c>
      <c r="P764" s="54" t="n">
        <f aca="true">RAND()</f>
        <v>0.203434131847902</v>
      </c>
      <c r="Q764" s="54" t="n">
        <f aca="true">RAND()</f>
        <v>0.909576601451401</v>
      </c>
      <c r="R764" s="54" t="n">
        <f aca="true">RAND()</f>
        <v>0.659251537319749</v>
      </c>
      <c r="S764" s="54" t="n">
        <f aca="true">RAND()</f>
        <v>0.485538079906641</v>
      </c>
      <c r="T764" s="54" t="n">
        <f aca="true">RAND()</f>
        <v>0.120761038927351</v>
      </c>
      <c r="U764" s="54" t="n">
        <f aca="true">RAND()</f>
        <v>0.516129742607864</v>
      </c>
    </row>
    <row r="765" customFormat="false" ht="15" hidden="false" customHeight="false" outlineLevel="0" collapsed="false">
      <c r="A765" s="50" t="n">
        <v>685</v>
      </c>
      <c r="B765" s="51" t="n">
        <f aca="false">1+IF($G$6=$E$6,$F$6,IF(P765&lt;($F$6-$E$6)/($G$6-$E$6),$E$6+SQRT(P765*($G$6-$E$6)*($F$6-$E$6)),$G$6-SQRT((1-P765)*($G$6-$E$6)*($G$6-$F$6))))</f>
        <v>0.952488199051565</v>
      </c>
      <c r="C765" s="51" t="n">
        <f aca="false">1+IF($G$7=$E$7,$F$7,IF(Q765&lt;($F$7-$E$7)/($G$7-$E$7),$E$7+SQRT(Q765*($G$7-$E$7)*($F$7-$E$7)),$G$7-SQRT((1-Q765)*($G$7-$E$7)*($G$7-$F$7))))</f>
        <v>1.01702335472431</v>
      </c>
      <c r="D765" s="51" t="n">
        <f aca="false">1+IF($G$8=$E$8,$F$8,IF(R765&lt;($F$8-$E$8)/($G$8-$E$8),$E$8+SQRT(R765*($G$8-$E$8)*($F$8-$E$8)),$G$8-SQRT((1-R765)*($G$8-$E$8)*($G$8-$F$8))))</f>
        <v>0.987416048906388</v>
      </c>
      <c r="E765" s="51" t="n">
        <f aca="false">1+IF($G$9=$E$9,$F$9,IF(S765&lt;($F$9-$E$9)/($G$9-$E$9),$E$9+SQRT(S765*($G$9-$E$9)*($F$9-$E$9)),$G$9-SQRT((1-S765)*($G$9-$E$9)*($G$9-$F$9))))</f>
        <v>1.00460453171662</v>
      </c>
      <c r="F765" s="51" t="n">
        <f aca="false">1+IF($G$10=$E$10,$F$10,IF(T765&lt;($F$10-$E$10)/($G$10-$E$10),$E$10+SQRT(T765*($G$10-$E$10)*($F$10-$E$10)),$G$10-SQRT((1-T765)*($G$10-$E$10)*($G$10-$F$10))))</f>
        <v>1.0328384444995</v>
      </c>
      <c r="G765" s="52" t="n">
        <f aca="false">IF($G$11=$E$11,$F$11,IF(U765&lt;($F$11-$E$11)/($G$11-$E$11),$E$11+SQRT(U765*($G$11-$E$11)*($F$11-$E$11)),$G$11-SQRT((1-U765)*($G$11-$E$11)*($G$11-$F$11))))</f>
        <v>0.0981470886795204</v>
      </c>
      <c r="H765" s="53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-2065676888.999</v>
      </c>
      <c r="I765" s="53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-17001820.9923103</v>
      </c>
      <c r="J765" s="53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262352517.100274</v>
      </c>
      <c r="K765" s="53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593348777.417833</v>
      </c>
      <c r="L765" s="53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719945256.931922</v>
      </c>
      <c r="M765" s="53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904076274.423005</v>
      </c>
      <c r="N765" s="53" t="n">
        <f aca="false">IF(COUNT('Business Case'!B11:G11)=0,"",H765+NPV(G765,I765:M765))</f>
        <v>-354382813.292588</v>
      </c>
      <c r="P765" s="54" t="n">
        <f aca="true">RAND()</f>
        <v>0.109946153918139</v>
      </c>
      <c r="Q765" s="54" t="n">
        <f aca="true">RAND()</f>
        <v>0.663184986880455</v>
      </c>
      <c r="R765" s="54" t="n">
        <f aca="true">RAND()</f>
        <v>0.215378571656185</v>
      </c>
      <c r="S765" s="54" t="n">
        <f aca="true">RAND()</f>
        <v>0.393313642066323</v>
      </c>
      <c r="T765" s="54" t="n">
        <f aca="true">RAND()</f>
        <v>0.441140287253062</v>
      </c>
      <c r="U765" s="54" t="n">
        <f aca="true">RAND()</f>
        <v>0.2212501798399</v>
      </c>
    </row>
    <row r="766" customFormat="false" ht="15" hidden="false" customHeight="false" outlineLevel="0" collapsed="false">
      <c r="A766" s="50" t="n">
        <v>686</v>
      </c>
      <c r="B766" s="51" t="n">
        <f aca="false">1+IF($G$6=$E$6,$F$6,IF(P766&lt;($F$6-$E$6)/($G$6-$E$6),$E$6+SQRT(P766*($G$6-$E$6)*($F$6-$E$6)),$G$6-SQRT((1-P766)*($G$6-$E$6)*($G$6-$F$6))))</f>
        <v>0.959265487241666</v>
      </c>
      <c r="C766" s="51" t="n">
        <f aca="false">1+IF($G$7=$E$7,$F$7,IF(Q766&lt;($F$7-$E$7)/($G$7-$E$7),$E$7+SQRT(Q766*($G$7-$E$7)*($F$7-$E$7)),$G$7-SQRT((1-Q766)*($G$7-$E$7)*($G$7-$F$7))))</f>
        <v>1.08380401406393</v>
      </c>
      <c r="D766" s="51" t="n">
        <f aca="false">1+IF($G$8=$E$8,$F$8,IF(R766&lt;($F$8-$E$8)/($G$8-$E$8),$E$8+SQRT(R766*($G$8-$E$8)*($F$8-$E$8)),$G$8-SQRT((1-R766)*($G$8-$E$8)*($G$8-$F$8))))</f>
        <v>0.988287402260887</v>
      </c>
      <c r="E766" s="51" t="n">
        <f aca="false">1+IF($G$9=$E$9,$F$9,IF(S766&lt;($F$9-$E$9)/($G$9-$E$9),$E$9+SQRT(S766*($G$9-$E$9)*($F$9-$E$9)),$G$9-SQRT((1-S766)*($G$9-$E$9)*($G$9-$F$9))))</f>
        <v>0.969569014350641</v>
      </c>
      <c r="F766" s="51" t="n">
        <f aca="false">1+IF($G$10=$E$10,$F$10,IF(T766&lt;($F$10-$E$10)/($G$10-$E$10),$E$10+SQRT(T766*($G$10-$E$10)*($F$10-$E$10)),$G$10-SQRT((1-T766)*($G$10-$E$10)*($G$10-$F$10))))</f>
        <v>1.04705014778058</v>
      </c>
      <c r="G766" s="52" t="n">
        <f aca="false">IF($G$11=$E$11,$F$11,IF(U766&lt;($F$11-$E$11)/($G$11-$E$11),$E$11+SQRT(U766*($G$11-$E$11)*($F$11-$E$11)),$G$11-SQRT((1-U766)*($G$11-$E$11)*($G$11-$F$11))))</f>
        <v>0.103497929525902</v>
      </c>
      <c r="H766" s="53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-2094100295.56116</v>
      </c>
      <c r="I766" s="53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6756902.83358875</v>
      </c>
      <c r="J766" s="53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309987290.212723</v>
      </c>
      <c r="K766" s="53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665570184.980886</v>
      </c>
      <c r="L766" s="53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802577484.725148</v>
      </c>
      <c r="M766" s="53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1000195256.45684</v>
      </c>
      <c r="N766" s="53" t="n">
        <f aca="false">IF(COUNT('Business Case'!B11:G11)=0,"",H766+NPV(G766,I766:M766))</f>
        <v>-185582971.159293</v>
      </c>
      <c r="P766" s="54" t="n">
        <f aca="true">RAND()</f>
        <v>0.160601925867231</v>
      </c>
      <c r="Q766" s="54" t="n">
        <f aca="true">RAND()</f>
        <v>0.916535075160979</v>
      </c>
      <c r="R766" s="54" t="n">
        <f aca="true">RAND()</f>
        <v>0.225526949521077</v>
      </c>
      <c r="S766" s="54" t="n">
        <f aca="true">RAND()</f>
        <v>0.0510595096874114</v>
      </c>
      <c r="T766" s="54" t="n">
        <f aca="true">RAND()</f>
        <v>0.532126854121149</v>
      </c>
      <c r="U766" s="54" t="n">
        <f aca="true">RAND()</f>
        <v>0.546136116779826</v>
      </c>
    </row>
    <row r="767" customFormat="false" ht="15" hidden="false" customHeight="false" outlineLevel="0" collapsed="false">
      <c r="A767" s="50" t="n">
        <v>687</v>
      </c>
      <c r="B767" s="51" t="n">
        <f aca="false">1+IF($G$6=$E$6,$F$6,IF(P767&lt;($F$6-$E$6)/($G$6-$E$6),$E$6+SQRT(P767*($G$6-$E$6)*($F$6-$E$6)),$G$6-SQRT((1-P767)*($G$6-$E$6)*($G$6-$F$6))))</f>
        <v>0.984668256669591</v>
      </c>
      <c r="C767" s="51" t="n">
        <f aca="false">1+IF($G$7=$E$7,$F$7,IF(Q767&lt;($F$7-$E$7)/($G$7-$E$7),$E$7+SQRT(Q767*($G$7-$E$7)*($F$7-$E$7)),$G$7-SQRT((1-Q767)*($G$7-$E$7)*($G$7-$F$7))))</f>
        <v>1.01301830559689</v>
      </c>
      <c r="D767" s="51" t="n">
        <f aca="false">1+IF($G$8=$E$8,$F$8,IF(R767&lt;($F$8-$E$8)/($G$8-$E$8),$E$8+SQRT(R767*($G$8-$E$8)*($F$8-$E$8)),$G$8-SQRT((1-R767)*($G$8-$E$8)*($G$8-$F$8))))</f>
        <v>1.01391664074136</v>
      </c>
      <c r="E767" s="51" t="n">
        <f aca="false">1+IF($G$9=$E$9,$F$9,IF(S767&lt;($F$9-$E$9)/($G$9-$E$9),$E$9+SQRT(S767*($G$9-$E$9)*($F$9-$E$9)),$G$9-SQRT((1-S767)*($G$9-$E$9)*($G$9-$F$9))))</f>
        <v>0.997487128497574</v>
      </c>
      <c r="F767" s="51" t="n">
        <f aca="false">1+IF($G$10=$E$10,$F$10,IF(T767&lt;($F$10-$E$10)/($G$10-$E$10),$E$10+SQRT(T767*($G$10-$E$10)*($F$10-$E$10)),$G$10-SQRT((1-T767)*($G$10-$E$10)*($G$10-$F$10))))</f>
        <v>1.01695798101366</v>
      </c>
      <c r="G767" s="52" t="n">
        <f aca="false">IF($G$11=$E$11,$F$11,IF(U767&lt;($F$11-$E$11)/($G$11-$E$11),$E$11+SQRT(U767*($G$11-$E$11)*($F$11-$E$11)),$G$11-SQRT((1-U767)*($G$11-$E$11)*($G$11-$F$11))))</f>
        <v>0.116593553582508</v>
      </c>
      <c r="H767" s="53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-2033915962.02731</v>
      </c>
      <c r="I767" s="53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-4035828.44478552</v>
      </c>
      <c r="J767" s="53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287176535.354335</v>
      </c>
      <c r="K767" s="53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629236798.204137</v>
      </c>
      <c r="L767" s="53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760780735.783968</v>
      </c>
      <c r="M767" s="53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950383058.841312</v>
      </c>
      <c r="N767" s="53" t="n">
        <f aca="false">IF(COUNT('Business Case'!B11:G11)=0,"",H767+NPV(G767,I767:M767))</f>
        <v>-318239947.950394</v>
      </c>
      <c r="P767" s="54" t="n">
        <f aca="true">RAND()</f>
        <v>0.435623272987923</v>
      </c>
      <c r="Q767" s="54" t="n">
        <f aca="true">RAND()</f>
        <v>0.642590769494322</v>
      </c>
      <c r="R767" s="54" t="n">
        <f aca="true">RAND()</f>
        <v>0.580095156643661</v>
      </c>
      <c r="S767" s="54" t="n">
        <f aca="true">RAND()</f>
        <v>0.300670316392678</v>
      </c>
      <c r="T767" s="54" t="n">
        <f aca="true">RAND()</f>
        <v>0.329912385708061</v>
      </c>
      <c r="U767" s="54" t="n">
        <f aca="true">RAND()</f>
        <v>0.980660204674591</v>
      </c>
    </row>
    <row r="768" customFormat="false" ht="15" hidden="false" customHeight="false" outlineLevel="0" collapsed="false">
      <c r="A768" s="50" t="n">
        <v>688</v>
      </c>
      <c r="B768" s="51" t="n">
        <f aca="false">1+IF($G$6=$E$6,$F$6,IF(P768&lt;($F$6-$E$6)/($G$6-$E$6),$E$6+SQRT(P768*($G$6-$E$6)*($F$6-$E$6)),$G$6-SQRT((1-P768)*($G$6-$E$6)*($G$6-$F$6))))</f>
        <v>0.99561227583498</v>
      </c>
      <c r="C768" s="51" t="n">
        <f aca="false">1+IF($G$7=$E$7,$F$7,IF(Q768&lt;($F$7-$E$7)/($G$7-$E$7),$E$7+SQRT(Q768*($G$7-$E$7)*($F$7-$E$7)),$G$7-SQRT((1-Q768)*($G$7-$E$7)*($G$7-$F$7))))</f>
        <v>0.964305095480414</v>
      </c>
      <c r="D768" s="51" t="n">
        <f aca="false">1+IF($G$8=$E$8,$F$8,IF(R768&lt;($F$8-$E$8)/($G$8-$E$8),$E$8+SQRT(R768*($G$8-$E$8)*($F$8-$E$8)),$G$8-SQRT((1-R768)*($G$8-$E$8)*($G$8-$F$8))))</f>
        <v>1.03794704690077</v>
      </c>
      <c r="E768" s="51" t="n">
        <f aca="false">1+IF($G$9=$E$9,$F$9,IF(S768&lt;($F$9-$E$9)/($G$9-$E$9),$E$9+SQRT(S768*($G$9-$E$9)*($F$9-$E$9)),$G$9-SQRT((1-S768)*($G$9-$E$9)*($G$9-$F$9))))</f>
        <v>1.04019906044074</v>
      </c>
      <c r="F768" s="51" t="n">
        <f aca="false">1+IF($G$10=$E$10,$F$10,IF(T768&lt;($F$10-$E$10)/($G$10-$E$10),$E$10+SQRT(T768*($G$10-$E$10)*($F$10-$E$10)),$G$10-SQRT((1-T768)*($G$10-$E$10)*($G$10-$F$10))))</f>
        <v>1.10241210073966</v>
      </c>
      <c r="G768" s="52" t="n">
        <f aca="false">IF($G$11=$E$11,$F$11,IF(U768&lt;($F$11-$E$11)/($G$11-$E$11),$E$11+SQRT(U768*($G$11-$E$11)*($F$11-$E$11)),$G$11-SQRT((1-U768)*($G$11-$E$11)*($G$11-$F$11))))</f>
        <v>0.107293002496026</v>
      </c>
      <c r="H768" s="53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-2204824201.47931</v>
      </c>
      <c r="I768" s="53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-33937541.2143412</v>
      </c>
      <c r="J768" s="53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240052669.718389</v>
      </c>
      <c r="K768" s="53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569163485.688103</v>
      </c>
      <c r="L768" s="53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693673713.117968</v>
      </c>
      <c r="M768" s="53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876164577.272225</v>
      </c>
      <c r="N768" s="53" t="n">
        <f aca="false">IF(COUNT('Business Case'!B11:G11)=0,"",H768+NPV(G768,I768:M768))</f>
        <v>-632683223.915214</v>
      </c>
      <c r="P768" s="54" t="n">
        <f aca="true">RAND()</f>
        <v>0.59554336009844</v>
      </c>
      <c r="Q768" s="54" t="n">
        <f aca="true">RAND()</f>
        <v>0.385659491440402</v>
      </c>
      <c r="R768" s="54" t="n">
        <f aca="true">RAND()</f>
        <v>0.82995664765708</v>
      </c>
      <c r="S768" s="54" t="n">
        <f aca="true">RAND()</f>
        <v>0.76158984185528</v>
      </c>
      <c r="T768" s="54" t="n">
        <f aca="true">RAND()</f>
        <v>0.809532038359059</v>
      </c>
      <c r="U768" s="54" t="n">
        <f aca="true">RAND()</f>
        <v>0.730887024056683</v>
      </c>
    </row>
    <row r="769" customFormat="false" ht="15" hidden="false" customHeight="false" outlineLevel="0" collapsed="false">
      <c r="A769" s="50" t="n">
        <v>689</v>
      </c>
      <c r="B769" s="51" t="n">
        <f aca="false">1+IF($G$6=$E$6,$F$6,IF(P769&lt;($F$6-$E$6)/($G$6-$E$6),$E$6+SQRT(P769*($G$6-$E$6)*($F$6-$E$6)),$G$6-SQRT((1-P769)*($G$6-$E$6)*($G$6-$F$6))))</f>
        <v>1.01517097265323</v>
      </c>
      <c r="C769" s="51" t="n">
        <f aca="false">1+IF($G$7=$E$7,$F$7,IF(Q769&lt;($F$7-$E$7)/($G$7-$E$7),$E$7+SQRT(Q769*($G$7-$E$7)*($F$7-$E$7)),$G$7-SQRT((1-Q769)*($G$7-$E$7)*($G$7-$F$7))))</f>
        <v>0.979566241258627</v>
      </c>
      <c r="D769" s="51" t="n">
        <f aca="false">1+IF($G$8=$E$8,$F$8,IF(R769&lt;($F$8-$E$8)/($G$8-$E$8),$E$8+SQRT(R769*($G$8-$E$8)*($F$8-$E$8)),$G$8-SQRT((1-R769)*($G$8-$E$8)*($G$8-$F$8))))</f>
        <v>0.980271741173253</v>
      </c>
      <c r="E769" s="51" t="n">
        <f aca="false">1+IF($G$9=$E$9,$F$9,IF(S769&lt;($F$9-$E$9)/($G$9-$E$9),$E$9+SQRT(S769*($G$9-$E$9)*($F$9-$E$9)),$G$9-SQRT((1-S769)*($G$9-$E$9)*($G$9-$F$9))))</f>
        <v>1.06850801308527</v>
      </c>
      <c r="F769" s="51" t="n">
        <f aca="false">1+IF($G$10=$E$10,$F$10,IF(T769&lt;($F$10-$E$10)/($G$10-$E$10),$E$10+SQRT(T769*($G$10-$E$10)*($F$10-$E$10)),$G$10-SQRT((1-T769)*($G$10-$E$10)*($G$10-$F$10))))</f>
        <v>1.14684554771771</v>
      </c>
      <c r="G769" s="52" t="n">
        <f aca="false">IF($G$11=$E$11,$F$11,IF(U769&lt;($F$11-$E$11)/($G$11-$E$11),$E$11+SQRT(U769*($G$11-$E$11)*($F$11-$E$11)),$G$11-SQRT((1-U769)*($G$11-$E$11)*($G$11-$F$11))))</f>
        <v>0.101905783839675</v>
      </c>
      <c r="H769" s="53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-2293691095.43541</v>
      </c>
      <c r="I769" s="53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4763359.52817781</v>
      </c>
      <c r="J769" s="53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327704220.058297</v>
      </c>
      <c r="K769" s="53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707987357.974302</v>
      </c>
      <c r="L769" s="53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850001715.997306</v>
      </c>
      <c r="M769" s="53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1039022440.81861</v>
      </c>
      <c r="N769" s="53" t="n">
        <f aca="false">IF(COUNT('Business Case'!B11:G11)=0,"",H769+NPV(G769,I769:M769))</f>
        <v>-274160107.33691</v>
      </c>
      <c r="P769" s="54" t="n">
        <f aca="true">RAND()</f>
        <v>0.87156654187776</v>
      </c>
      <c r="Q769" s="54" t="n">
        <f aca="true">RAND()</f>
        <v>0.46062907142502</v>
      </c>
      <c r="R769" s="54" t="n">
        <f aca="true">RAND()</f>
        <v>0.14098127902468</v>
      </c>
      <c r="S769" s="54" t="n">
        <f aca="true">RAND()</f>
        <v>0.933883650677484</v>
      </c>
      <c r="T769" s="54" t="n">
        <f aca="true">RAND()</f>
        <v>0.943492084051386</v>
      </c>
      <c r="U769" s="54" t="n">
        <f aca="true">RAND()</f>
        <v>0.454332235905744</v>
      </c>
    </row>
    <row r="770" customFormat="false" ht="15" hidden="false" customHeight="false" outlineLevel="0" collapsed="false">
      <c r="A770" s="50" t="n">
        <v>690</v>
      </c>
      <c r="B770" s="51" t="n">
        <f aca="false">1+IF($G$6=$E$6,$F$6,IF(P770&lt;($F$6-$E$6)/($G$6-$E$6),$E$6+SQRT(P770*($G$6-$E$6)*($F$6-$E$6)),$G$6-SQRT((1-P770)*($G$6-$E$6)*($G$6-$F$6))))</f>
        <v>1.00826217643663</v>
      </c>
      <c r="C770" s="51" t="n">
        <f aca="false">1+IF($G$7=$E$7,$F$7,IF(Q770&lt;($F$7-$E$7)/($G$7-$E$7),$E$7+SQRT(Q770*($G$7-$E$7)*($F$7-$E$7)),$G$7-SQRT((1-Q770)*($G$7-$E$7)*($G$7-$F$7))))</f>
        <v>0.909884720377736</v>
      </c>
      <c r="D770" s="51" t="n">
        <f aca="false">1+IF($G$8=$E$8,$F$8,IF(R770&lt;($F$8-$E$8)/($G$8-$E$8),$E$8+SQRT(R770*($G$8-$E$8)*($F$8-$E$8)),$G$8-SQRT((1-R770)*($G$8-$E$8)*($G$8-$F$8))))</f>
        <v>0.994450274797186</v>
      </c>
      <c r="E770" s="51" t="n">
        <f aca="false">1+IF($G$9=$E$9,$F$9,IF(S770&lt;($F$9-$E$9)/($G$9-$E$9),$E$9+SQRT(S770*($G$9-$E$9)*($F$9-$E$9)),$G$9-SQRT((1-S770)*($G$9-$E$9)*($G$9-$F$9))))</f>
        <v>1.05733148200735</v>
      </c>
      <c r="F770" s="51" t="n">
        <f aca="false">1+IF($G$10=$E$10,$F$10,IF(T770&lt;($F$10-$E$10)/($G$10-$E$10),$E$10+SQRT(T770*($G$10-$E$10)*($F$10-$E$10)),$G$10-SQRT((1-T770)*($G$10-$E$10)*($G$10-$F$10))))</f>
        <v>1.03201329838869</v>
      </c>
      <c r="G770" s="52" t="n">
        <f aca="false">IF($G$11=$E$11,$F$11,IF(U770&lt;($F$11-$E$11)/($G$11-$E$11),$E$11+SQRT(U770*($G$11-$E$11)*($F$11-$E$11)),$G$11-SQRT((1-U770)*($G$11-$E$11)*($G$11-$F$11))))</f>
        <v>0.111985918200478</v>
      </c>
      <c r="H770" s="53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-2064026596.77738</v>
      </c>
      <c r="I770" s="53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-12896617.5759739</v>
      </c>
      <c r="J770" s="53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275318769.173283</v>
      </c>
      <c r="K770" s="53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615134820.841975</v>
      </c>
      <c r="L770" s="53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742912041.588339</v>
      </c>
      <c r="M770" s="53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917291879.986371</v>
      </c>
      <c r="N770" s="53" t="n">
        <f aca="false">IF(COUNT('Business Case'!B11:G11)=0,"",H770+NPV(G770,I770:M770))</f>
        <v>-380174220.158521</v>
      </c>
      <c r="P770" s="54" t="n">
        <f aca="true">RAND()</f>
        <v>0.790148032387642</v>
      </c>
      <c r="Q770" s="54" t="n">
        <f aca="true">RAND()</f>
        <v>0.17249502532133</v>
      </c>
      <c r="R770" s="54" t="n">
        <f aca="true">RAND()</f>
        <v>0.303973373776209</v>
      </c>
      <c r="S770" s="54" t="n">
        <f aca="true">RAND()</f>
        <v>0.878626504820702</v>
      </c>
      <c r="T770" s="54" t="n">
        <f aca="true">RAND()</f>
        <v>0.435609361635047</v>
      </c>
      <c r="U770" s="54" t="n">
        <f aca="true">RAND()</f>
        <v>0.892957488184292</v>
      </c>
    </row>
    <row r="771" customFormat="false" ht="15" hidden="false" customHeight="false" outlineLevel="0" collapsed="false">
      <c r="A771" s="50" t="n">
        <v>691</v>
      </c>
      <c r="B771" s="51" t="n">
        <f aca="false">1+IF($G$6=$E$6,$F$6,IF(P771&lt;($F$6-$E$6)/($G$6-$E$6),$E$6+SQRT(P771*($G$6-$E$6)*($F$6-$E$6)),$G$6-SQRT((1-P771)*($G$6-$E$6)*($G$6-$F$6))))</f>
        <v>1.0346844438066</v>
      </c>
      <c r="C771" s="51" t="n">
        <f aca="false">1+IF($G$7=$E$7,$F$7,IF(Q771&lt;($F$7-$E$7)/($G$7-$E$7),$E$7+SQRT(Q771*($G$7-$E$7)*($F$7-$E$7)),$G$7-SQRT((1-Q771)*($G$7-$E$7)*($G$7-$F$7))))</f>
        <v>0.96622329135224</v>
      </c>
      <c r="D771" s="51" t="n">
        <f aca="false">1+IF($G$8=$E$8,$F$8,IF(R771&lt;($F$8-$E$8)/($G$8-$E$8),$E$8+SQRT(R771*($G$8-$E$8)*($F$8-$E$8)),$G$8-SQRT((1-R771)*($G$8-$E$8)*($G$8-$F$8))))</f>
        <v>1.05377997236695</v>
      </c>
      <c r="E771" s="51" t="n">
        <f aca="false">1+IF($G$9=$E$9,$F$9,IF(S771&lt;($F$9-$E$9)/($G$9-$E$9),$E$9+SQRT(S771*($G$9-$E$9)*($F$9-$E$9)),$G$9-SQRT((1-S771)*($G$9-$E$9)*($G$9-$F$9))))</f>
        <v>1.02091688142897</v>
      </c>
      <c r="F771" s="51" t="n">
        <f aca="false">1+IF($G$10=$E$10,$F$10,IF(T771&lt;($F$10-$E$10)/($G$10-$E$10),$E$10+SQRT(T771*($G$10-$E$10)*($F$10-$E$10)),$G$10-SQRT((1-T771)*($G$10-$E$10)*($G$10-$F$10))))</f>
        <v>1.04625426427002</v>
      </c>
      <c r="G771" s="52" t="n">
        <f aca="false">IF($G$11=$E$11,$F$11,IF(U771&lt;($F$11-$E$11)/($G$11-$E$11),$E$11+SQRT(U771*($G$11-$E$11)*($F$11-$E$11)),$G$11-SQRT((1-U771)*($G$11-$E$11)*($G$11-$F$11))))</f>
        <v>0.100849108310903</v>
      </c>
      <c r="H771" s="53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-2092508528.54005</v>
      </c>
      <c r="I771" s="53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-4000358.7413381</v>
      </c>
      <c r="J771" s="53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293625414.548017</v>
      </c>
      <c r="K771" s="53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643563901.050874</v>
      </c>
      <c r="L771" s="53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777323375.523653</v>
      </c>
      <c r="M771" s="53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967353234.093456</v>
      </c>
      <c r="N771" s="53" t="n">
        <f aca="false">IF(COUNT('Business Case'!B11:G11)=0,"",H771+NPV(G771,I771:M771))</f>
        <v>-243826360.634585</v>
      </c>
      <c r="P771" s="54" t="n">
        <f aca="true">RAND()</f>
        <v>0.994113512990594</v>
      </c>
      <c r="Q771" s="54" t="n">
        <f aca="true">RAND()</f>
        <v>0.394716894113879</v>
      </c>
      <c r="R771" s="54" t="n">
        <f aca="true">RAND()</f>
        <v>0.933895206819444</v>
      </c>
      <c r="S771" s="54" t="n">
        <f aca="true">RAND()</f>
        <v>0.583057357138687</v>
      </c>
      <c r="T771" s="54" t="n">
        <f aca="true">RAND()</f>
        <v>0.527244974896965</v>
      </c>
      <c r="U771" s="54" t="n">
        <f aca="true">RAND()</f>
        <v>0.388738912520761</v>
      </c>
    </row>
    <row r="772" customFormat="false" ht="15" hidden="false" customHeight="false" outlineLevel="0" collapsed="false">
      <c r="A772" s="50" t="n">
        <v>692</v>
      </c>
      <c r="B772" s="51" t="n">
        <f aca="false">1+IF($G$6=$E$6,$F$6,IF(P772&lt;($F$6-$E$6)/($G$6-$E$6),$E$6+SQRT(P772*($G$6-$E$6)*($F$6-$E$6)),$G$6-SQRT((1-P772)*($G$6-$E$6)*($G$6-$F$6))))</f>
        <v>0.948493784501738</v>
      </c>
      <c r="C772" s="51" t="n">
        <f aca="false">1+IF($G$7=$E$7,$F$7,IF(Q772&lt;($F$7-$E$7)/($G$7-$E$7),$E$7+SQRT(Q772*($G$7-$E$7)*($F$7-$E$7)),$G$7-SQRT((1-Q772)*($G$7-$E$7)*($G$7-$F$7))))</f>
        <v>1.10389558705722</v>
      </c>
      <c r="D772" s="51" t="n">
        <f aca="false">1+IF($G$8=$E$8,$F$8,IF(R772&lt;($F$8-$E$8)/($G$8-$E$8),$E$8+SQRT(R772*($G$8-$E$8)*($F$8-$E$8)),$G$8-SQRT((1-R772)*($G$8-$E$8)*($G$8-$F$8))))</f>
        <v>0.957132261733234</v>
      </c>
      <c r="E772" s="51" t="n">
        <f aca="false">1+IF($G$9=$E$9,$F$9,IF(S772&lt;($F$9-$E$9)/($G$9-$E$9),$E$9+SQRT(S772*($G$9-$E$9)*($F$9-$E$9)),$G$9-SQRT((1-S772)*($G$9-$E$9)*($G$9-$F$9))))</f>
        <v>1.03187518421035</v>
      </c>
      <c r="F772" s="51" t="n">
        <f aca="false">1+IF($G$10=$E$10,$F$10,IF(T772&lt;($F$10-$E$10)/($G$10-$E$10),$E$10+SQRT(T772*($G$10-$E$10)*($F$10-$E$10)),$G$10-SQRT((1-T772)*($G$10-$E$10)*($G$10-$F$10))))</f>
        <v>1.03608311519702</v>
      </c>
      <c r="G772" s="52" t="n">
        <f aca="false">IF($G$11=$E$11,$F$11,IF(U772&lt;($F$11-$E$11)/($G$11-$E$11),$E$11+SQRT(U772*($G$11-$E$11)*($F$11-$E$11)),$G$11-SQRT((1-U772)*($G$11-$E$11)*($G$11-$F$11))))</f>
        <v>0.103406947560987</v>
      </c>
      <c r="H772" s="53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-2072166230.39403</v>
      </c>
      <c r="I772" s="53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12098772.1627671</v>
      </c>
      <c r="J772" s="53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328816962.302717</v>
      </c>
      <c r="K772" s="53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697339308.202518</v>
      </c>
      <c r="L772" s="53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839097675.091014</v>
      </c>
      <c r="M772" s="53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1038118677.72117</v>
      </c>
      <c r="N772" s="53" t="n">
        <f aca="false">IF(COUNT('Business Case'!B11:G11)=0,"",H772+NPV(G772,I772:M772))</f>
        <v>-71274782.5023358</v>
      </c>
      <c r="P772" s="54" t="n">
        <f aca="true">RAND()</f>
        <v>0.0845724745032796</v>
      </c>
      <c r="Q772" s="54" t="n">
        <f aca="true">RAND()</f>
        <v>0.959512059184801</v>
      </c>
      <c r="R772" s="54" t="n">
        <f aca="true">RAND()</f>
        <v>0.0078260242202082</v>
      </c>
      <c r="S772" s="54" t="n">
        <f aca="true">RAND()</f>
        <v>0.690600631575112</v>
      </c>
      <c r="T772" s="54" t="n">
        <f aca="true">RAND()</f>
        <v>0.4626250975297</v>
      </c>
      <c r="U772" s="54" t="n">
        <f aca="true">RAND()</f>
        <v>0.541117684593608</v>
      </c>
    </row>
    <row r="773" customFormat="false" ht="15" hidden="false" customHeight="false" outlineLevel="0" collapsed="false">
      <c r="A773" s="50" t="n">
        <v>693</v>
      </c>
      <c r="B773" s="51" t="n">
        <f aca="false">1+IF($G$6=$E$6,$F$6,IF(P773&lt;($F$6-$E$6)/($G$6-$E$6),$E$6+SQRT(P773*($G$6-$E$6)*($F$6-$E$6)),$G$6-SQRT((1-P773)*($G$6-$E$6)*($G$6-$F$6))))</f>
        <v>0.963930055138953</v>
      </c>
      <c r="C773" s="51" t="n">
        <f aca="false">1+IF($G$7=$E$7,$F$7,IF(Q773&lt;($F$7-$E$7)/($G$7-$E$7),$E$7+SQRT(Q773*($G$7-$E$7)*($F$7-$E$7)),$G$7-SQRT((1-Q773)*($G$7-$E$7)*($G$7-$F$7))))</f>
        <v>0.999005072857111</v>
      </c>
      <c r="D773" s="51" t="n">
        <f aca="false">1+IF($G$8=$E$8,$F$8,IF(R773&lt;($F$8-$E$8)/($G$8-$E$8),$E$8+SQRT(R773*($G$8-$E$8)*($F$8-$E$8)),$G$8-SQRT((1-R773)*($G$8-$E$8)*($G$8-$F$8))))</f>
        <v>0.974023784287697</v>
      </c>
      <c r="E773" s="51" t="n">
        <f aca="false">1+IF($G$9=$E$9,$F$9,IF(S773&lt;($F$9-$E$9)/($G$9-$E$9),$E$9+SQRT(S773*($G$9-$E$9)*($F$9-$E$9)),$G$9-SQRT((1-S773)*($G$9-$E$9)*($G$9-$F$9))))</f>
        <v>1.01427275856595</v>
      </c>
      <c r="F773" s="51" t="n">
        <f aca="false">1+IF($G$10=$E$10,$F$10,IF(T773&lt;($F$10-$E$10)/($G$10-$E$10),$E$10+SQRT(T773*($G$10-$E$10)*($F$10-$E$10)),$G$10-SQRT((1-T773)*($G$10-$E$10)*($G$10-$F$10))))</f>
        <v>1.16359776827562</v>
      </c>
      <c r="G773" s="52" t="n">
        <f aca="false">IF($G$11=$E$11,$F$11,IF(U773&lt;($F$11-$E$11)/($G$11-$E$11),$E$11+SQRT(U773*($G$11-$E$11)*($F$11-$E$11)),$G$11-SQRT((1-U773)*($G$11-$E$11)*($G$11-$F$11))))</f>
        <v>0.111323258104281</v>
      </c>
      <c r="H773" s="53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-2327195536.55124</v>
      </c>
      <c r="I773" s="53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-19893348.1797166</v>
      </c>
      <c r="J773" s="53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270723084.151901</v>
      </c>
      <c r="K773" s="53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619519404.897299</v>
      </c>
      <c r="L773" s="53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749671827.284968</v>
      </c>
      <c r="M773" s="53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932713357.809182</v>
      </c>
      <c r="N773" s="53" t="n">
        <f aca="false">IF(COUNT('Business Case'!B11:G11)=0,"",H773+NPV(G773,I773:M773))</f>
        <v>-632806452.6828</v>
      </c>
      <c r="P773" s="54" t="n">
        <f aca="true">RAND()</f>
        <v>0.201026015053275</v>
      </c>
      <c r="Q773" s="54" t="n">
        <f aca="true">RAND()</f>
        <v>0.565757414612341</v>
      </c>
      <c r="R773" s="54" t="n">
        <f aca="true">RAND()</f>
        <v>0.0887911094618122</v>
      </c>
      <c r="S773" s="54" t="n">
        <f aca="true">RAND()</f>
        <v>0.510056005073817</v>
      </c>
      <c r="T773" s="54" t="n">
        <f aca="true">RAND()</f>
        <v>0.973497550509689</v>
      </c>
      <c r="U773" s="54" t="n">
        <f aca="true">RAND()</f>
        <v>0.874523583458465</v>
      </c>
    </row>
    <row r="774" customFormat="false" ht="15" hidden="false" customHeight="false" outlineLevel="0" collapsed="false">
      <c r="A774" s="50" t="n">
        <v>694</v>
      </c>
      <c r="B774" s="51" t="n">
        <f aca="false">1+IF($G$6=$E$6,$F$6,IF(P774&lt;($F$6-$E$6)/($G$6-$E$6),$E$6+SQRT(P774*($G$6-$E$6)*($F$6-$E$6)),$G$6-SQRT((1-P774)*($G$6-$E$6)*($G$6-$F$6))))</f>
        <v>0.980811178618729</v>
      </c>
      <c r="C774" s="51" t="n">
        <f aca="false">1+IF($G$7=$E$7,$F$7,IF(Q774&lt;($F$7-$E$7)/($G$7-$E$7),$E$7+SQRT(Q774*($G$7-$E$7)*($F$7-$E$7)),$G$7-SQRT((1-Q774)*($G$7-$E$7)*($G$7-$F$7))))</f>
        <v>0.968554870850815</v>
      </c>
      <c r="D774" s="51" t="n">
        <f aca="false">1+IF($G$8=$E$8,$F$8,IF(R774&lt;($F$8-$E$8)/($G$8-$E$8),$E$8+SQRT(R774*($G$8-$E$8)*($F$8-$E$8)),$G$8-SQRT((1-R774)*($G$8-$E$8)*($G$8-$F$8))))</f>
        <v>0.988281870004279</v>
      </c>
      <c r="E774" s="51" t="n">
        <f aca="false">1+IF($G$9=$E$9,$F$9,IF(S774&lt;($F$9-$E$9)/($G$9-$E$9),$E$9+SQRT(S774*($G$9-$E$9)*($F$9-$E$9)),$G$9-SQRT((1-S774)*($G$9-$E$9)*($G$9-$F$9))))</f>
        <v>0.997527804391462</v>
      </c>
      <c r="F774" s="51" t="n">
        <f aca="false">1+IF($G$10=$E$10,$F$10,IF(T774&lt;($F$10-$E$10)/($G$10-$E$10),$E$10+SQRT(T774*($G$10-$E$10)*($F$10-$E$10)),$G$10-SQRT((1-T774)*($G$10-$E$10)*($G$10-$F$10))))</f>
        <v>0.999245521582173</v>
      </c>
      <c r="G774" s="52" t="n">
        <f aca="false">IF($G$11=$E$11,$F$11,IF(U774&lt;($F$11-$E$11)/($G$11-$E$11),$E$11+SQRT(U774*($G$11-$E$11)*($F$11-$E$11)),$G$11-SQRT((1-U774)*($G$11-$E$11)*($G$11-$F$11))))</f>
        <v>0.0998274305425156</v>
      </c>
      <c r="H774" s="53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-1998491043.16435</v>
      </c>
      <c r="I774" s="53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-2938544.84226184</v>
      </c>
      <c r="J774" s="53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285142332.257727</v>
      </c>
      <c r="K774" s="53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623185485.436824</v>
      </c>
      <c r="L774" s="53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752043388.469865</v>
      </c>
      <c r="M774" s="53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932613580.468279</v>
      </c>
      <c r="N774" s="53" t="n">
        <f aca="false">IF(COUNT('Business Case'!B11:G11)=0,"",H774+NPV(G774,I774:M774))</f>
        <v>-203492864.168165</v>
      </c>
      <c r="P774" s="54" t="n">
        <f aca="true">RAND()</f>
        <v>0.385208275520718</v>
      </c>
      <c r="Q774" s="54" t="n">
        <f aca="true">RAND()</f>
        <v>0.405867778393355</v>
      </c>
      <c r="R774" s="54" t="n">
        <f aca="true">RAND()</f>
        <v>0.225461780157615</v>
      </c>
      <c r="S774" s="54" t="n">
        <f aca="true">RAND()</f>
        <v>0.301185625369737</v>
      </c>
      <c r="T774" s="54" t="n">
        <f aca="true">RAND()</f>
        <v>0.194009711672019</v>
      </c>
      <c r="U774" s="54" t="n">
        <f aca="true">RAND()</f>
        <v>0.321927970226564</v>
      </c>
    </row>
    <row r="775" customFormat="false" ht="15" hidden="false" customHeight="false" outlineLevel="0" collapsed="false">
      <c r="A775" s="50" t="n">
        <v>695</v>
      </c>
      <c r="B775" s="51" t="n">
        <f aca="false">1+IF($G$6=$E$6,$F$6,IF(P775&lt;($F$6-$E$6)/($G$6-$E$6),$E$6+SQRT(P775*($G$6-$E$6)*($F$6-$E$6)),$G$6-SQRT((1-P775)*($G$6-$E$6)*($G$6-$F$6))))</f>
        <v>0.970921744728703</v>
      </c>
      <c r="C775" s="51" t="n">
        <f aca="false">1+IF($G$7=$E$7,$F$7,IF(Q775&lt;($F$7-$E$7)/($G$7-$E$7),$E$7+SQRT(Q775*($G$7-$E$7)*($F$7-$E$7)),$G$7-SQRT((1-Q775)*($G$7-$E$7)*($G$7-$F$7))))</f>
        <v>0.871756903701682</v>
      </c>
      <c r="D775" s="51" t="n">
        <f aca="false">1+IF($G$8=$E$8,$F$8,IF(R775&lt;($F$8-$E$8)/($G$8-$E$8),$E$8+SQRT(R775*($G$8-$E$8)*($F$8-$E$8)),$G$8-SQRT((1-R775)*($G$8-$E$8)*($G$8-$F$8))))</f>
        <v>1.02043800149261</v>
      </c>
      <c r="E775" s="51" t="n">
        <f aca="false">1+IF($G$9=$E$9,$F$9,IF(S775&lt;($F$9-$E$9)/($G$9-$E$9),$E$9+SQRT(S775*($G$9-$E$9)*($F$9-$E$9)),$G$9-SQRT((1-S775)*($G$9-$E$9)*($G$9-$F$9))))</f>
        <v>0.97621512191346</v>
      </c>
      <c r="F775" s="51" t="n">
        <f aca="false">1+IF($G$10=$E$10,$F$10,IF(T775&lt;($F$10-$E$10)/($G$10-$E$10),$E$10+SQRT(T775*($G$10-$E$10)*($F$10-$E$10)),$G$10-SQRT((1-T775)*($G$10-$E$10)*($G$10-$F$10))))</f>
        <v>1.0787581668067</v>
      </c>
      <c r="G775" s="52" t="n">
        <f aca="false">IF($G$11=$E$11,$F$11,IF(U775&lt;($F$11-$E$11)/($G$11-$E$11),$E$11+SQRT(U775*($G$11-$E$11)*($F$11-$E$11)),$G$11-SQRT((1-U775)*($G$11-$E$11)*($G$11-$F$11))))</f>
        <v>0.101255833463954</v>
      </c>
      <c r="H775" s="53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-2157516333.61339</v>
      </c>
      <c r="I775" s="53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-52693165.3666022</v>
      </c>
      <c r="J775" s="53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185185053.210041</v>
      </c>
      <c r="K775" s="53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477001180.127019</v>
      </c>
      <c r="L775" s="53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585545770.936888</v>
      </c>
      <c r="M775" s="53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746430953.000654</v>
      </c>
      <c r="N775" s="53" t="n">
        <f aca="false">IF(COUNT('Business Case'!B11:G11)=0,"",H775+NPV(G775,I775:M775))</f>
        <v>-836561812.245348</v>
      </c>
      <c r="P775" s="54" t="n">
        <f aca="true">RAND()</f>
        <v>0.270106675647418</v>
      </c>
      <c r="Q775" s="54" t="n">
        <f aca="true">RAND()</f>
        <v>0.0735579032693203</v>
      </c>
      <c r="R775" s="54" t="n">
        <f aca="true">RAND()</f>
        <v>0.658881570558289</v>
      </c>
      <c r="S775" s="54" t="n">
        <f aca="true">RAND()</f>
        <v>0.0916310155916783</v>
      </c>
      <c r="T775" s="54" t="n">
        <f aca="true">RAND()</f>
        <v>0.706008357678544</v>
      </c>
      <c r="U775" s="54" t="n">
        <f aca="true">RAND()</f>
        <v>0.414427034781605</v>
      </c>
    </row>
    <row r="776" customFormat="false" ht="15" hidden="false" customHeight="false" outlineLevel="0" collapsed="false">
      <c r="A776" s="50" t="n">
        <v>696</v>
      </c>
      <c r="B776" s="51" t="n">
        <f aca="false">1+IF($G$6=$E$6,$F$6,IF(P776&lt;($F$6-$E$6)/($G$6-$E$6),$E$6+SQRT(P776*($G$6-$E$6)*($F$6-$E$6)),$G$6-SQRT((1-P776)*($G$6-$E$6)*($G$6-$F$6))))</f>
        <v>0.976898486640955</v>
      </c>
      <c r="C776" s="51" t="n">
        <f aca="false">1+IF($G$7=$E$7,$F$7,IF(Q776&lt;($F$7-$E$7)/($G$7-$E$7),$E$7+SQRT(Q776*($G$7-$E$7)*($F$7-$E$7)),$G$7-SQRT((1-Q776)*($G$7-$E$7)*($G$7-$F$7))))</f>
        <v>1.01508413914937</v>
      </c>
      <c r="D776" s="51" t="n">
        <f aca="false">1+IF($G$8=$E$8,$F$8,IF(R776&lt;($F$8-$E$8)/($G$8-$E$8),$E$8+SQRT(R776*($G$8-$E$8)*($F$8-$E$8)),$G$8-SQRT((1-R776)*($G$8-$E$8)*($G$8-$F$8))))</f>
        <v>1.05058009037095</v>
      </c>
      <c r="E776" s="51" t="n">
        <f aca="false">1+IF($G$9=$E$9,$F$9,IF(S776&lt;($F$9-$E$9)/($G$9-$E$9),$E$9+SQRT(S776*($G$9-$E$9)*($F$9-$E$9)),$G$9-SQRT((1-S776)*($G$9-$E$9)*($G$9-$F$9))))</f>
        <v>0.965773747138446</v>
      </c>
      <c r="F776" s="51" t="n">
        <f aca="false">1+IF($G$10=$E$10,$F$10,IF(T776&lt;($F$10-$E$10)/($G$10-$E$10),$E$10+SQRT(T776*($G$10-$E$10)*($F$10-$E$10)),$G$10-SQRT((1-T776)*($G$10-$E$10)*($G$10-$F$10))))</f>
        <v>1.00088244945083</v>
      </c>
      <c r="G776" s="52" t="n">
        <f aca="false">IF($G$11=$E$11,$F$11,IF(U776&lt;($F$11-$E$11)/($G$11-$E$11),$E$11+SQRT(U776*($G$11-$E$11)*($F$11-$E$11)),$G$11-SQRT((1-U776)*($G$11-$E$11)*($G$11-$F$11))))</f>
        <v>0.112917596556395</v>
      </c>
      <c r="H776" s="53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-2001764898.90166</v>
      </c>
      <c r="I776" s="53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-22533217.8286892</v>
      </c>
      <c r="J776" s="53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243761150.951405</v>
      </c>
      <c r="K776" s="53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560099642.204041</v>
      </c>
      <c r="L776" s="53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683135308.344481</v>
      </c>
      <c r="M776" s="53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871625129.353397</v>
      </c>
      <c r="N776" s="53" t="n">
        <f aca="false">IF(COUNT('Business Case'!B11:G11)=0,"",H776+NPV(G776,I776:M776))</f>
        <v>-463053937.852081</v>
      </c>
      <c r="P776" s="54" t="n">
        <f aca="true">RAND()</f>
        <v>0.337233102294893</v>
      </c>
      <c r="Q776" s="54" t="n">
        <f aca="true">RAND()</f>
        <v>0.653289723636821</v>
      </c>
      <c r="R776" s="54" t="n">
        <f aca="true">RAND()</f>
        <v>0.916775857444094</v>
      </c>
      <c r="S776" s="54" t="n">
        <f aca="true">RAND()</f>
        <v>0.0331748131716847</v>
      </c>
      <c r="T776" s="54" t="n">
        <f aca="true">RAND()</f>
        <v>0.207044021265957</v>
      </c>
      <c r="U776" s="54" t="n">
        <f aca="true">RAND()</f>
        <v>0.916399269103343</v>
      </c>
    </row>
    <row r="777" customFormat="false" ht="15" hidden="false" customHeight="false" outlineLevel="0" collapsed="false">
      <c r="A777" s="50" t="n">
        <v>697</v>
      </c>
      <c r="B777" s="51" t="n">
        <f aca="false">1+IF($G$6=$E$6,$F$6,IF(P777&lt;($F$6-$E$6)/($G$6-$E$6),$E$6+SQRT(P777*($G$6-$E$6)*($F$6-$E$6)),$G$6-SQRT((1-P777)*($G$6-$E$6)*($G$6-$F$6))))</f>
        <v>1.02699301858886</v>
      </c>
      <c r="C777" s="51" t="n">
        <f aca="false">1+IF($G$7=$E$7,$F$7,IF(Q777&lt;($F$7-$E$7)/($G$7-$E$7),$E$7+SQRT(Q777*($G$7-$E$7)*($F$7-$E$7)),$G$7-SQRT((1-Q777)*($G$7-$E$7)*($G$7-$F$7))))</f>
        <v>0.935607949367915</v>
      </c>
      <c r="D777" s="51" t="n">
        <f aca="false">1+IF($G$8=$E$8,$F$8,IF(R777&lt;($F$8-$E$8)/($G$8-$E$8),$E$8+SQRT(R777*($G$8-$E$8)*($F$8-$E$8)),$G$8-SQRT((1-R777)*($G$8-$E$8)*($G$8-$F$8))))</f>
        <v>1.05006807760423</v>
      </c>
      <c r="E777" s="51" t="n">
        <f aca="false">1+IF($G$9=$E$9,$F$9,IF(S777&lt;($F$9-$E$9)/($G$9-$E$9),$E$9+SQRT(S777*($G$9-$E$9)*($F$9-$E$9)),$G$9-SQRT((1-S777)*($G$9-$E$9)*($G$9-$F$9))))</f>
        <v>0.976257906398952</v>
      </c>
      <c r="F777" s="51" t="n">
        <f aca="false">1+IF($G$10=$E$10,$F$10,IF(T777&lt;($F$10-$E$10)/($G$10-$E$10),$E$10+SQRT(T777*($G$10-$E$10)*($F$10-$E$10)),$G$10-SQRT((1-T777)*($G$10-$E$10)*($G$10-$F$10))))</f>
        <v>0.986047023578865</v>
      </c>
      <c r="G777" s="52" t="n">
        <f aca="false">IF($G$11=$E$11,$F$11,IF(U777&lt;($F$11-$E$11)/($G$11-$E$11),$E$11+SQRT(U777*($G$11-$E$11)*($F$11-$E$11)),$G$11-SQRT((1-U777)*($G$11-$E$11)*($G$11-$F$11))))</f>
        <v>0.113657880200743</v>
      </c>
      <c r="H777" s="53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-1972094047.15773</v>
      </c>
      <c r="I777" s="53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-3160712.93976021</v>
      </c>
      <c r="J777" s="53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280918279.986284</v>
      </c>
      <c r="K777" s="53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614299624.091271</v>
      </c>
      <c r="L777" s="53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742200041.211944</v>
      </c>
      <c r="M777" s="53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924840848.344562</v>
      </c>
      <c r="N777" s="53" t="n">
        <f aca="false">IF(COUNT('Business Case'!B11:G11)=0,"",H777+NPV(G777,I777:M777))</f>
        <v>-281257056.321365</v>
      </c>
      <c r="P777" s="54" t="n">
        <f aca="true">RAND()</f>
        <v>0.964753840535484</v>
      </c>
      <c r="Q777" s="54" t="n">
        <f aca="true">RAND()</f>
        <v>0.26270737045387</v>
      </c>
      <c r="R777" s="54" t="n">
        <f aca="true">RAND()</f>
        <v>0.913853848239775</v>
      </c>
      <c r="S777" s="54" t="n">
        <f aca="true">RAND()</f>
        <v>0.0919303531274827</v>
      </c>
      <c r="T777" s="54" t="n">
        <f aca="true">RAND()</f>
        <v>0.103951032711619</v>
      </c>
      <c r="U777" s="54" t="n">
        <f aca="true">RAND()</f>
        <v>0.932962527419783</v>
      </c>
    </row>
    <row r="778" customFormat="false" ht="15" hidden="false" customHeight="false" outlineLevel="0" collapsed="false">
      <c r="A778" s="50" t="n">
        <v>698</v>
      </c>
      <c r="B778" s="51" t="n">
        <f aca="false">1+IF($G$6=$E$6,$F$6,IF(P778&lt;($F$6-$E$6)/($G$6-$E$6),$E$6+SQRT(P778*($G$6-$E$6)*($F$6-$E$6)),$G$6-SQRT((1-P778)*($G$6-$E$6)*($G$6-$F$6))))</f>
        <v>0.97374358173367</v>
      </c>
      <c r="C778" s="51" t="n">
        <f aca="false">1+IF($G$7=$E$7,$F$7,IF(Q778&lt;($F$7-$E$7)/($G$7-$E$7),$E$7+SQRT(Q778*($G$7-$E$7)*($F$7-$E$7)),$G$7-SQRT((1-Q778)*($G$7-$E$7)*($G$7-$F$7))))</f>
        <v>0.883121416111012</v>
      </c>
      <c r="D778" s="51" t="n">
        <f aca="false">1+IF($G$8=$E$8,$F$8,IF(R778&lt;($F$8-$E$8)/($G$8-$E$8),$E$8+SQRT(R778*($G$8-$E$8)*($F$8-$E$8)),$G$8-SQRT((1-R778)*($G$8-$E$8)*($G$8-$F$8))))</f>
        <v>1.00379997290875</v>
      </c>
      <c r="E778" s="51" t="n">
        <f aca="false">1+IF($G$9=$E$9,$F$9,IF(S778&lt;($F$9-$E$9)/($G$9-$E$9),$E$9+SQRT(S778*($G$9-$E$9)*($F$9-$E$9)),$G$9-SQRT((1-S778)*($G$9-$E$9)*($G$9-$F$9))))</f>
        <v>1.04785810901173</v>
      </c>
      <c r="F778" s="51" t="n">
        <f aca="false">1+IF($G$10=$E$10,$F$10,IF(T778&lt;($F$10-$E$10)/($G$10-$E$10),$E$10+SQRT(T778*($G$10-$E$10)*($F$10-$E$10)),$G$10-SQRT((1-T778)*($G$10-$E$10)*($G$10-$F$10))))</f>
        <v>0.976056466418144</v>
      </c>
      <c r="G778" s="52" t="n">
        <f aca="false">IF($G$11=$E$11,$F$11,IF(U778&lt;($F$11-$E$11)/($G$11-$E$11),$E$11+SQRT(U778*($G$11-$E$11)*($F$11-$E$11)),$G$11-SQRT((1-U778)*($G$11-$E$11)*($G$11-$F$11))))</f>
        <v>0.0926217198100044</v>
      </c>
      <c r="H778" s="53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-1952112932.83629</v>
      </c>
      <c r="I778" s="53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-40647767.8390406</v>
      </c>
      <c r="J778" s="53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209894502.81861</v>
      </c>
      <c r="K778" s="53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509239596.797168</v>
      </c>
      <c r="L778" s="53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622472999.518658</v>
      </c>
      <c r="M778" s="53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785929218.281158</v>
      </c>
      <c r="N778" s="53" t="n">
        <f aca="false">IF(COUNT('Business Case'!B11:G11)=0,"",H778+NPV(G778,I778:M778))</f>
        <v>-481635709.903394</v>
      </c>
      <c r="P778" s="54" t="n">
        <f aca="true">RAND()</f>
        <v>0.300872143496209</v>
      </c>
      <c r="Q778" s="54" t="n">
        <f aca="true">RAND()</f>
        <v>0.0987024259471421</v>
      </c>
      <c r="R778" s="54" t="n">
        <f aca="true">RAND()</f>
        <v>0.441688064547424</v>
      </c>
      <c r="S778" s="54" t="n">
        <f aca="true">RAND()</f>
        <v>0.818748213611173</v>
      </c>
      <c r="T778" s="54" t="n">
        <f aca="true">RAND()</f>
        <v>0.0543151553759871</v>
      </c>
      <c r="U778" s="54" t="n">
        <f aca="true">RAND()</f>
        <v>0.0229113825405643</v>
      </c>
    </row>
    <row r="779" customFormat="false" ht="15" hidden="false" customHeight="false" outlineLevel="0" collapsed="false">
      <c r="A779" s="50" t="n">
        <v>699</v>
      </c>
      <c r="B779" s="51" t="n">
        <f aca="false">1+IF($G$6=$E$6,$F$6,IF(P779&lt;($F$6-$E$6)/($G$6-$E$6),$E$6+SQRT(P779*($G$6-$E$6)*($F$6-$E$6)),$G$6-SQRT((1-P779)*($G$6-$E$6)*($G$6-$F$6))))</f>
        <v>0.961380355100734</v>
      </c>
      <c r="C779" s="51" t="n">
        <f aca="false">1+IF($G$7=$E$7,$F$7,IF(Q779&lt;($F$7-$E$7)/($G$7-$E$7),$E$7+SQRT(Q779*($G$7-$E$7)*($F$7-$E$7)),$G$7-SQRT((1-Q779)*($G$7-$E$7)*($G$7-$F$7))))</f>
        <v>0.840054948892609</v>
      </c>
      <c r="D779" s="51" t="n">
        <f aca="false">1+IF($G$8=$E$8,$F$8,IF(R779&lt;($F$8-$E$8)/($G$8-$E$8),$E$8+SQRT(R779*($G$8-$E$8)*($F$8-$E$8)),$G$8-SQRT((1-R779)*($G$8-$E$8)*($G$8-$F$8))))</f>
        <v>1.04368410202373</v>
      </c>
      <c r="E779" s="51" t="n">
        <f aca="false">1+IF($G$9=$E$9,$F$9,IF(S779&lt;($F$9-$E$9)/($G$9-$E$9),$E$9+SQRT(S779*($G$9-$E$9)*($F$9-$E$9)),$G$9-SQRT((1-S779)*($G$9-$E$9)*($G$9-$F$9))))</f>
        <v>1.00595054074126</v>
      </c>
      <c r="F779" s="51" t="n">
        <f aca="false">1+IF($G$10=$E$10,$F$10,IF(T779&lt;($F$10-$E$10)/($G$10-$E$10),$E$10+SQRT(T779*($G$10-$E$10)*($F$10-$E$10)),$G$10-SQRT((1-T779)*($G$10-$E$10)*($G$10-$F$10))))</f>
        <v>1.02348556573418</v>
      </c>
      <c r="G779" s="52" t="n">
        <f aca="false">IF($G$11=$E$11,$F$11,IF(U779&lt;($F$11-$E$11)/($G$11-$E$11),$E$11+SQRT(U779*($G$11-$E$11)*($F$11-$E$11)),$G$11-SQRT((1-U779)*($G$11-$E$11)*($G$11-$F$11))))</f>
        <v>0.10087162147404</v>
      </c>
      <c r="H779" s="53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-2046971131.46837</v>
      </c>
      <c r="I779" s="53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-74595585.3513472</v>
      </c>
      <c r="J779" s="53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138070175.695787</v>
      </c>
      <c r="K779" s="53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401910215.02963</v>
      </c>
      <c r="L779" s="53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500709883.999778</v>
      </c>
      <c r="M779" s="53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654220834.74918</v>
      </c>
      <c r="N779" s="53" t="n">
        <f aca="false">IF(COUNT('Business Case'!B11:G11)=0,"",H779+NPV(G779,I779:M779))</f>
        <v>-954036365.757886</v>
      </c>
      <c r="P779" s="54" t="n">
        <f aca="true">RAND()</f>
        <v>0.178368102944045</v>
      </c>
      <c r="Q779" s="54" t="n">
        <f aca="true">RAND()</f>
        <v>0.0229199847255643</v>
      </c>
      <c r="R779" s="54" t="n">
        <f aca="true">RAND()</f>
        <v>0.873188034055502</v>
      </c>
      <c r="S779" s="54" t="n">
        <f aca="true">RAND()</f>
        <v>0.410313280875933</v>
      </c>
      <c r="T779" s="54" t="n">
        <f aca="true">RAND()</f>
        <v>0.376853089916384</v>
      </c>
      <c r="U779" s="54" t="n">
        <f aca="true">RAND()</f>
        <v>0.390175224945963</v>
      </c>
    </row>
    <row r="780" customFormat="false" ht="15" hidden="false" customHeight="false" outlineLevel="0" collapsed="false">
      <c r="A780" s="50" t="n">
        <v>700</v>
      </c>
      <c r="B780" s="51" t="n">
        <f aca="false">1+IF($G$6=$E$6,$F$6,IF(P780&lt;($F$6-$E$6)/($G$6-$E$6),$E$6+SQRT(P780*($G$6-$E$6)*($F$6-$E$6)),$G$6-SQRT((1-P780)*($G$6-$E$6)*($G$6-$F$6))))</f>
        <v>1.01590020042629</v>
      </c>
      <c r="C780" s="51" t="n">
        <f aca="false">1+IF($G$7=$E$7,$F$7,IF(Q780&lt;($F$7-$E$7)/($G$7-$E$7),$E$7+SQRT(Q780*($G$7-$E$7)*($F$7-$E$7)),$G$7-SQRT((1-Q780)*($G$7-$E$7)*($G$7-$F$7))))</f>
        <v>0.89038024281135</v>
      </c>
      <c r="D780" s="51" t="n">
        <f aca="false">1+IF($G$8=$E$8,$F$8,IF(R780&lt;($F$8-$E$8)/($G$8-$E$8),$E$8+SQRT(R780*($G$8-$E$8)*($F$8-$E$8)),$G$8-SQRT((1-R780)*($G$8-$E$8)*($G$8-$F$8))))</f>
        <v>0.99226522831111</v>
      </c>
      <c r="E780" s="51" t="n">
        <f aca="false">1+IF($G$9=$E$9,$F$9,IF(S780&lt;($F$9-$E$9)/($G$9-$E$9),$E$9+SQRT(S780*($G$9-$E$9)*($F$9-$E$9)),$G$9-SQRT((1-S780)*($G$9-$E$9)*($G$9-$F$9))))</f>
        <v>0.976017155943429</v>
      </c>
      <c r="F780" s="51" t="n">
        <f aca="false">1+IF($G$10=$E$10,$F$10,IF(T780&lt;($F$10-$E$10)/($G$10-$E$10),$E$10+SQRT(T780*($G$10-$E$10)*($F$10-$E$10)),$G$10-SQRT((1-T780)*($G$10-$E$10)*($G$10-$F$10))))</f>
        <v>1.00484228673926</v>
      </c>
      <c r="G780" s="52" t="n">
        <f aca="false">IF($G$11=$E$11,$F$11,IF(U780&lt;($F$11-$E$11)/($G$11-$E$11),$E$11+SQRT(U780*($G$11-$E$11)*($F$11-$E$11)),$G$11-SQRT((1-U780)*($G$11-$E$11)*($G$11-$F$11))))</f>
        <v>0.103925104439854</v>
      </c>
      <c r="H780" s="53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-2009684573.47852</v>
      </c>
      <c r="I780" s="53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2438303.48114467</v>
      </c>
      <c r="J780" s="53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291041697.507269</v>
      </c>
      <c r="K780" s="53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629887205.870357</v>
      </c>
      <c r="L780" s="53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757349152.07633</v>
      </c>
      <c r="M780" s="53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929283633.827955</v>
      </c>
      <c r="N780" s="53" t="n">
        <f aca="false">IF(COUNT('Business Case'!B11:G11)=0,"",H780+NPV(G780,I780:M780))</f>
        <v>-223650880.27531</v>
      </c>
      <c r="P780" s="54" t="n">
        <f aca="true">RAND()</f>
        <v>0.878999929272301</v>
      </c>
      <c r="Q780" s="54" t="n">
        <f aca="true">RAND()</f>
        <v>0.116694118437694</v>
      </c>
      <c r="R780" s="54" t="n">
        <f aca="true">RAND()</f>
        <v>0.274823003721575</v>
      </c>
      <c r="S780" s="54" t="n">
        <f aca="true">RAND()</f>
        <v>0.0902523204512953</v>
      </c>
      <c r="T780" s="54" t="n">
        <f aca="true">RAND()</f>
        <v>0.238269339096788</v>
      </c>
      <c r="U780" s="54" t="n">
        <f aca="true">RAND()</f>
        <v>0.569329554550639</v>
      </c>
    </row>
    <row r="781" customFormat="false" ht="15" hidden="false" customHeight="false" outlineLevel="0" collapsed="false">
      <c r="A781" s="50" t="n">
        <v>701</v>
      </c>
      <c r="B781" s="51" t="n">
        <f aca="false">1+IF($G$6=$E$6,$F$6,IF(P781&lt;($F$6-$E$6)/($G$6-$E$6),$E$6+SQRT(P781*($G$6-$E$6)*($F$6-$E$6)),$G$6-SQRT((1-P781)*($G$6-$E$6)*($G$6-$F$6))))</f>
        <v>0.949398929798533</v>
      </c>
      <c r="C781" s="51" t="n">
        <f aca="false">1+IF($G$7=$E$7,$F$7,IF(Q781&lt;($F$7-$E$7)/($G$7-$E$7),$E$7+SQRT(Q781*($G$7-$E$7)*($F$7-$E$7)),$G$7-SQRT((1-Q781)*($G$7-$E$7)*($G$7-$F$7))))</f>
        <v>0.99308786055051</v>
      </c>
      <c r="D781" s="51" t="n">
        <f aca="false">1+IF($G$8=$E$8,$F$8,IF(R781&lt;($F$8-$E$8)/($G$8-$E$8),$E$8+SQRT(R781*($G$8-$E$8)*($F$8-$E$8)),$G$8-SQRT((1-R781)*($G$8-$E$8)*($G$8-$F$8))))</f>
        <v>0.986381873066499</v>
      </c>
      <c r="E781" s="51" t="n">
        <f aca="false">1+IF($G$9=$E$9,$F$9,IF(S781&lt;($F$9-$E$9)/($G$9-$E$9),$E$9+SQRT(S781*($G$9-$E$9)*($F$9-$E$9)),$G$9-SQRT((1-S781)*($G$9-$E$9)*($G$9-$F$9))))</f>
        <v>1.00447696050692</v>
      </c>
      <c r="F781" s="51" t="n">
        <f aca="false">1+IF($G$10=$E$10,$F$10,IF(T781&lt;($F$10-$E$10)/($G$10-$E$10),$E$10+SQRT(T781*($G$10-$E$10)*($F$10-$E$10)),$G$10-SQRT((1-T781)*($G$10-$E$10)*($G$10-$F$10))))</f>
        <v>1.00852165769183</v>
      </c>
      <c r="G781" s="52" t="n">
        <f aca="false">IF($G$11=$E$11,$F$11,IF(U781&lt;($F$11-$E$11)/($G$11-$E$11),$E$11+SQRT(U781*($G$11-$E$11)*($F$11-$E$11)),$G$11-SQRT((1-U781)*($G$11-$E$11)*($G$11-$F$11))))</f>
        <v>0.104672988852798</v>
      </c>
      <c r="H781" s="53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-2017043315.38366</v>
      </c>
      <c r="I781" s="53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-21772749.3509316</v>
      </c>
      <c r="J781" s="53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249019937.707218</v>
      </c>
      <c r="K781" s="53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570238707.649959</v>
      </c>
      <c r="L781" s="53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693087367.906551</v>
      </c>
      <c r="M781" s="53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872301739.711199</v>
      </c>
      <c r="N781" s="53" t="n">
        <f aca="false">IF(COUNT('Business Case'!B11:G11)=0,"",H781+NPV(G781,I781:M781))</f>
        <v>-413974340.547368</v>
      </c>
      <c r="P781" s="54" t="n">
        <f aca="true">RAND()</f>
        <v>0.0900309451353222</v>
      </c>
      <c r="Q781" s="54" t="n">
        <f aca="true">RAND()</f>
        <v>0.532613169885332</v>
      </c>
      <c r="R781" s="54" t="n">
        <f aca="true">RAND()</f>
        <v>0.203637028896432</v>
      </c>
      <c r="S781" s="54" t="n">
        <f aca="true">RAND()</f>
        <v>0.391689928400281</v>
      </c>
      <c r="T781" s="54" t="n">
        <f aca="true">RAND()</f>
        <v>0.266720888538323</v>
      </c>
      <c r="U781" s="54" t="n">
        <f aca="true">RAND()</f>
        <v>0.608471215489255</v>
      </c>
    </row>
    <row r="782" customFormat="false" ht="15" hidden="false" customHeight="false" outlineLevel="0" collapsed="false">
      <c r="A782" s="50" t="n">
        <v>702</v>
      </c>
      <c r="B782" s="51" t="n">
        <f aca="false">1+IF($G$6=$E$6,$F$6,IF(P782&lt;($F$6-$E$6)/($G$6-$E$6),$E$6+SQRT(P782*($G$6-$E$6)*($F$6-$E$6)),$G$6-SQRT((1-P782)*($G$6-$E$6)*($G$6-$F$6))))</f>
        <v>1.01724184734637</v>
      </c>
      <c r="C782" s="51" t="n">
        <f aca="false">1+IF($G$7=$E$7,$F$7,IF(Q782&lt;($F$7-$E$7)/($G$7-$E$7),$E$7+SQRT(Q782*($G$7-$E$7)*($F$7-$E$7)),$G$7-SQRT((1-Q782)*($G$7-$E$7)*($G$7-$F$7))))</f>
        <v>0.947955855427854</v>
      </c>
      <c r="D782" s="51" t="n">
        <f aca="false">1+IF($G$8=$E$8,$F$8,IF(R782&lt;($F$8-$E$8)/($G$8-$E$8),$E$8+SQRT(R782*($G$8-$E$8)*($F$8-$E$8)),$G$8-SQRT((1-R782)*($G$8-$E$8)*($G$8-$F$8))))</f>
        <v>1.00939827573567</v>
      </c>
      <c r="E782" s="51" t="n">
        <f aca="false">1+IF($G$9=$E$9,$F$9,IF(S782&lt;($F$9-$E$9)/($G$9-$E$9),$E$9+SQRT(S782*($G$9-$E$9)*($F$9-$E$9)),$G$9-SQRT((1-S782)*($G$9-$E$9)*($G$9-$F$9))))</f>
        <v>1.05315957702459</v>
      </c>
      <c r="F782" s="51" t="n">
        <f aca="false">1+IF($G$10=$E$10,$F$10,IF(T782&lt;($F$10-$E$10)/($G$10-$E$10),$E$10+SQRT(T782*($G$10-$E$10)*($F$10-$E$10)),$G$10-SQRT((1-T782)*($G$10-$E$10)*($G$10-$F$10))))</f>
        <v>1.13526421211817</v>
      </c>
      <c r="G782" s="52" t="n">
        <f aca="false">IF($G$11=$E$11,$F$11,IF(U782&lt;($F$11-$E$11)/($G$11-$E$11),$E$11+SQRT(U782*($G$11-$E$11)*($F$11-$E$11)),$G$11-SQRT((1-U782)*($G$11-$E$11)*($G$11-$F$11))))</f>
        <v>0.0960519673685527</v>
      </c>
      <c r="H782" s="53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-2270528424.23634</v>
      </c>
      <c r="I782" s="53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-13281948.8234303</v>
      </c>
      <c r="J782" s="53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286711146.369429</v>
      </c>
      <c r="K782" s="53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643467452.168198</v>
      </c>
      <c r="L782" s="53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776791371.200201</v>
      </c>
      <c r="M782" s="53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960085584.689312</v>
      </c>
      <c r="N782" s="53" t="n">
        <f aca="false">IF(COUNT('Business Case'!B11:G11)=0,"",H782+NPV(G782,I782:M782))</f>
        <v>-410098724.616738</v>
      </c>
      <c r="P782" s="54" t="n">
        <f aca="true">RAND()</f>
        <v>0.892097184957065</v>
      </c>
      <c r="Q782" s="54" t="n">
        <f aca="true">RAND()</f>
        <v>0.312727645076972</v>
      </c>
      <c r="R782" s="54" t="n">
        <f aca="true">RAND()</f>
        <v>0.520711204894546</v>
      </c>
      <c r="S782" s="54" t="n">
        <f aca="true">RAND()</f>
        <v>0.853731651699003</v>
      </c>
      <c r="T782" s="54" t="n">
        <f aca="true">RAND()</f>
        <v>0.916185555346374</v>
      </c>
      <c r="U782" s="54" t="n">
        <f aca="true">RAND()</f>
        <v>0.122087696766754</v>
      </c>
    </row>
    <row r="783" customFormat="false" ht="15" hidden="false" customHeight="false" outlineLevel="0" collapsed="false">
      <c r="A783" s="50" t="n">
        <v>703</v>
      </c>
      <c r="B783" s="51" t="n">
        <f aca="false">1+IF($G$6=$E$6,$F$6,IF(P783&lt;($F$6-$E$6)/($G$6-$E$6),$E$6+SQRT(P783*($G$6-$E$6)*($F$6-$E$6)),$G$6-SQRT((1-P783)*($G$6-$E$6)*($G$6-$F$6))))</f>
        <v>0.99686785370846</v>
      </c>
      <c r="C783" s="51" t="n">
        <f aca="false">1+IF($G$7=$E$7,$F$7,IF(Q783&lt;($F$7-$E$7)/($G$7-$E$7),$E$7+SQRT(Q783*($G$7-$E$7)*($F$7-$E$7)),$G$7-SQRT((1-Q783)*($G$7-$E$7)*($G$7-$F$7))))</f>
        <v>0.862910770051687</v>
      </c>
      <c r="D783" s="51" t="n">
        <f aca="false">1+IF($G$8=$E$8,$F$8,IF(R783&lt;($F$8-$E$8)/($G$8-$E$8),$E$8+SQRT(R783*($G$8-$E$8)*($F$8-$E$8)),$G$8-SQRT((1-R783)*($G$8-$E$8)*($G$8-$F$8))))</f>
        <v>0.974674532528469</v>
      </c>
      <c r="E783" s="51" t="n">
        <f aca="false">1+IF($G$9=$E$9,$F$9,IF(S783&lt;($F$9-$E$9)/($G$9-$E$9),$E$9+SQRT(S783*($G$9-$E$9)*($F$9-$E$9)),$G$9-SQRT((1-S783)*($G$9-$E$9)*($G$9-$F$9))))</f>
        <v>0.951659690417845</v>
      </c>
      <c r="F783" s="51" t="n">
        <f aca="false">1+IF($G$10=$E$10,$F$10,IF(T783&lt;($F$10-$E$10)/($G$10-$E$10),$E$10+SQRT(T783*($G$10-$E$10)*($F$10-$E$10)),$G$10-SQRT((1-T783)*($G$10-$E$10)*($G$10-$F$10))))</f>
        <v>0.993258484831028</v>
      </c>
      <c r="G783" s="52" t="n">
        <f aca="false">IF($G$11=$E$11,$F$11,IF(U783&lt;($F$11-$E$11)/($G$11-$E$11),$E$11+SQRT(U783*($G$11-$E$11)*($F$11-$E$11)),$G$11-SQRT((1-U783)*($G$11-$E$11)*($G$11-$F$11))))</f>
        <v>0.110211066476926</v>
      </c>
      <c r="H783" s="53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-1986516969.66206</v>
      </c>
      <c r="I783" s="53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-5226723.56831731</v>
      </c>
      <c r="J783" s="53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268791592.421454</v>
      </c>
      <c r="K783" s="53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592472832.652777</v>
      </c>
      <c r="L783" s="53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713541060.047746</v>
      </c>
      <c r="M783" s="53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877049398.072163</v>
      </c>
      <c r="N783" s="53" t="n">
        <f aca="false">IF(COUNT('Business Case'!B11:G11)=0,"",H783+NPV(G783,I783:M783))</f>
        <v>-350520670.510992</v>
      </c>
      <c r="P783" s="54" t="n">
        <f aca="true">RAND()</f>
        <v>0.6154861389318</v>
      </c>
      <c r="Q783" s="54" t="n">
        <f aca="true">RAND()</f>
        <v>0.0565394998356605</v>
      </c>
      <c r="R783" s="54" t="n">
        <f aca="true">RAND()</f>
        <v>0.0936665469997663</v>
      </c>
      <c r="S783" s="54" t="n">
        <f aca="true">RAND()</f>
        <v>0.000367276304411419</v>
      </c>
      <c r="T783" s="54" t="n">
        <f aca="true">RAND()</f>
        <v>0.1497037207901</v>
      </c>
      <c r="U783" s="54" t="n">
        <f aca="true">RAND()</f>
        <v>0.840294634134745</v>
      </c>
    </row>
    <row r="784" customFormat="false" ht="15" hidden="false" customHeight="false" outlineLevel="0" collapsed="false">
      <c r="A784" s="50" t="n">
        <v>704</v>
      </c>
      <c r="B784" s="51" t="n">
        <f aca="false">1+IF($G$6=$E$6,$F$6,IF(P784&lt;($F$6-$E$6)/($G$6-$E$6),$E$6+SQRT(P784*($G$6-$E$6)*($F$6-$E$6)),$G$6-SQRT((1-P784)*($G$6-$E$6)*($G$6-$F$6))))</f>
        <v>0.953745858072852</v>
      </c>
      <c r="C784" s="51" t="n">
        <f aca="false">1+IF($G$7=$E$7,$F$7,IF(Q784&lt;($F$7-$E$7)/($G$7-$E$7),$E$7+SQRT(Q784*($G$7-$E$7)*($F$7-$E$7)),$G$7-SQRT((1-Q784)*($G$7-$E$7)*($G$7-$F$7))))</f>
        <v>0.840031208140319</v>
      </c>
      <c r="D784" s="51" t="n">
        <f aca="false">1+IF($G$8=$E$8,$F$8,IF(R784&lt;($F$8-$E$8)/($G$8-$E$8),$E$8+SQRT(R784*($G$8-$E$8)*($F$8-$E$8)),$G$8-SQRT((1-R784)*($G$8-$E$8)*($G$8-$F$8))))</f>
        <v>1.01014123545539</v>
      </c>
      <c r="E784" s="51" t="n">
        <f aca="false">1+IF($G$9=$E$9,$F$9,IF(S784&lt;($F$9-$E$9)/($G$9-$E$9),$E$9+SQRT(S784*($G$9-$E$9)*($F$9-$E$9)),$G$9-SQRT((1-S784)*($G$9-$E$9)*($G$9-$F$9))))</f>
        <v>1.02600054486975</v>
      </c>
      <c r="F784" s="51" t="n">
        <f aca="false">1+IF($G$10=$E$10,$F$10,IF(T784&lt;($F$10-$E$10)/($G$10-$E$10),$E$10+SQRT(T784*($G$10-$E$10)*($F$10-$E$10)),$G$10-SQRT((1-T784)*($G$10-$E$10)*($G$10-$F$10))))</f>
        <v>1.04350066530905</v>
      </c>
      <c r="G784" s="52" t="n">
        <f aca="false">IF($G$11=$E$11,$F$11,IF(U784&lt;($F$11-$E$11)/($G$11-$E$11),$E$11+SQRT(U784*($G$11-$E$11)*($F$11-$E$11)),$G$11-SQRT((1-U784)*($G$11-$E$11)*($G$11-$F$11))))</f>
        <v>0.0987903794187028</v>
      </c>
      <c r="H784" s="53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-2087001330.6181</v>
      </c>
      <c r="I784" s="53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-69949059.3412002</v>
      </c>
      <c r="J784" s="53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151882203.964937</v>
      </c>
      <c r="K784" s="53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425888500.536526</v>
      </c>
      <c r="L784" s="53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527520907.395874</v>
      </c>
      <c r="M784" s="53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679808495.727702</v>
      </c>
      <c r="N784" s="53" t="n">
        <f aca="false">IF(COUNT('Business Case'!B11:G11)=0,"",H784+NPV(G784,I784:M784))</f>
        <v>-917498921.806391</v>
      </c>
      <c r="P784" s="54" t="n">
        <f aca="true">RAND()</f>
        <v>0.118623222611778</v>
      </c>
      <c r="Q784" s="54" t="n">
        <f aca="true">RAND()</f>
        <v>0.0228928232167648</v>
      </c>
      <c r="R784" s="54" t="n">
        <f aca="true">RAND()</f>
        <v>0.530745482336602</v>
      </c>
      <c r="S784" s="54" t="n">
        <f aca="true">RAND()</f>
        <v>0.634938709361771</v>
      </c>
      <c r="T784" s="54" t="n">
        <f aca="true">RAND()</f>
        <v>0.510159164825806</v>
      </c>
      <c r="U784" s="54" t="n">
        <f aca="true">RAND()</f>
        <v>0.257569234415846</v>
      </c>
    </row>
    <row r="785" customFormat="false" ht="15" hidden="false" customHeight="false" outlineLevel="0" collapsed="false">
      <c r="A785" s="50" t="n">
        <v>705</v>
      </c>
      <c r="B785" s="51" t="n">
        <f aca="false">1+IF($G$6=$E$6,$F$6,IF(P785&lt;($F$6-$E$6)/($G$6-$E$6),$E$6+SQRT(P785*($G$6-$E$6)*($F$6-$E$6)),$G$6-SQRT((1-P785)*($G$6-$E$6)*($G$6-$F$6))))</f>
        <v>0.958136478630244</v>
      </c>
      <c r="C785" s="51" t="n">
        <f aca="false">1+IF($G$7=$E$7,$F$7,IF(Q785&lt;($F$7-$E$7)/($G$7-$E$7),$E$7+SQRT(Q785*($G$7-$E$7)*($F$7-$E$7)),$G$7-SQRT((1-Q785)*($G$7-$E$7)*($G$7-$F$7))))</f>
        <v>0.823323004755386</v>
      </c>
      <c r="D785" s="51" t="n">
        <f aca="false">1+IF($G$8=$E$8,$F$8,IF(R785&lt;($F$8-$E$8)/($G$8-$E$8),$E$8+SQRT(R785*($G$8-$E$8)*($F$8-$E$8)),$G$8-SQRT((1-R785)*($G$8-$E$8)*($G$8-$F$8))))</f>
        <v>1.023505210695</v>
      </c>
      <c r="E785" s="51" t="n">
        <f aca="false">1+IF($G$9=$E$9,$F$9,IF(S785&lt;($F$9-$E$9)/($G$9-$E$9),$E$9+SQRT(S785*($G$9-$E$9)*($F$9-$E$9)),$G$9-SQRT((1-S785)*($G$9-$E$9)*($G$9-$F$9))))</f>
        <v>0.998406845194343</v>
      </c>
      <c r="F785" s="51" t="n">
        <f aca="false">1+IF($G$10=$E$10,$F$10,IF(T785&lt;($F$10-$E$10)/($G$10-$E$10),$E$10+SQRT(T785*($G$10-$E$10)*($F$10-$E$10)),$G$10-SQRT((1-T785)*($G$10-$E$10)*($G$10-$F$10))))</f>
        <v>1.029879915079</v>
      </c>
      <c r="G785" s="52" t="n">
        <f aca="false">IF($G$11=$E$11,$F$11,IF(U785&lt;($F$11-$E$11)/($G$11-$E$11),$E$11+SQRT(U785*($G$11-$E$11)*($F$11-$E$11)),$G$11-SQRT((1-U785)*($G$11-$E$11)*($G$11-$F$11))))</f>
        <v>0.0991580914791717</v>
      </c>
      <c r="H785" s="53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-2059759830.15799</v>
      </c>
      <c r="I785" s="53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-71108411.5774959</v>
      </c>
      <c r="J785" s="53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143638906.647498</v>
      </c>
      <c r="K785" s="53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409880220.626443</v>
      </c>
      <c r="L785" s="53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508725516.640077</v>
      </c>
      <c r="M785" s="53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658671227.969245</v>
      </c>
      <c r="N785" s="53" t="n">
        <f aca="false">IF(COUNT('Business Case'!B11:G11)=0,"",H785+NPV(G785,I785:M785))</f>
        <v>-937820440.963679</v>
      </c>
      <c r="P785" s="54" t="n">
        <f aca="true">RAND()</f>
        <v>0.151499062741152</v>
      </c>
      <c r="Q785" s="54" t="n">
        <f aca="true">RAND()</f>
        <v>0.00777089358313971</v>
      </c>
      <c r="R785" s="54" t="n">
        <f aca="true">RAND()</f>
        <v>0.693109498209983</v>
      </c>
      <c r="S785" s="54" t="n">
        <f aca="true">RAND()</f>
        <v>0.312429688222543</v>
      </c>
      <c r="T785" s="54" t="n">
        <f aca="true">RAND()</f>
        <v>0.421183134129411</v>
      </c>
      <c r="U785" s="54" t="n">
        <f aca="true">RAND()</f>
        <v>0.279568798469588</v>
      </c>
    </row>
    <row r="786" customFormat="false" ht="15" hidden="false" customHeight="false" outlineLevel="0" collapsed="false">
      <c r="A786" s="50" t="n">
        <v>706</v>
      </c>
      <c r="B786" s="51" t="n">
        <f aca="false">1+IF($G$6=$E$6,$F$6,IF(P786&lt;($F$6-$E$6)/($G$6-$E$6),$E$6+SQRT(P786*($G$6-$E$6)*($F$6-$E$6)),$G$6-SQRT((1-P786)*($G$6-$E$6)*($G$6-$F$6))))</f>
        <v>0.929684582742255</v>
      </c>
      <c r="C786" s="51" t="n">
        <f aca="false">1+IF($G$7=$E$7,$F$7,IF(Q786&lt;($F$7-$E$7)/($G$7-$E$7),$E$7+SQRT(Q786*($G$7-$E$7)*($F$7-$E$7)),$G$7-SQRT((1-Q786)*($G$7-$E$7)*($G$7-$F$7))))</f>
        <v>0.963520966674338</v>
      </c>
      <c r="D786" s="51" t="n">
        <f aca="false">1+IF($G$8=$E$8,$F$8,IF(R786&lt;($F$8-$E$8)/($G$8-$E$8),$E$8+SQRT(R786*($G$8-$E$8)*($F$8-$E$8)),$G$8-SQRT((1-R786)*($G$8-$E$8)*($G$8-$F$8))))</f>
        <v>0.985505164521559</v>
      </c>
      <c r="E786" s="51" t="n">
        <f aca="false">1+IF($G$9=$E$9,$F$9,IF(S786&lt;($F$9-$E$9)/($G$9-$E$9),$E$9+SQRT(S786*($G$9-$E$9)*($F$9-$E$9)),$G$9-SQRT((1-S786)*($G$9-$E$9)*($G$9-$F$9))))</f>
        <v>1.00376720642538</v>
      </c>
      <c r="F786" s="51" t="n">
        <f aca="false">1+IF($G$10=$E$10,$F$10,IF(T786&lt;($F$10-$E$10)/($G$10-$E$10),$E$10+SQRT(T786*($G$10-$E$10)*($F$10-$E$10)),$G$10-SQRT((1-T786)*($G$10-$E$10)*($G$10-$F$10))))</f>
        <v>1.0455617304702</v>
      </c>
      <c r="G786" s="52" t="n">
        <f aca="false">IF($G$11=$E$11,$F$11,IF(U786&lt;($F$11-$E$11)/($G$11-$E$11),$E$11+SQRT(U786*($G$11-$E$11)*($F$11-$E$11)),$G$11-SQRT((1-U786)*($G$11-$E$11)*($G$11-$F$11))))</f>
        <v>0.11123785208296</v>
      </c>
      <c r="H786" s="53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-2091123460.9404</v>
      </c>
      <c r="I786" s="53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-46124148.7965349</v>
      </c>
      <c r="J786" s="53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201480319.482615</v>
      </c>
      <c r="K786" s="53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501362874.285275</v>
      </c>
      <c r="L786" s="53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614855528.561642</v>
      </c>
      <c r="M786" s="53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785123601.903221</v>
      </c>
      <c r="N786" s="53" t="n">
        <f aca="false">IF(COUNT('Business Case'!B11:G11)=0,"",H786+NPV(G786,I786:M786))</f>
        <v>-737534116.411535</v>
      </c>
      <c r="P786" s="54" t="n">
        <f aca="true">RAND()</f>
        <v>0.00976991071787382</v>
      </c>
      <c r="Q786" s="54" t="n">
        <f aca="true">RAND()</f>
        <v>0.381987236315857</v>
      </c>
      <c r="R786" s="54" t="n">
        <f aca="true">RAND()</f>
        <v>0.193941031954307</v>
      </c>
      <c r="S786" s="54" t="n">
        <f aca="true">RAND()</f>
        <v>0.382616629388285</v>
      </c>
      <c r="T786" s="54" t="n">
        <f aca="true">RAND()</f>
        <v>0.522976418092831</v>
      </c>
      <c r="U786" s="54" t="n">
        <f aca="true">RAND()</f>
        <v>0.872041273133181</v>
      </c>
    </row>
    <row r="787" customFormat="false" ht="15" hidden="false" customHeight="false" outlineLevel="0" collapsed="false">
      <c r="A787" s="50" t="n">
        <v>707</v>
      </c>
      <c r="B787" s="51" t="n">
        <f aca="false">1+IF($G$6=$E$6,$F$6,IF(P787&lt;($F$6-$E$6)/($G$6-$E$6),$E$6+SQRT(P787*($G$6-$E$6)*($F$6-$E$6)),$G$6-SQRT((1-P787)*($G$6-$E$6)*($G$6-$F$6))))</f>
        <v>0.984677235415018</v>
      </c>
      <c r="C787" s="51" t="n">
        <f aca="false">1+IF($G$7=$E$7,$F$7,IF(Q787&lt;($F$7-$E$7)/($G$7-$E$7),$E$7+SQRT(Q787*($G$7-$E$7)*($F$7-$E$7)),$G$7-SQRT((1-Q787)*($G$7-$E$7)*($G$7-$F$7))))</f>
        <v>1.12244414685928</v>
      </c>
      <c r="D787" s="51" t="n">
        <f aca="false">1+IF($G$8=$E$8,$F$8,IF(R787&lt;($F$8-$E$8)/($G$8-$E$8),$E$8+SQRT(R787*($G$8-$E$8)*($F$8-$E$8)),$G$8-SQRT((1-R787)*($G$8-$E$8)*($G$8-$F$8))))</f>
        <v>1.0045538656709</v>
      </c>
      <c r="E787" s="51" t="n">
        <f aca="false">1+IF($G$9=$E$9,$F$9,IF(S787&lt;($F$9-$E$9)/($G$9-$E$9),$E$9+SQRT(S787*($G$9-$E$9)*($F$9-$E$9)),$G$9-SQRT((1-S787)*($G$9-$E$9)*($G$9-$F$9))))</f>
        <v>0.98900135180175</v>
      </c>
      <c r="F787" s="51" t="n">
        <f aca="false">1+IF($G$10=$E$10,$F$10,IF(T787&lt;($F$10-$E$10)/($G$10-$E$10),$E$10+SQRT(T787*($G$10-$E$10)*($F$10-$E$10)),$G$10-SQRT((1-T787)*($G$10-$E$10)*($G$10-$F$10))))</f>
        <v>1.09720103926336</v>
      </c>
      <c r="G787" s="52" t="n">
        <f aca="false">IF($G$11=$E$11,$F$11,IF(U787&lt;($F$11-$E$11)/($G$11-$E$11),$E$11+SQRT(U787*($G$11-$E$11)*($F$11-$E$11)),$G$11-SQRT((1-U787)*($G$11-$E$11)*($G$11-$F$11))))</f>
        <v>0.10350977997336</v>
      </c>
      <c r="H787" s="53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-2194402078.52671</v>
      </c>
      <c r="I787" s="53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20405122.5062577</v>
      </c>
      <c r="J787" s="53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348462252.303882</v>
      </c>
      <c r="K787" s="53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731379434.064675</v>
      </c>
      <c r="L787" s="53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878929084.756431</v>
      </c>
      <c r="M787" s="53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1089014092.26545</v>
      </c>
      <c r="N787" s="53" t="n">
        <f aca="false">IF(COUNT('Business Case'!B11:G11)=0,"",H787+NPV(G787,I787:M787))</f>
        <v>-87258660.8826928</v>
      </c>
      <c r="P787" s="54" t="n">
        <f aca="true">RAND()</f>
        <v>0.43574424801351</v>
      </c>
      <c r="Q787" s="54" t="n">
        <f aca="true">RAND()</f>
        <v>0.985536665860707</v>
      </c>
      <c r="R787" s="54" t="n">
        <f aca="true">RAND()</f>
        <v>0.452680847576548</v>
      </c>
      <c r="S787" s="54" t="n">
        <f aca="true">RAND()</f>
        <v>0.202814058981845</v>
      </c>
      <c r="T787" s="54" t="n">
        <f aca="true">RAND()</f>
        <v>0.788647473429316</v>
      </c>
      <c r="U787" s="54" t="n">
        <f aca="true">RAND()</f>
        <v>0.546787739121641</v>
      </c>
    </row>
    <row r="788" customFormat="false" ht="15" hidden="false" customHeight="false" outlineLevel="0" collapsed="false">
      <c r="A788" s="50" t="n">
        <v>708</v>
      </c>
      <c r="B788" s="51" t="n">
        <f aca="false">1+IF($G$6=$E$6,$F$6,IF(P788&lt;($F$6-$E$6)/($G$6-$E$6),$E$6+SQRT(P788*($G$6-$E$6)*($F$6-$E$6)),$G$6-SQRT((1-P788)*($G$6-$E$6)*($G$6-$F$6))))</f>
        <v>1.00359026804414</v>
      </c>
      <c r="C788" s="51" t="n">
        <f aca="false">1+IF($G$7=$E$7,$F$7,IF(Q788&lt;($F$7-$E$7)/($G$7-$E$7),$E$7+SQRT(Q788*($G$7-$E$7)*($F$7-$E$7)),$G$7-SQRT((1-Q788)*($G$7-$E$7)*($G$7-$F$7))))</f>
        <v>0.973604610503478</v>
      </c>
      <c r="D788" s="51" t="n">
        <f aca="false">1+IF($G$8=$E$8,$F$8,IF(R788&lt;($F$8-$E$8)/($G$8-$E$8),$E$8+SQRT(R788*($G$8-$E$8)*($F$8-$E$8)),$G$8-SQRT((1-R788)*($G$8-$E$8)*($G$8-$F$8))))</f>
        <v>0.995556944789009</v>
      </c>
      <c r="E788" s="51" t="n">
        <f aca="false">1+IF($G$9=$E$9,$F$9,IF(S788&lt;($F$9-$E$9)/($G$9-$E$9),$E$9+SQRT(S788*($G$9-$E$9)*($F$9-$E$9)),$G$9-SQRT((1-S788)*($G$9-$E$9)*($G$9-$F$9))))</f>
        <v>1.05101512165486</v>
      </c>
      <c r="F788" s="51" t="n">
        <f aca="false">1+IF($G$10=$E$10,$F$10,IF(T788&lt;($F$10-$E$10)/($G$10-$E$10),$E$10+SQRT(T788*($G$10-$E$10)*($F$10-$E$10)),$G$10-SQRT((1-T788)*($G$10-$E$10)*($G$10-$F$10))))</f>
        <v>0.999860308983626</v>
      </c>
      <c r="G788" s="52" t="n">
        <f aca="false">IF($G$11=$E$11,$F$11,IF(U788&lt;($F$11-$E$11)/($G$11-$E$11),$E$11+SQRT(U788*($G$11-$E$11)*($F$11-$E$11)),$G$11-SQRT((1-U788)*($G$11-$E$11)*($G$11-$F$11))))</f>
        <v>0.108570805221111</v>
      </c>
      <c r="H788" s="53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-1999720617.96725</v>
      </c>
      <c r="I788" s="53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4028872.54713051</v>
      </c>
      <c r="J788" s="53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308150996.099279</v>
      </c>
      <c r="K788" s="53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662266135.100609</v>
      </c>
      <c r="L788" s="53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797408756.156214</v>
      </c>
      <c r="M788" s="53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983135945.449774</v>
      </c>
      <c r="N788" s="53" t="n">
        <f aca="false">IF(COUNT('Business Case'!B11:G11)=0,"",H788+NPV(G788,I788:M788))</f>
        <v>-144014298.382261</v>
      </c>
      <c r="P788" s="54" t="n">
        <f aca="true">RAND()</f>
        <v>0.72381904560469</v>
      </c>
      <c r="Q788" s="54" t="n">
        <f aca="true">RAND()</f>
        <v>0.430550868400918</v>
      </c>
      <c r="R788" s="54" t="n">
        <f aca="true">RAND()</f>
        <v>0.319297725924435</v>
      </c>
      <c r="S788" s="54" t="n">
        <f aca="true">RAND()</f>
        <v>0.840032112900778</v>
      </c>
      <c r="T788" s="54" t="n">
        <f aca="true">RAND()</f>
        <v>0.19888403295541</v>
      </c>
      <c r="U788" s="54" t="n">
        <f aca="true">RAND()</f>
        <v>0.782289177843695</v>
      </c>
    </row>
    <row r="789" customFormat="false" ht="15" hidden="false" customHeight="false" outlineLevel="0" collapsed="false">
      <c r="A789" s="50" t="n">
        <v>709</v>
      </c>
      <c r="B789" s="51" t="n">
        <f aca="false">1+IF($G$6=$E$6,$F$6,IF(P789&lt;($F$6-$E$6)/($G$6-$E$6),$E$6+SQRT(P789*($G$6-$E$6)*($F$6-$E$6)),$G$6-SQRT((1-P789)*($G$6-$E$6)*($G$6-$F$6))))</f>
        <v>0.973858085899407</v>
      </c>
      <c r="C789" s="51" t="n">
        <f aca="false">1+IF($G$7=$E$7,$F$7,IF(Q789&lt;($F$7-$E$7)/($G$7-$E$7),$E$7+SQRT(Q789*($G$7-$E$7)*($F$7-$E$7)),$G$7-SQRT((1-Q789)*($G$7-$E$7)*($G$7-$F$7))))</f>
        <v>0.981645790398735</v>
      </c>
      <c r="D789" s="51" t="n">
        <f aca="false">1+IF($G$8=$E$8,$F$8,IF(R789&lt;($F$8-$E$8)/($G$8-$E$8),$E$8+SQRT(R789*($G$8-$E$8)*($F$8-$E$8)),$G$8-SQRT((1-R789)*($G$8-$E$8)*($G$8-$F$8))))</f>
        <v>0.992488656675617</v>
      </c>
      <c r="E789" s="51" t="n">
        <f aca="false">1+IF($G$9=$E$9,$F$9,IF(S789&lt;($F$9-$E$9)/($G$9-$E$9),$E$9+SQRT(S789*($G$9-$E$9)*($F$9-$E$9)),$G$9-SQRT((1-S789)*($G$9-$E$9)*($G$9-$F$9))))</f>
        <v>1.09781426172758</v>
      </c>
      <c r="F789" s="51" t="n">
        <f aca="false">1+IF($G$10=$E$10,$F$10,IF(T789&lt;($F$10-$E$10)/($G$10-$E$10),$E$10+SQRT(T789*($G$10-$E$10)*($F$10-$E$10)),$G$10-SQRT((1-T789)*($G$10-$E$10)*($G$10-$F$10))))</f>
        <v>1.04849091569415</v>
      </c>
      <c r="G789" s="52" t="n">
        <f aca="false">IF($G$11=$E$11,$F$11,IF(U789&lt;($F$11-$E$11)/($G$11-$E$11),$E$11+SQRT(U789*($G$11-$E$11)*($F$11-$E$11)),$G$11-SQRT((1-U789)*($G$11-$E$11)*($G$11-$F$11))))</f>
        <v>0.0986549569355211</v>
      </c>
      <c r="H789" s="53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-2096981831.38831</v>
      </c>
      <c r="I789" s="53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-26246482.6604638</v>
      </c>
      <c r="J789" s="53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258023508.780058</v>
      </c>
      <c r="K789" s="53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594718046.005288</v>
      </c>
      <c r="L789" s="53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722513506.161401</v>
      </c>
      <c r="M789" s="53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904226886.045733</v>
      </c>
      <c r="N789" s="53" t="n">
        <f aca="false">IF(COUNT('Business Case'!B11:G11)=0,"",H789+NPV(G789,I789:M789))</f>
        <v>-397836370.647541</v>
      </c>
      <c r="P789" s="54" t="n">
        <f aca="true">RAND()</f>
        <v>0.302155564244573</v>
      </c>
      <c r="Q789" s="54" t="n">
        <f aca="true">RAND()</f>
        <v>0.471359902422585</v>
      </c>
      <c r="R789" s="54" t="n">
        <f aca="true">RAND()</f>
        <v>0.277736299399766</v>
      </c>
      <c r="S789" s="54" t="n">
        <f aca="true">RAND()</f>
        <v>0.999681503213631</v>
      </c>
      <c r="T789" s="54" t="n">
        <f aca="true">RAND()</f>
        <v>0.540899947456087</v>
      </c>
      <c r="U789" s="54" t="n">
        <f aca="true">RAND()</f>
        <v>0.24969426518575</v>
      </c>
    </row>
    <row r="790" customFormat="false" ht="15" hidden="false" customHeight="false" outlineLevel="0" collapsed="false">
      <c r="A790" s="50" t="n">
        <v>710</v>
      </c>
      <c r="B790" s="51" t="n">
        <f aca="false">1+IF($G$6=$E$6,$F$6,IF(P790&lt;($F$6-$E$6)/($G$6-$E$6),$E$6+SQRT(P790*($G$6-$E$6)*($F$6-$E$6)),$G$6-SQRT((1-P790)*($G$6-$E$6)*($G$6-$F$6))))</f>
        <v>0.973491474998766</v>
      </c>
      <c r="C790" s="51" t="n">
        <f aca="false">1+IF($G$7=$E$7,$F$7,IF(Q790&lt;($F$7-$E$7)/($G$7-$E$7),$E$7+SQRT(Q790*($G$7-$E$7)*($F$7-$E$7)),$G$7-SQRT((1-Q790)*($G$7-$E$7)*($G$7-$F$7))))</f>
        <v>0.884182384239375</v>
      </c>
      <c r="D790" s="51" t="n">
        <f aca="false">1+IF($G$8=$E$8,$F$8,IF(R790&lt;($F$8-$E$8)/($G$8-$E$8),$E$8+SQRT(R790*($G$8-$E$8)*($F$8-$E$8)),$G$8-SQRT((1-R790)*($G$8-$E$8)*($G$8-$F$8))))</f>
        <v>0.98965268278598</v>
      </c>
      <c r="E790" s="51" t="n">
        <f aca="false">1+IF($G$9=$E$9,$F$9,IF(S790&lt;($F$9-$E$9)/($G$9-$E$9),$E$9+SQRT(S790*($G$9-$E$9)*($F$9-$E$9)),$G$9-SQRT((1-S790)*($G$9-$E$9)*($G$9-$F$9))))</f>
        <v>1.01737727011579</v>
      </c>
      <c r="F790" s="51" t="n">
        <f aca="false">1+IF($G$10=$E$10,$F$10,IF(T790&lt;($F$10-$E$10)/($G$10-$E$10),$E$10+SQRT(T790*($G$10-$E$10)*($F$10-$E$10)),$G$10-SQRT((1-T790)*($G$10-$E$10)*($G$10-$F$10))))</f>
        <v>1.00165082717711</v>
      </c>
      <c r="G790" s="52" t="n">
        <f aca="false">IF($G$11=$E$11,$F$11,IF(U790&lt;($F$11-$E$11)/($G$11-$E$11),$E$11+SQRT(U790*($G$11-$E$11)*($F$11-$E$11)),$G$11-SQRT((1-U790)*($G$11-$E$11)*($G$11-$F$11))))</f>
        <v>0.0970054379393028</v>
      </c>
      <c r="H790" s="53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-2003301654.35422</v>
      </c>
      <c r="I790" s="53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-32392912.9018385</v>
      </c>
      <c r="J790" s="53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224671274.379214</v>
      </c>
      <c r="K790" s="53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531818003.019122</v>
      </c>
      <c r="L790" s="53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647253378.549282</v>
      </c>
      <c r="M790" s="53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810863600.616566</v>
      </c>
      <c r="N790" s="53" t="n">
        <f aca="false">IF(COUNT('Business Case'!B11:G11)=0,"",H790+NPV(G790,I790:M790))</f>
        <v>-485970753.629422</v>
      </c>
      <c r="P790" s="54" t="n">
        <f aca="true">RAND()</f>
        <v>0.298056030994124</v>
      </c>
      <c r="Q790" s="54" t="n">
        <f aca="true">RAND()</f>
        <v>0.101238197374653</v>
      </c>
      <c r="R790" s="54" t="n">
        <f aca="true">RAND()</f>
        <v>0.241897731096238</v>
      </c>
      <c r="S790" s="54" t="n">
        <f aca="true">RAND()</f>
        <v>0.544898967098779</v>
      </c>
      <c r="T790" s="54" t="n">
        <f aca="true">RAND()</f>
        <v>0.213152112809525</v>
      </c>
      <c r="U790" s="54" t="n">
        <f aca="true">RAND()</f>
        <v>0.163587202404746</v>
      </c>
    </row>
    <row r="791" customFormat="false" ht="15" hidden="false" customHeight="false" outlineLevel="0" collapsed="false">
      <c r="A791" s="50" t="n">
        <v>711</v>
      </c>
      <c r="B791" s="51" t="n">
        <f aca="false">1+IF($G$6=$E$6,$F$6,IF(P791&lt;($F$6-$E$6)/($G$6-$E$6),$E$6+SQRT(P791*($G$6-$E$6)*($F$6-$E$6)),$G$6-SQRT((1-P791)*($G$6-$E$6)*($G$6-$F$6))))</f>
        <v>1.00413658523662</v>
      </c>
      <c r="C791" s="51" t="n">
        <f aca="false">1+IF($G$7=$E$7,$F$7,IF(Q791&lt;($F$7-$E$7)/($G$7-$E$7),$E$7+SQRT(Q791*($G$7-$E$7)*($F$7-$E$7)),$G$7-SQRT((1-Q791)*($G$7-$E$7)*($G$7-$F$7))))</f>
        <v>1.06855066060762</v>
      </c>
      <c r="D791" s="51" t="n">
        <f aca="false">1+IF($G$8=$E$8,$F$8,IF(R791&lt;($F$8-$E$8)/($G$8-$E$8),$E$8+SQRT(R791*($G$8-$E$8)*($F$8-$E$8)),$G$8-SQRT((1-R791)*($G$8-$E$8)*($G$8-$F$8))))</f>
        <v>1.03282379679697</v>
      </c>
      <c r="E791" s="51" t="n">
        <f aca="false">1+IF($G$9=$E$9,$F$9,IF(S791&lt;($F$9-$E$9)/($G$9-$E$9),$E$9+SQRT(S791*($G$9-$E$9)*($F$9-$E$9)),$G$9-SQRT((1-S791)*($G$9-$E$9)*($G$9-$F$9))))</f>
        <v>0.960239281103511</v>
      </c>
      <c r="F791" s="51" t="n">
        <f aca="false">1+IF($G$10=$E$10,$F$10,IF(T791&lt;($F$10-$E$10)/($G$10-$E$10),$E$10+SQRT(T791*($G$10-$E$10)*($F$10-$E$10)),$G$10-SQRT((1-T791)*($G$10-$E$10)*($G$10-$F$10))))</f>
        <v>1.02010036098764</v>
      </c>
      <c r="G791" s="52" t="n">
        <f aca="false">IF($G$11=$E$11,$F$11,IF(U791&lt;($F$11-$E$11)/($G$11-$E$11),$E$11+SQRT(U791*($G$11-$E$11)*($F$11-$E$11)),$G$11-SQRT((1-U791)*($G$11-$E$11)*($G$11-$F$11))))</f>
        <v>0.112449332237873</v>
      </c>
      <c r="H791" s="53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-2040200721.97527</v>
      </c>
      <c r="I791" s="53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19693999.9535363</v>
      </c>
      <c r="J791" s="53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333566868.64665</v>
      </c>
      <c r="K791" s="53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698444755.389145</v>
      </c>
      <c r="L791" s="53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840150916.198778</v>
      </c>
      <c r="M791" s="53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1044101208.04772</v>
      </c>
      <c r="N791" s="53" t="n">
        <f aca="false">IF(COUNT('Business Case'!B11:G11)=0,"",H791+NPV(G791,I791:M791))</f>
        <v>-84219632.0163071</v>
      </c>
      <c r="P791" s="54" t="n">
        <f aca="true">RAND()</f>
        <v>0.732044891981159</v>
      </c>
      <c r="Q791" s="54" t="n">
        <f aca="true">RAND()</f>
        <v>0.873638192619903</v>
      </c>
      <c r="R791" s="54" t="n">
        <f aca="true">RAND()</f>
        <v>0.786000562629444</v>
      </c>
      <c r="S791" s="54" t="n">
        <f aca="true">RAND()</f>
        <v>0.0139790503355613</v>
      </c>
      <c r="T791" s="54" t="n">
        <f aca="true">RAND()</f>
        <v>0.352722397664432</v>
      </c>
      <c r="U791" s="54" t="n">
        <f aca="true">RAND()</f>
        <v>0.904979027243281</v>
      </c>
    </row>
    <row r="792" customFormat="false" ht="15" hidden="false" customHeight="false" outlineLevel="0" collapsed="false">
      <c r="A792" s="50" t="n">
        <v>712</v>
      </c>
      <c r="B792" s="51" t="n">
        <f aca="false">1+IF($G$6=$E$6,$F$6,IF(P792&lt;($F$6-$E$6)/($G$6-$E$6),$E$6+SQRT(P792*($G$6-$E$6)*($F$6-$E$6)),$G$6-SQRT((1-P792)*($G$6-$E$6)*($G$6-$F$6))))</f>
        <v>0.975694557318692</v>
      </c>
      <c r="C792" s="51" t="n">
        <f aca="false">1+IF($G$7=$E$7,$F$7,IF(Q792&lt;($F$7-$E$7)/($G$7-$E$7),$E$7+SQRT(Q792*($G$7-$E$7)*($F$7-$E$7)),$G$7-SQRT((1-Q792)*($G$7-$E$7)*($G$7-$F$7))))</f>
        <v>0.963121994782806</v>
      </c>
      <c r="D792" s="51" t="n">
        <f aca="false">1+IF($G$8=$E$8,$F$8,IF(R792&lt;($F$8-$E$8)/($G$8-$E$8),$E$8+SQRT(R792*($G$8-$E$8)*($F$8-$E$8)),$G$8-SQRT((1-R792)*($G$8-$E$8)*($G$8-$F$8))))</f>
        <v>0.986789512310149</v>
      </c>
      <c r="E792" s="51" t="n">
        <f aca="false">1+IF($G$9=$E$9,$F$9,IF(S792&lt;($F$9-$E$9)/($G$9-$E$9),$E$9+SQRT(S792*($G$9-$E$9)*($F$9-$E$9)),$G$9-SQRT((1-S792)*($G$9-$E$9)*($G$9-$F$9))))</f>
        <v>0.988176466380717</v>
      </c>
      <c r="F792" s="51" t="n">
        <f aca="false">1+IF($G$10=$E$10,$F$10,IF(T792&lt;($F$10-$E$10)/($G$10-$E$10),$E$10+SQRT(T792*($G$10-$E$10)*($F$10-$E$10)),$G$10-SQRT((1-T792)*($G$10-$E$10)*($G$10-$F$10))))</f>
        <v>1.12574430687119</v>
      </c>
      <c r="G792" s="52" t="n">
        <f aca="false">IF($G$11=$E$11,$F$11,IF(U792&lt;($F$11-$E$11)/($G$11-$E$11),$E$11+SQRT(U792*($G$11-$E$11)*($F$11-$E$11)),$G$11-SQRT((1-U792)*($G$11-$E$11)*($G$11-$F$11))))</f>
        <v>0.0950472719583336</v>
      </c>
      <c r="H792" s="53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-2251488613.74239</v>
      </c>
      <c r="I792" s="53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-18643419.527985</v>
      </c>
      <c r="J792" s="53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264521001.282215</v>
      </c>
      <c r="K792" s="53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603972637.435974</v>
      </c>
      <c r="L792" s="53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730837255.127192</v>
      </c>
      <c r="M792" s="53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909457880.943526</v>
      </c>
      <c r="N792" s="53" t="n">
        <f aca="false">IF(COUNT('Business Case'!B11:G11)=0,"",H792+NPV(G792,I792:M792))</f>
        <v>-502108996.477762</v>
      </c>
      <c r="P792" s="54" t="n">
        <f aca="true">RAND()</f>
        <v>0.323112886971361</v>
      </c>
      <c r="Q792" s="54" t="n">
        <f aca="true">RAND()</f>
        <v>0.380125502598884</v>
      </c>
      <c r="R792" s="54" t="n">
        <f aca="true">RAND()</f>
        <v>0.208225879387474</v>
      </c>
      <c r="S792" s="54" t="n">
        <f aca="true">RAND()</f>
        <v>0.194325678042405</v>
      </c>
      <c r="T792" s="54" t="n">
        <f aca="true">RAND()</f>
        <v>0.889721840759213</v>
      </c>
      <c r="U792" s="54" t="n">
        <f aca="true">RAND()</f>
        <v>0.0849165140712694</v>
      </c>
    </row>
    <row r="793" customFormat="false" ht="15" hidden="false" customHeight="false" outlineLevel="0" collapsed="false">
      <c r="A793" s="50" t="n">
        <v>713</v>
      </c>
      <c r="B793" s="51" t="n">
        <f aca="false">1+IF($G$6=$E$6,$F$6,IF(P793&lt;($F$6-$E$6)/($G$6-$E$6),$E$6+SQRT(P793*($G$6-$E$6)*($F$6-$E$6)),$G$6-SQRT((1-P793)*($G$6-$E$6)*($G$6-$F$6))))</f>
        <v>0.976128352184496</v>
      </c>
      <c r="C793" s="51" t="n">
        <f aca="false">1+IF($G$7=$E$7,$F$7,IF(Q793&lt;($F$7-$E$7)/($G$7-$E$7),$E$7+SQRT(Q793*($G$7-$E$7)*($F$7-$E$7)),$G$7-SQRT((1-Q793)*($G$7-$E$7)*($G$7-$F$7))))</f>
        <v>0.943008301920726</v>
      </c>
      <c r="D793" s="51" t="n">
        <f aca="false">1+IF($G$8=$E$8,$F$8,IF(R793&lt;($F$8-$E$8)/($G$8-$E$8),$E$8+SQRT(R793*($G$8-$E$8)*($F$8-$E$8)),$G$8-SQRT((1-R793)*($G$8-$E$8)*($G$8-$F$8))))</f>
        <v>1.00503682008458</v>
      </c>
      <c r="E793" s="51" t="n">
        <f aca="false">1+IF($G$9=$E$9,$F$9,IF(S793&lt;($F$9-$E$9)/($G$9-$E$9),$E$9+SQRT(S793*($G$9-$E$9)*($F$9-$E$9)),$G$9-SQRT((1-S793)*($G$9-$E$9)*($G$9-$F$9))))</f>
        <v>0.978753248185628</v>
      </c>
      <c r="F793" s="51" t="n">
        <f aca="false">1+IF($G$10=$E$10,$F$10,IF(T793&lt;($F$10-$E$10)/($G$10-$E$10),$E$10+SQRT(T793*($G$10-$E$10)*($F$10-$E$10)),$G$10-SQRT((1-T793)*($G$10-$E$10)*($G$10-$F$10))))</f>
        <v>0.975453500472123</v>
      </c>
      <c r="G793" s="52" t="n">
        <f aca="false">IF($G$11=$E$11,$F$11,IF(U793&lt;($F$11-$E$11)/($G$11-$E$11),$E$11+SQRT(U793*($G$11-$E$11)*($F$11-$E$11)),$G$11-SQRT((1-U793)*($G$11-$E$11)*($G$11-$F$11))))</f>
        <v>0.104748216195313</v>
      </c>
      <c r="H793" s="53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-1950907000.94425</v>
      </c>
      <c r="I793" s="53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-15665509.0112617</v>
      </c>
      <c r="J793" s="53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253111615.646518</v>
      </c>
      <c r="K793" s="53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570661415.327905</v>
      </c>
      <c r="L793" s="53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692066171.367054</v>
      </c>
      <c r="M793" s="53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867034267.709775</v>
      </c>
      <c r="N793" s="53" t="n">
        <f aca="false">IF(COUNT('Business Case'!B11:G11)=0,"",H793+NPV(G793,I793:M793))</f>
        <v>-342950508.651149</v>
      </c>
      <c r="P793" s="54" t="n">
        <f aca="true">RAND()</f>
        <v>0.328165824890287</v>
      </c>
      <c r="Q793" s="54" t="n">
        <f aca="true">RAND()</f>
        <v>0.292162491689277</v>
      </c>
      <c r="R793" s="54" t="n">
        <f aca="true">RAND()</f>
        <v>0.459665543939213</v>
      </c>
      <c r="S793" s="54" t="n">
        <f aca="true">RAND()</f>
        <v>0.110233237496576</v>
      </c>
      <c r="T793" s="54" t="n">
        <f aca="true">RAND()</f>
        <v>0.0518304549027505</v>
      </c>
      <c r="U793" s="54" t="n">
        <f aca="true">RAND()</f>
        <v>0.61230515129181</v>
      </c>
    </row>
    <row r="794" customFormat="false" ht="15" hidden="false" customHeight="false" outlineLevel="0" collapsed="false">
      <c r="A794" s="50" t="n">
        <v>714</v>
      </c>
      <c r="B794" s="51" t="n">
        <f aca="false">1+IF($G$6=$E$6,$F$6,IF(P794&lt;($F$6-$E$6)/($G$6-$E$6),$E$6+SQRT(P794*($G$6-$E$6)*($F$6-$E$6)),$G$6-SQRT((1-P794)*($G$6-$E$6)*($G$6-$F$6))))</f>
        <v>1.0124225078574</v>
      </c>
      <c r="C794" s="51" t="n">
        <f aca="false">1+IF($G$7=$E$7,$F$7,IF(Q794&lt;($F$7-$E$7)/($G$7-$E$7),$E$7+SQRT(Q794*($G$7-$E$7)*($F$7-$E$7)),$G$7-SQRT((1-Q794)*($G$7-$E$7)*($G$7-$F$7))))</f>
        <v>1.08956904046178</v>
      </c>
      <c r="D794" s="51" t="n">
        <f aca="false">1+IF($G$8=$E$8,$F$8,IF(R794&lt;($F$8-$E$8)/($G$8-$E$8),$E$8+SQRT(R794*($G$8-$E$8)*($F$8-$E$8)),$G$8-SQRT((1-R794)*($G$8-$E$8)*($G$8-$F$8))))</f>
        <v>1.04996097173489</v>
      </c>
      <c r="E794" s="51" t="n">
        <f aca="false">1+IF($G$9=$E$9,$F$9,IF(S794&lt;($F$9-$E$9)/($G$9-$E$9),$E$9+SQRT(S794*($G$9-$E$9)*($F$9-$E$9)),$G$9-SQRT((1-S794)*($G$9-$E$9)*($G$9-$F$9))))</f>
        <v>1.02102874476448</v>
      </c>
      <c r="F794" s="51" t="n">
        <f aca="false">1+IF($G$10=$E$10,$F$10,IF(T794&lt;($F$10-$E$10)/($G$10-$E$10),$E$10+SQRT(T794*($G$10-$E$10)*($F$10-$E$10)),$G$10-SQRT((1-T794)*($G$10-$E$10)*($G$10-$F$10))))</f>
        <v>1.13722875637211</v>
      </c>
      <c r="G794" s="52" t="n">
        <f aca="false">IF($G$11=$E$11,$F$11,IF(U794&lt;($F$11-$E$11)/($G$11-$E$11),$E$11+SQRT(U794*($G$11-$E$11)*($F$11-$E$11)),$G$11-SQRT((1-U794)*($G$11-$E$11)*($G$11-$F$11))))</f>
        <v>0.10766762849237</v>
      </c>
      <c r="H794" s="53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-2274457512.74421</v>
      </c>
      <c r="I794" s="53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1784670.63255392</v>
      </c>
      <c r="J794" s="53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319667427.194819</v>
      </c>
      <c r="K794" s="53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694411621.57569</v>
      </c>
      <c r="L794" s="53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838495822.287774</v>
      </c>
      <c r="M794" s="53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1048173872.50675</v>
      </c>
      <c r="N794" s="53" t="n">
        <f aca="false">IF(COUNT('Business Case'!B11:G11)=0,"",H794+NPV(G794,I794:M794))</f>
        <v>-315714389.585232</v>
      </c>
      <c r="P794" s="54" t="n">
        <f aca="true">RAND()</f>
        <v>0.841558734817663</v>
      </c>
      <c r="Q794" s="54" t="n">
        <f aca="true">RAND()</f>
        <v>0.930439983415053</v>
      </c>
      <c r="R794" s="54" t="n">
        <f aca="true">RAND()</f>
        <v>0.913236228931514</v>
      </c>
      <c r="S794" s="54" t="n">
        <f aca="true">RAND()</f>
        <v>0.584236056435047</v>
      </c>
      <c r="T794" s="54" t="n">
        <f aca="true">RAND()</f>
        <v>0.921195419468151</v>
      </c>
      <c r="U794" s="54" t="n">
        <f aca="true">RAND()</f>
        <v>0.746521021662994</v>
      </c>
    </row>
    <row r="795" customFormat="false" ht="15" hidden="false" customHeight="false" outlineLevel="0" collapsed="false">
      <c r="A795" s="50" t="n">
        <v>715</v>
      </c>
      <c r="B795" s="51" t="n">
        <f aca="false">1+IF($G$6=$E$6,$F$6,IF(P795&lt;($F$6-$E$6)/($G$6-$E$6),$E$6+SQRT(P795*($G$6-$E$6)*($F$6-$E$6)),$G$6-SQRT((1-P795)*($G$6-$E$6)*($G$6-$F$6))))</f>
        <v>1.01832121387123</v>
      </c>
      <c r="C795" s="51" t="n">
        <f aca="false">1+IF($G$7=$E$7,$F$7,IF(Q795&lt;($F$7-$E$7)/($G$7-$E$7),$E$7+SQRT(Q795*($G$7-$E$7)*($F$7-$E$7)),$G$7-SQRT((1-Q795)*($G$7-$E$7)*($G$7-$F$7))))</f>
        <v>0.934029206872337</v>
      </c>
      <c r="D795" s="51" t="n">
        <f aca="false">1+IF($G$8=$E$8,$F$8,IF(R795&lt;($F$8-$E$8)/($G$8-$E$8),$E$8+SQRT(R795*($G$8-$E$8)*($F$8-$E$8)),$G$8-SQRT((1-R795)*($G$8-$E$8)*($G$8-$F$8))))</f>
        <v>1.06656946075188</v>
      </c>
      <c r="E795" s="51" t="n">
        <f aca="false">1+IF($G$9=$E$9,$F$9,IF(S795&lt;($F$9-$E$9)/($G$9-$E$9),$E$9+SQRT(S795*($G$9-$E$9)*($F$9-$E$9)),$G$9-SQRT((1-S795)*($G$9-$E$9)*($G$9-$F$9))))</f>
        <v>1.03686435969303</v>
      </c>
      <c r="F795" s="51" t="n">
        <f aca="false">1+IF($G$10=$E$10,$F$10,IF(T795&lt;($F$10-$E$10)/($G$10-$E$10),$E$10+SQRT(T795*($G$10-$E$10)*($F$10-$E$10)),$G$10-SQRT((1-T795)*($G$10-$E$10)*($G$10-$F$10))))</f>
        <v>1.1435199049467</v>
      </c>
      <c r="G795" s="52" t="n">
        <f aca="false">IF($G$11=$E$11,$F$11,IF(U795&lt;($F$11-$E$11)/($G$11-$E$11),$E$11+SQRT(U795*($G$11-$E$11)*($F$11-$E$11)),$G$11-SQRT((1-U795)*($G$11-$E$11)*($G$11-$F$11))))</f>
        <v>0.115733619459845</v>
      </c>
      <c r="H795" s="53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-2287039809.89339</v>
      </c>
      <c r="I795" s="53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-42026012.4261273</v>
      </c>
      <c r="J795" s="53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227049266.207984</v>
      </c>
      <c r="K795" s="53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553300540.089429</v>
      </c>
      <c r="L795" s="53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675863758.71228</v>
      </c>
      <c r="M795" s="53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856656783.642088</v>
      </c>
      <c r="N795" s="53" t="n">
        <f aca="false">IF(COUNT('Business Case'!B11:G11)=0,"",H795+NPV(G795,I795:M795))</f>
        <v>-812367668.230546</v>
      </c>
      <c r="P795" s="54" t="n">
        <f aca="true">RAND()</f>
        <v>0.902089631663107</v>
      </c>
      <c r="Q795" s="54" t="n">
        <f aca="true">RAND()</f>
        <v>0.256626118497537</v>
      </c>
      <c r="R795" s="54" t="n">
        <f aca="true">RAND()</f>
        <v>0.98265582841391</v>
      </c>
      <c r="S795" s="54" t="n">
        <f aca="true">RAND()</f>
        <v>0.73425939486856</v>
      </c>
      <c r="T795" s="54" t="n">
        <f aca="true">RAND()</f>
        <v>0.936199977255398</v>
      </c>
      <c r="U795" s="54" t="n">
        <f aca="true">RAND()</f>
        <v>0.969663328477643</v>
      </c>
    </row>
    <row r="796" customFormat="false" ht="15" hidden="false" customHeight="false" outlineLevel="0" collapsed="false">
      <c r="A796" s="50" t="n">
        <v>716</v>
      </c>
      <c r="B796" s="51" t="n">
        <f aca="false">1+IF($G$6=$E$6,$F$6,IF(P796&lt;($F$6-$E$6)/($G$6-$E$6),$E$6+SQRT(P796*($G$6-$E$6)*($F$6-$E$6)),$G$6-SQRT((1-P796)*($G$6-$E$6)*($G$6-$F$6))))</f>
        <v>0.944661671300454</v>
      </c>
      <c r="C796" s="51" t="n">
        <f aca="false">1+IF($G$7=$E$7,$F$7,IF(Q796&lt;($F$7-$E$7)/($G$7-$E$7),$E$7+SQRT(Q796*($G$7-$E$7)*($F$7-$E$7)),$G$7-SQRT((1-Q796)*($G$7-$E$7)*($G$7-$F$7))))</f>
        <v>0.969976911053947</v>
      </c>
      <c r="D796" s="51" t="n">
        <f aca="false">1+IF($G$8=$E$8,$F$8,IF(R796&lt;($F$8-$E$8)/($G$8-$E$8),$E$8+SQRT(R796*($G$8-$E$8)*($F$8-$E$8)),$G$8-SQRT((1-R796)*($G$8-$E$8)*($G$8-$F$8))))</f>
        <v>1.0278606870063</v>
      </c>
      <c r="E796" s="51" t="n">
        <f aca="false">1+IF($G$9=$E$9,$F$9,IF(S796&lt;($F$9-$E$9)/($G$9-$E$9),$E$9+SQRT(S796*($G$9-$E$9)*($F$9-$E$9)),$G$9-SQRT((1-S796)*($G$9-$E$9)*($G$9-$F$9))))</f>
        <v>1.0252674826446</v>
      </c>
      <c r="F796" s="51" t="n">
        <f aca="false">1+IF($G$10=$E$10,$F$10,IF(T796&lt;($F$10-$E$10)/($G$10-$E$10),$E$10+SQRT(T796*($G$10-$E$10)*($F$10-$E$10)),$G$10-SQRT((1-T796)*($G$10-$E$10)*($G$10-$F$10))))</f>
        <v>0.998378602299309</v>
      </c>
      <c r="G796" s="52" t="n">
        <f aca="false">IF($G$11=$E$11,$F$11,IF(U796&lt;($F$11-$E$11)/($G$11-$E$11),$E$11+SQRT(U796*($G$11-$E$11)*($F$11-$E$11)),$G$11-SQRT((1-U796)*($G$11-$E$11)*($G$11-$F$11))))</f>
        <v>0.113894528312042</v>
      </c>
      <c r="H796" s="53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-1996757204.59862</v>
      </c>
      <c r="I796" s="53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-53001027.6592234</v>
      </c>
      <c r="J796" s="53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187129833.45775</v>
      </c>
      <c r="K796" s="53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477179624.68969</v>
      </c>
      <c r="L796" s="53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588890573.404818</v>
      </c>
      <c r="M796" s="53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763060879.290235</v>
      </c>
      <c r="N796" s="53" t="n">
        <f aca="false">IF(COUNT('Business Case'!B11:G11)=0,"",H796+NPV(G796,I796:M796))</f>
        <v>-720755646.74966</v>
      </c>
      <c r="P796" s="54" t="n">
        <f aca="true">RAND()</f>
        <v>0.0633539615970467</v>
      </c>
      <c r="Q796" s="54" t="n">
        <f aca="true">RAND()</f>
        <v>0.412745004163447</v>
      </c>
      <c r="R796" s="54" t="n">
        <f aca="true">RAND()</f>
        <v>0.738605003898605</v>
      </c>
      <c r="S796" s="54" t="n">
        <f aca="true">RAND()</f>
        <v>0.62767005664828</v>
      </c>
      <c r="T796" s="54" t="n">
        <f aca="true">RAND()</f>
        <v>0.187239132834774</v>
      </c>
      <c r="U796" s="54" t="n">
        <f aca="true">RAND()</f>
        <v>0.937872025779246</v>
      </c>
    </row>
    <row r="797" customFormat="false" ht="15" hidden="false" customHeight="false" outlineLevel="0" collapsed="false">
      <c r="A797" s="50" t="n">
        <v>717</v>
      </c>
      <c r="B797" s="51" t="n">
        <f aca="false">1+IF($G$6=$E$6,$F$6,IF(P797&lt;($F$6-$E$6)/($G$6-$E$6),$E$6+SQRT(P797*($G$6-$E$6)*($F$6-$E$6)),$G$6-SQRT((1-P797)*($G$6-$E$6)*($G$6-$F$6))))</f>
        <v>0.948894115741326</v>
      </c>
      <c r="C797" s="51" t="n">
        <f aca="false">1+IF($G$7=$E$7,$F$7,IF(Q797&lt;($F$7-$E$7)/($G$7-$E$7),$E$7+SQRT(Q797*($G$7-$E$7)*($F$7-$E$7)),$G$7-SQRT((1-Q797)*($G$7-$E$7)*($G$7-$F$7))))</f>
        <v>0.976079072918205</v>
      </c>
      <c r="D797" s="51" t="n">
        <f aca="false">1+IF($G$8=$E$8,$F$8,IF(R797&lt;($F$8-$E$8)/($G$8-$E$8),$E$8+SQRT(R797*($G$8-$E$8)*($F$8-$E$8)),$G$8-SQRT((1-R797)*($G$8-$E$8)*($G$8-$F$8))))</f>
        <v>1.01910414473482</v>
      </c>
      <c r="E797" s="51" t="n">
        <f aca="false">1+IF($G$9=$E$9,$F$9,IF(S797&lt;($F$9-$E$9)/($G$9-$E$9),$E$9+SQRT(S797*($G$9-$E$9)*($F$9-$E$9)),$G$9-SQRT((1-S797)*($G$9-$E$9)*($G$9-$F$9))))</f>
        <v>0.968252549207181</v>
      </c>
      <c r="F797" s="51" t="n">
        <f aca="false">1+IF($G$10=$E$10,$F$10,IF(T797&lt;($F$10-$E$10)/($G$10-$E$10),$E$10+SQRT(T797*($G$10-$E$10)*($F$10-$E$10)),$G$10-SQRT((1-T797)*($G$10-$E$10)*($G$10-$F$10))))</f>
        <v>1.11714266508226</v>
      </c>
      <c r="G797" s="52" t="n">
        <f aca="false">IF($G$11=$E$11,$F$11,IF(U797&lt;($F$11-$E$11)/($G$11-$E$11),$E$11+SQRT(U797*($G$11-$E$11)*($F$11-$E$11)),$G$11-SQRT((1-U797)*($G$11-$E$11)*($G$11-$F$11))))</f>
        <v>0.100166615889778</v>
      </c>
      <c r="H797" s="53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-2234285330.16453</v>
      </c>
      <c r="I797" s="53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-48013059.3507296</v>
      </c>
      <c r="J797" s="53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201387644.810919</v>
      </c>
      <c r="K797" s="53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506645482.226681</v>
      </c>
      <c r="L797" s="53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621788373.285158</v>
      </c>
      <c r="M797" s="53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797839649.810424</v>
      </c>
      <c r="N797" s="53" t="n">
        <f aca="false">IF(COUNT('Business Case'!B11:G11)=0,"",H797+NPV(G797,I797:M797))</f>
        <v>-811610712.609034</v>
      </c>
      <c r="P797" s="54" t="n">
        <f aca="true">RAND()</f>
        <v>0.0869656171326181</v>
      </c>
      <c r="Q797" s="54" t="n">
        <f aca="true">RAND()</f>
        <v>0.442911998853349</v>
      </c>
      <c r="R797" s="54" t="n">
        <f aca="true">RAND()</f>
        <v>0.643432193415625</v>
      </c>
      <c r="S797" s="54" t="n">
        <f aca="true">RAND()</f>
        <v>0.044420740341406</v>
      </c>
      <c r="T797" s="54" t="n">
        <f aca="true">RAND()</f>
        <v>0.862693241006602</v>
      </c>
      <c r="U797" s="54" t="n">
        <f aca="true">RAND()</f>
        <v>0.344394791227291</v>
      </c>
    </row>
    <row r="798" customFormat="false" ht="15" hidden="false" customHeight="false" outlineLevel="0" collapsed="false">
      <c r="A798" s="50" t="n">
        <v>718</v>
      </c>
      <c r="B798" s="51" t="n">
        <f aca="false">1+IF($G$6=$E$6,$F$6,IF(P798&lt;($F$6-$E$6)/($G$6-$E$6),$E$6+SQRT(P798*($G$6-$E$6)*($F$6-$E$6)),$G$6-SQRT((1-P798)*($G$6-$E$6)*($G$6-$F$6))))</f>
        <v>0.973513153625635</v>
      </c>
      <c r="C798" s="51" t="n">
        <f aca="false">1+IF($G$7=$E$7,$F$7,IF(Q798&lt;($F$7-$E$7)/($G$7-$E$7),$E$7+SQRT(Q798*($G$7-$E$7)*($F$7-$E$7)),$G$7-SQRT((1-Q798)*($G$7-$E$7)*($G$7-$F$7))))</f>
        <v>1.12197750609537</v>
      </c>
      <c r="D798" s="51" t="n">
        <f aca="false">1+IF($G$8=$E$8,$F$8,IF(R798&lt;($F$8-$E$8)/($G$8-$E$8),$E$8+SQRT(R798*($G$8-$E$8)*($F$8-$E$8)),$G$8-SQRT((1-R798)*($G$8-$E$8)*($G$8-$F$8))))</f>
        <v>0.997139818871523</v>
      </c>
      <c r="E798" s="51" t="n">
        <f aca="false">1+IF($G$9=$E$9,$F$9,IF(S798&lt;($F$9-$E$9)/($G$9-$E$9),$E$9+SQRT(S798*($G$9-$E$9)*($F$9-$E$9)),$G$9-SQRT((1-S798)*($G$9-$E$9)*($G$9-$F$9))))</f>
        <v>0.989673127262352</v>
      </c>
      <c r="F798" s="51" t="n">
        <f aca="false">1+IF($G$10=$E$10,$F$10,IF(T798&lt;($F$10-$E$10)/($G$10-$E$10),$E$10+SQRT(T798*($G$10-$E$10)*($F$10-$E$10)),$G$10-SQRT((1-T798)*($G$10-$E$10)*($G$10-$F$10))))</f>
        <v>0.954542317782536</v>
      </c>
      <c r="G798" s="52" t="n">
        <f aca="false">IF($G$11=$E$11,$F$11,IF(U798&lt;($F$11-$E$11)/($G$11-$E$11),$E$11+SQRT(U798*($G$11-$E$11)*($F$11-$E$11)),$G$11-SQRT((1-U798)*($G$11-$E$11)*($G$11-$F$11))))</f>
        <v>0.0962128087427313</v>
      </c>
      <c r="H798" s="53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-1909084635.56507</v>
      </c>
      <c r="I798" s="53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29111023.1352917</v>
      </c>
      <c r="J798" s="53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351030547.901211</v>
      </c>
      <c r="K798" s="53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720677188.556257</v>
      </c>
      <c r="L798" s="53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865732197.582008</v>
      </c>
      <c r="M798" s="53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1073348951.81945</v>
      </c>
      <c r="N798" s="53" t="n">
        <f aca="false">IF(COUNT('Business Case'!B11:G11)=0,"",H798+NPV(G798,I798:M798))</f>
        <v>234252081.637984</v>
      </c>
      <c r="P798" s="54" t="n">
        <f aca="true">RAND()</f>
        <v>0.298297667808417</v>
      </c>
      <c r="Q798" s="54" t="n">
        <f aca="true">RAND()</f>
        <v>0.985042663530757</v>
      </c>
      <c r="R798" s="54" t="n">
        <f aca="true">RAND()</f>
        <v>0.341871157421533</v>
      </c>
      <c r="S798" s="54" t="n">
        <f aca="true">RAND()</f>
        <v>0.209860936903302</v>
      </c>
      <c r="T798" s="54" t="n">
        <f aca="true">RAND()</f>
        <v>0.00165061206700374</v>
      </c>
      <c r="U798" s="54" t="n">
        <f aca="true">RAND()</f>
        <v>0.128663308245861</v>
      </c>
    </row>
    <row r="799" customFormat="false" ht="15" hidden="false" customHeight="false" outlineLevel="0" collapsed="false">
      <c r="A799" s="50" t="n">
        <v>719</v>
      </c>
      <c r="B799" s="51" t="n">
        <f aca="false">1+IF($G$6=$E$6,$F$6,IF(P799&lt;($F$6-$E$6)/($G$6-$E$6),$E$6+SQRT(P799*($G$6-$E$6)*($F$6-$E$6)),$G$6-SQRT((1-P799)*($G$6-$E$6)*($G$6-$F$6))))</f>
        <v>1.0110281081094</v>
      </c>
      <c r="C799" s="51" t="n">
        <f aca="false">1+IF($G$7=$E$7,$F$7,IF(Q799&lt;($F$7-$E$7)/($G$7-$E$7),$E$7+SQRT(Q799*($G$7-$E$7)*($F$7-$E$7)),$G$7-SQRT((1-Q799)*($G$7-$E$7)*($G$7-$F$7))))</f>
        <v>1.0283814446429</v>
      </c>
      <c r="D799" s="51" t="n">
        <f aca="false">1+IF($G$8=$E$8,$F$8,IF(R799&lt;($F$8-$E$8)/($G$8-$E$8),$E$8+SQRT(R799*($G$8-$E$8)*($F$8-$E$8)),$G$8-SQRT((1-R799)*($G$8-$E$8)*($G$8-$F$8))))</f>
        <v>1.03867609989958</v>
      </c>
      <c r="E799" s="51" t="n">
        <f aca="false">1+IF($G$9=$E$9,$F$9,IF(S799&lt;($F$9-$E$9)/($G$9-$E$9),$E$9+SQRT(S799*($G$9-$E$9)*($F$9-$E$9)),$G$9-SQRT((1-S799)*($G$9-$E$9)*($G$9-$F$9))))</f>
        <v>1.04980755184633</v>
      </c>
      <c r="F799" s="51" t="n">
        <f aca="false">1+IF($G$10=$E$10,$F$10,IF(T799&lt;($F$10-$E$10)/($G$10-$E$10),$E$10+SQRT(T799*($G$10-$E$10)*($F$10-$E$10)),$G$10-SQRT((1-T799)*($G$10-$E$10)*($G$10-$F$10))))</f>
        <v>1.04886505123913</v>
      </c>
      <c r="G799" s="52" t="n">
        <f aca="false">IF($G$11=$E$11,$F$11,IF(U799&lt;($F$11-$E$11)/($G$11-$E$11),$E$11+SQRT(U799*($G$11-$E$11)*($F$11-$E$11)),$G$11-SQRT((1-U799)*($G$11-$E$11)*($G$11-$F$11))))</f>
        <v>0.0934783552752351</v>
      </c>
      <c r="H799" s="53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-2097730102.47827</v>
      </c>
      <c r="I799" s="53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-3270754.66764642</v>
      </c>
      <c r="J799" s="53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301526846.466137</v>
      </c>
      <c r="K799" s="53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658767700.161877</v>
      </c>
      <c r="L799" s="53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796299711.743117</v>
      </c>
      <c r="M799" s="53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993930173.361333</v>
      </c>
      <c r="N799" s="53" t="n">
        <f aca="false">IF(COUNT('Business Case'!B11:G11)=0,"",H799+NPV(G799,I799:M799))</f>
        <v>-151941361.402174</v>
      </c>
      <c r="P799" s="54" t="n">
        <f aca="true">RAND()</f>
        <v>0.825131141724904</v>
      </c>
      <c r="Q799" s="54" t="n">
        <f aca="true">RAND()</f>
        <v>0.718265276054341</v>
      </c>
      <c r="R799" s="54" t="n">
        <f aca="true">RAND()</f>
        <v>0.835801469277906</v>
      </c>
      <c r="S799" s="54" t="n">
        <f aca="true">RAND()</f>
        <v>0.832047876556092</v>
      </c>
      <c r="T799" s="54" t="n">
        <f aca="true">RAND()</f>
        <v>0.543164545261008</v>
      </c>
      <c r="U799" s="54" t="n">
        <f aca="true">RAND()</f>
        <v>0.0403298514025185</v>
      </c>
    </row>
    <row r="800" customFormat="false" ht="15" hidden="false" customHeight="false" outlineLevel="0" collapsed="false">
      <c r="A800" s="50" t="n">
        <v>720</v>
      </c>
      <c r="B800" s="51" t="n">
        <f aca="false">1+IF($G$6=$E$6,$F$6,IF(P800&lt;($F$6-$E$6)/($G$6-$E$6),$E$6+SQRT(P800*($G$6-$E$6)*($F$6-$E$6)),$G$6-SQRT((1-P800)*($G$6-$E$6)*($G$6-$F$6))))</f>
        <v>0.989546587505463</v>
      </c>
      <c r="C800" s="51" t="n">
        <f aca="false">1+IF($G$7=$E$7,$F$7,IF(Q800&lt;($F$7-$E$7)/($G$7-$E$7),$E$7+SQRT(Q800*($G$7-$E$7)*($F$7-$E$7)),$G$7-SQRT((1-Q800)*($G$7-$E$7)*($G$7-$F$7))))</f>
        <v>1.04265785794308</v>
      </c>
      <c r="D800" s="51" t="n">
        <f aca="false">1+IF($G$8=$E$8,$F$8,IF(R800&lt;($F$8-$E$8)/($G$8-$E$8),$E$8+SQRT(R800*($G$8-$E$8)*($F$8-$E$8)),$G$8-SQRT((1-R800)*($G$8-$E$8)*($G$8-$F$8))))</f>
        <v>0.963529475906934</v>
      </c>
      <c r="E800" s="51" t="n">
        <f aca="false">1+IF($G$9=$E$9,$F$9,IF(S800&lt;($F$9-$E$9)/($G$9-$E$9),$E$9+SQRT(S800*($G$9-$E$9)*($F$9-$E$9)),$G$9-SQRT((1-S800)*($G$9-$E$9)*($G$9-$F$9))))</f>
        <v>1.03279697439509</v>
      </c>
      <c r="F800" s="51" t="n">
        <f aca="false">1+IF($G$10=$E$10,$F$10,IF(T800&lt;($F$10-$E$10)/($G$10-$E$10),$E$10+SQRT(T800*($G$10-$E$10)*($F$10-$E$10)),$G$10-SQRT((1-T800)*($G$10-$E$10)*($G$10-$F$10))))</f>
        <v>1.03741850460259</v>
      </c>
      <c r="G800" s="52" t="n">
        <f aca="false">IF($G$11=$E$11,$F$11,IF(U800&lt;($F$11-$E$11)/($G$11-$E$11),$E$11+SQRT(U800*($G$11-$E$11)*($F$11-$E$11)),$G$11-SQRT((1-U800)*($G$11-$E$11)*($G$11-$F$11))))</f>
        <v>0.111418006250185</v>
      </c>
      <c r="H800" s="53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-2074837009.20518</v>
      </c>
      <c r="I800" s="53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26701578.5019049</v>
      </c>
      <c r="J800" s="53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357495099.172702</v>
      </c>
      <c r="K800" s="53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740159545.073629</v>
      </c>
      <c r="L800" s="53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886081626.596996</v>
      </c>
      <c r="M800" s="53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1082198287.07905</v>
      </c>
      <c r="N800" s="53" t="n">
        <f aca="false">IF(COUNT('Business Case'!B11:G11)=0,"",H800+NPV(G800,I800:M800))</f>
        <v>-3409853.24078274</v>
      </c>
      <c r="P800" s="54" t="n">
        <f aca="true">RAND()</f>
        <v>0.503825816005729</v>
      </c>
      <c r="Q800" s="54" t="n">
        <f aca="true">RAND()</f>
        <v>0.780526943592972</v>
      </c>
      <c r="R800" s="54" t="n">
        <f aca="true">RAND()</f>
        <v>0.0281610335871257</v>
      </c>
      <c r="S800" s="54" t="n">
        <f aca="true">RAND()</f>
        <v>0.69891688996976</v>
      </c>
      <c r="T800" s="54" t="n">
        <f aca="true">RAND()</f>
        <v>0.471345147086843</v>
      </c>
      <c r="U800" s="54" t="n">
        <f aca="true">RAND()</f>
        <v>0.877248972130223</v>
      </c>
    </row>
    <row r="801" customFormat="false" ht="15" hidden="false" customHeight="false" outlineLevel="0" collapsed="false">
      <c r="A801" s="50" t="n">
        <v>721</v>
      </c>
      <c r="B801" s="51" t="n">
        <f aca="false">1+IF($G$6=$E$6,$F$6,IF(P801&lt;($F$6-$E$6)/($G$6-$E$6),$E$6+SQRT(P801*($G$6-$E$6)*($F$6-$E$6)),$G$6-SQRT((1-P801)*($G$6-$E$6)*($G$6-$F$6))))</f>
        <v>0.979923956747609</v>
      </c>
      <c r="C801" s="51" t="n">
        <f aca="false">1+IF($G$7=$E$7,$F$7,IF(Q801&lt;($F$7-$E$7)/($G$7-$E$7),$E$7+SQRT(Q801*($G$7-$E$7)*($F$7-$E$7)),$G$7-SQRT((1-Q801)*($G$7-$E$7)*($G$7-$F$7))))</f>
        <v>1.13165672430794</v>
      </c>
      <c r="D801" s="51" t="n">
        <f aca="false">1+IF($G$8=$E$8,$F$8,IF(R801&lt;($F$8-$E$8)/($G$8-$E$8),$E$8+SQRT(R801*($G$8-$E$8)*($F$8-$E$8)),$G$8-SQRT((1-R801)*($G$8-$E$8)*($G$8-$F$8))))</f>
        <v>1.01018371469842</v>
      </c>
      <c r="E801" s="51" t="n">
        <f aca="false">1+IF($G$9=$E$9,$F$9,IF(S801&lt;($F$9-$E$9)/($G$9-$E$9),$E$9+SQRT(S801*($G$9-$E$9)*($F$9-$E$9)),$G$9-SQRT((1-S801)*($G$9-$E$9)*($G$9-$F$9))))</f>
        <v>1.03826380053998</v>
      </c>
      <c r="F801" s="51" t="n">
        <f aca="false">1+IF($G$10=$E$10,$F$10,IF(T801&lt;($F$10-$E$10)/($G$10-$E$10),$E$10+SQRT(T801*($G$10-$E$10)*($F$10-$E$10)),$G$10-SQRT((1-T801)*($G$10-$E$10)*($G$10-$F$10))))</f>
        <v>0.982302204439571</v>
      </c>
      <c r="G801" s="52" t="n">
        <f aca="false">IF($G$11=$E$11,$F$11,IF(U801&lt;($F$11-$E$11)/($G$11-$E$11),$E$11+SQRT(U801*($G$11-$E$11)*($F$11-$E$11)),$G$11-SQRT((1-U801)*($G$11-$E$11)*($G$11-$F$11))))</f>
        <v>0.102177753761083</v>
      </c>
      <c r="H801" s="53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-1964604408.87914</v>
      </c>
      <c r="I801" s="53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19723713.3554269</v>
      </c>
      <c r="J801" s="53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342806081.404123</v>
      </c>
      <c r="K801" s="53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715003559.674797</v>
      </c>
      <c r="L801" s="53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861022563.566048</v>
      </c>
      <c r="M801" s="53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1071809410.21198</v>
      </c>
      <c r="N801" s="53" t="n">
        <f aca="false">IF(COUNT('Business Case'!B11:G11)=0,"",H801+NPV(G801,I801:M801))</f>
        <v>111914221.432848</v>
      </c>
      <c r="P801" s="54" t="n">
        <f aca="true">RAND()</f>
        <v>0.374050061696797</v>
      </c>
      <c r="Q801" s="54" t="n">
        <f aca="true">RAND()</f>
        <v>0.993590937845431</v>
      </c>
      <c r="R801" s="54" t="n">
        <f aca="true">RAND()</f>
        <v>0.531315991027688</v>
      </c>
      <c r="S801" s="54" t="n">
        <f aca="true">RAND()</f>
        <v>0.745909445082137</v>
      </c>
      <c r="T801" s="54" t="n">
        <f aca="true">RAND()</f>
        <v>0.0834745929324646</v>
      </c>
      <c r="U801" s="54" t="n">
        <f aca="true">RAND()</f>
        <v>0.47061256499901</v>
      </c>
    </row>
    <row r="802" customFormat="false" ht="15" hidden="false" customHeight="false" outlineLevel="0" collapsed="false">
      <c r="A802" s="50" t="n">
        <v>722</v>
      </c>
      <c r="B802" s="51" t="n">
        <f aca="false">1+IF($G$6=$E$6,$F$6,IF(P802&lt;($F$6-$E$6)/($G$6-$E$6),$E$6+SQRT(P802*($G$6-$E$6)*($F$6-$E$6)),$G$6-SQRT((1-P802)*($G$6-$E$6)*($G$6-$F$6))))</f>
        <v>0.994675142037519</v>
      </c>
      <c r="C802" s="51" t="n">
        <f aca="false">1+IF($G$7=$E$7,$F$7,IF(Q802&lt;($F$7-$E$7)/($G$7-$E$7),$E$7+SQRT(Q802*($G$7-$E$7)*($F$7-$E$7)),$G$7-SQRT((1-Q802)*($G$7-$E$7)*($G$7-$F$7))))</f>
        <v>0.971177659997499</v>
      </c>
      <c r="D802" s="51" t="n">
        <f aca="false">1+IF($G$8=$E$8,$F$8,IF(R802&lt;($F$8-$E$8)/($G$8-$E$8),$E$8+SQRT(R802*($G$8-$E$8)*($F$8-$E$8)),$G$8-SQRT((1-R802)*($G$8-$E$8)*($G$8-$F$8))))</f>
        <v>1.02900398565649</v>
      </c>
      <c r="E802" s="51" t="n">
        <f aca="false">1+IF($G$9=$E$9,$F$9,IF(S802&lt;($F$9-$E$9)/($G$9-$E$9),$E$9+SQRT(S802*($G$9-$E$9)*($F$9-$E$9)),$G$9-SQRT((1-S802)*($G$9-$E$9)*($G$9-$F$9))))</f>
        <v>1.01965315688447</v>
      </c>
      <c r="F802" s="51" t="n">
        <f aca="false">1+IF($G$10=$E$10,$F$10,IF(T802&lt;($F$10-$E$10)/($G$10-$E$10),$E$10+SQRT(T802*($G$10-$E$10)*($F$10-$E$10)),$G$10-SQRT((1-T802)*($G$10-$E$10)*($G$10-$F$10))))</f>
        <v>1.02792233788944</v>
      </c>
      <c r="G802" s="52" t="n">
        <f aca="false">IF($G$11=$E$11,$F$11,IF(U802&lt;($F$11-$E$11)/($G$11-$E$11),$E$11+SQRT(U802*($G$11-$E$11)*($F$11-$E$11)),$G$11-SQRT((1-U802)*($G$11-$E$11)*($G$11-$F$11))))</f>
        <v>0.110641645882964</v>
      </c>
      <c r="H802" s="53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-2055844675.77888</v>
      </c>
      <c r="I802" s="53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-18221026.8574535</v>
      </c>
      <c r="J802" s="53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261422624.377592</v>
      </c>
      <c r="K802" s="53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592462392.507109</v>
      </c>
      <c r="L802" s="53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719062119.848512</v>
      </c>
      <c r="M802" s="53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902680592.961983</v>
      </c>
      <c r="N802" s="53" t="n">
        <f aca="false">IF(COUNT('Business Case'!B11:G11)=0,"",H802+NPV(G802,I802:M802))</f>
        <v>-421139950.378574</v>
      </c>
      <c r="P802" s="54" t="n">
        <f aca="true">RAND()</f>
        <v>0.580872587325385</v>
      </c>
      <c r="Q802" s="54" t="n">
        <f aca="true">RAND()</f>
        <v>0.418597018317419</v>
      </c>
      <c r="R802" s="54" t="n">
        <f aca="true">RAND()</f>
        <v>0.749942934718874</v>
      </c>
      <c r="S802" s="54" t="n">
        <f aca="true">RAND()</f>
        <v>0.569625653424554</v>
      </c>
      <c r="T802" s="54" t="n">
        <f aca="true">RAND()</f>
        <v>0.407785564051294</v>
      </c>
      <c r="U802" s="54" t="n">
        <f aca="true">RAND()</f>
        <v>0.854035347033586</v>
      </c>
    </row>
    <row r="803" customFormat="false" ht="15" hidden="false" customHeight="false" outlineLevel="0" collapsed="false">
      <c r="A803" s="50" t="n">
        <v>723</v>
      </c>
      <c r="B803" s="51" t="n">
        <f aca="false">1+IF($G$6=$E$6,$F$6,IF(P803&lt;($F$6-$E$6)/($G$6-$E$6),$E$6+SQRT(P803*($G$6-$E$6)*($F$6-$E$6)),$G$6-SQRT((1-P803)*($G$6-$E$6)*($G$6-$F$6))))</f>
        <v>1.03044932049571</v>
      </c>
      <c r="C803" s="51" t="n">
        <f aca="false">1+IF($G$7=$E$7,$F$7,IF(Q803&lt;($F$7-$E$7)/($G$7-$E$7),$E$7+SQRT(Q803*($G$7-$E$7)*($F$7-$E$7)),$G$7-SQRT((1-Q803)*($G$7-$E$7)*($G$7-$F$7))))</f>
        <v>1.04586093468483</v>
      </c>
      <c r="D803" s="51" t="n">
        <f aca="false">1+IF($G$8=$E$8,$F$8,IF(R803&lt;($F$8-$E$8)/($G$8-$E$8),$E$8+SQRT(R803*($G$8-$E$8)*($F$8-$E$8)),$G$8-SQRT((1-R803)*($G$8-$E$8)*($G$8-$F$8))))</f>
        <v>1.04968828621998</v>
      </c>
      <c r="E803" s="51" t="n">
        <f aca="false">1+IF($G$9=$E$9,$F$9,IF(S803&lt;($F$9-$E$9)/($G$9-$E$9),$E$9+SQRT(S803*($G$9-$E$9)*($F$9-$E$9)),$G$9-SQRT((1-S803)*($G$9-$E$9)*($G$9-$F$9))))</f>
        <v>1.04830286007327</v>
      </c>
      <c r="F803" s="51" t="n">
        <f aca="false">1+IF($G$10=$E$10,$F$10,IF(T803&lt;($F$10-$E$10)/($G$10-$E$10),$E$10+SQRT(T803*($G$10-$E$10)*($F$10-$E$10)),$G$10-SQRT((1-T803)*($G$10-$E$10)*($G$10-$F$10))))</f>
        <v>1.10465090351197</v>
      </c>
      <c r="G803" s="52" t="n">
        <f aca="false">IF($G$11=$E$11,$F$11,IF(U803&lt;($F$11-$E$11)/($G$11-$E$11),$E$11+SQRT(U803*($G$11-$E$11)*($F$11-$E$11)),$G$11-SQRT((1-U803)*($G$11-$E$11)*($G$11-$F$11))))</f>
        <v>0.106671900378983</v>
      </c>
      <c r="H803" s="53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-2209301807.02394</v>
      </c>
      <c r="I803" s="53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5317206.22378571</v>
      </c>
      <c r="J803" s="53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326036484.283778</v>
      </c>
      <c r="K803" s="53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701988307.51937</v>
      </c>
      <c r="L803" s="53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846140276.727761</v>
      </c>
      <c r="M803" s="53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1050990764.26393</v>
      </c>
      <c r="N803" s="53" t="n">
        <f aca="false">IF(COUNT('Business Case'!B11:G11)=0,"",H803+NPV(G803,I803:M803))</f>
        <v>-223091204.429397</v>
      </c>
      <c r="P803" s="54" t="n">
        <f aca="true">RAND()</f>
        <v>0.980996775209657</v>
      </c>
      <c r="Q803" s="54" t="n">
        <f aca="true">RAND()</f>
        <v>0.793429620481572</v>
      </c>
      <c r="R803" s="54" t="n">
        <f aca="true">RAND()</f>
        <v>0.911653846895962</v>
      </c>
      <c r="S803" s="54" t="n">
        <f aca="true">RAND()</f>
        <v>0.821827048226392</v>
      </c>
      <c r="T803" s="54" t="n">
        <f aca="true">RAND()</f>
        <v>0.818170995978332</v>
      </c>
      <c r="U803" s="54" t="n">
        <f aca="true">RAND()</f>
        <v>0.703936267487058</v>
      </c>
    </row>
    <row r="804" customFormat="false" ht="15" hidden="false" customHeight="false" outlineLevel="0" collapsed="false">
      <c r="A804" s="50" t="n">
        <v>724</v>
      </c>
      <c r="B804" s="51" t="n">
        <f aca="false">1+IF($G$6=$E$6,$F$6,IF(P804&lt;($F$6-$E$6)/($G$6-$E$6),$E$6+SQRT(P804*($G$6-$E$6)*($F$6-$E$6)),$G$6-SQRT((1-P804)*($G$6-$E$6)*($G$6-$F$6))))</f>
        <v>0.979914286786952</v>
      </c>
      <c r="C804" s="51" t="n">
        <f aca="false">1+IF($G$7=$E$7,$F$7,IF(Q804&lt;($F$7-$E$7)/($G$7-$E$7),$E$7+SQRT(Q804*($G$7-$E$7)*($F$7-$E$7)),$G$7-SQRT((1-Q804)*($G$7-$E$7)*($G$7-$F$7))))</f>
        <v>0.962476826242474</v>
      </c>
      <c r="D804" s="51" t="n">
        <f aca="false">1+IF($G$8=$E$8,$F$8,IF(R804&lt;($F$8-$E$8)/($G$8-$E$8),$E$8+SQRT(R804*($G$8-$E$8)*($F$8-$E$8)),$G$8-SQRT((1-R804)*($G$8-$E$8)*($G$8-$F$8))))</f>
        <v>1.06171675227484</v>
      </c>
      <c r="E804" s="51" t="n">
        <f aca="false">1+IF($G$9=$E$9,$F$9,IF(S804&lt;($F$9-$E$9)/($G$9-$E$9),$E$9+SQRT(S804*($G$9-$E$9)*($F$9-$E$9)),$G$9-SQRT((1-S804)*($G$9-$E$9)*($G$9-$F$9))))</f>
        <v>1.01171363027174</v>
      </c>
      <c r="F804" s="51" t="n">
        <f aca="false">1+IF($G$10=$E$10,$F$10,IF(T804&lt;($F$10-$E$10)/($G$10-$E$10),$E$10+SQRT(T804*($G$10-$E$10)*($F$10-$E$10)),$G$10-SQRT((1-T804)*($G$10-$E$10)*($G$10-$F$10))))</f>
        <v>0.99402582760404</v>
      </c>
      <c r="G804" s="52" t="n">
        <f aca="false">IF($G$11=$E$11,$F$11,IF(U804&lt;($F$11-$E$11)/($G$11-$E$11),$E$11+SQRT(U804*($G$11-$E$11)*($F$11-$E$11)),$G$11-SQRT((1-U804)*($G$11-$E$11)*($G$11-$F$11))))</f>
        <v>0.105672864528946</v>
      </c>
      <c r="H804" s="53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-1988051655.20808</v>
      </c>
      <c r="I804" s="53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-42777063.4328841</v>
      </c>
      <c r="J804" s="53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206606760.17473</v>
      </c>
      <c r="K804" s="53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505691875.162545</v>
      </c>
      <c r="L804" s="53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621414900.402052</v>
      </c>
      <c r="M804" s="53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800687862.60538</v>
      </c>
      <c r="N804" s="53" t="n">
        <f aca="false">IF(COUNT('Business Case'!B11:G11)=0,"",H804+NPV(G804,I804:M804))</f>
        <v>-583291466.984323</v>
      </c>
      <c r="P804" s="54" t="n">
        <f aca="true">RAND()</f>
        <v>0.373929350123862</v>
      </c>
      <c r="Q804" s="54" t="n">
        <f aca="true">RAND()</f>
        <v>0.377124558083244</v>
      </c>
      <c r="R804" s="54" t="n">
        <f aca="true">RAND()</f>
        <v>0.967857966598112</v>
      </c>
      <c r="S804" s="54" t="n">
        <f aca="true">RAND()</f>
        <v>0.480367794680286</v>
      </c>
      <c r="T804" s="54" t="n">
        <f aca="true">RAND()</f>
        <v>0.155061879697649</v>
      </c>
      <c r="U804" s="54" t="n">
        <f aca="true">RAND()</f>
        <v>0.65788864865679</v>
      </c>
    </row>
    <row r="805" customFormat="false" ht="15" hidden="false" customHeight="false" outlineLevel="0" collapsed="false">
      <c r="A805" s="50" t="n">
        <v>725</v>
      </c>
      <c r="B805" s="51" t="n">
        <f aca="false">1+IF($G$6=$E$6,$F$6,IF(P805&lt;($F$6-$E$6)/($G$6-$E$6),$E$6+SQRT(P805*($G$6-$E$6)*($F$6-$E$6)),$G$6-SQRT((1-P805)*($G$6-$E$6)*($G$6-$F$6))))</f>
        <v>1.00861573227852</v>
      </c>
      <c r="C805" s="51" t="n">
        <f aca="false">1+IF($G$7=$E$7,$F$7,IF(Q805&lt;($F$7-$E$7)/($G$7-$E$7),$E$7+SQRT(Q805*($G$7-$E$7)*($F$7-$E$7)),$G$7-SQRT((1-Q805)*($G$7-$E$7)*($G$7-$F$7))))</f>
        <v>0.954763315094546</v>
      </c>
      <c r="D805" s="51" t="n">
        <f aca="false">1+IF($G$8=$E$8,$F$8,IF(R805&lt;($F$8-$E$8)/($G$8-$E$8),$E$8+SQRT(R805*($G$8-$E$8)*($F$8-$E$8)),$G$8-SQRT((1-R805)*($G$8-$E$8)*($G$8-$F$8))))</f>
        <v>0.97945923813387</v>
      </c>
      <c r="E805" s="51" t="n">
        <f aca="false">1+IF($G$9=$E$9,$F$9,IF(S805&lt;($F$9-$E$9)/($G$9-$E$9),$E$9+SQRT(S805*($G$9-$E$9)*($F$9-$E$9)),$G$9-SQRT((1-S805)*($G$9-$E$9)*($G$9-$F$9))))</f>
        <v>1.03167452518012</v>
      </c>
      <c r="F805" s="51" t="n">
        <f aca="false">1+IF($G$10=$E$10,$F$10,IF(T805&lt;($F$10-$E$10)/($G$10-$E$10),$E$10+SQRT(T805*($G$10-$E$10)*($F$10-$E$10)),$G$10-SQRT((1-T805)*($G$10-$E$10)*($G$10-$F$10))))</f>
        <v>1.01427825055111</v>
      </c>
      <c r="G805" s="52" t="n">
        <f aca="false">IF($G$11=$E$11,$F$11,IF(U805&lt;($F$11-$E$11)/($G$11-$E$11),$E$11+SQRT(U805*($G$11-$E$11)*($F$11-$E$11)),$G$11-SQRT((1-U805)*($G$11-$E$11)*($G$11-$F$11))))</f>
        <v>0.0929575026349911</v>
      </c>
      <c r="H805" s="53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-2028556501.10222</v>
      </c>
      <c r="I805" s="53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11981380.7896976</v>
      </c>
      <c r="J805" s="53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322016069.437837</v>
      </c>
      <c r="K805" s="53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682764670.613533</v>
      </c>
      <c r="L805" s="53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819390477.044725</v>
      </c>
      <c r="M805" s="53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1002435483.22803</v>
      </c>
      <c r="N805" s="53" t="n">
        <f aca="false">IF(COUNT('Business Case'!B11:G11)=0,"",H805+NPV(G805,I805:M805))</f>
        <v>-8106919.78772855</v>
      </c>
      <c r="P805" s="54" t="n">
        <f aca="true">RAND()</f>
        <v>0.79479744574722</v>
      </c>
      <c r="Q805" s="54" t="n">
        <f aca="true">RAND()</f>
        <v>0.342166909986482</v>
      </c>
      <c r="R805" s="54" t="n">
        <f aca="true">RAND()</f>
        <v>0.13351487868124</v>
      </c>
      <c r="S805" s="54" t="n">
        <f aca="true">RAND()</f>
        <v>0.688775299375852</v>
      </c>
      <c r="T805" s="54" t="n">
        <f aca="true">RAND()</f>
        <v>0.310148635632877</v>
      </c>
      <c r="U805" s="54" t="n">
        <f aca="true">RAND()</f>
        <v>0.0291560727865975</v>
      </c>
    </row>
    <row r="806" customFormat="false" ht="15" hidden="false" customHeight="false" outlineLevel="0" collapsed="false">
      <c r="A806" s="50" t="n">
        <v>726</v>
      </c>
      <c r="B806" s="51" t="n">
        <f aca="false">1+IF($G$6=$E$6,$F$6,IF(P806&lt;($F$6-$E$6)/($G$6-$E$6),$E$6+SQRT(P806*($G$6-$E$6)*($F$6-$E$6)),$G$6-SQRT((1-P806)*($G$6-$E$6)*($G$6-$F$6))))</f>
        <v>1.00518545633456</v>
      </c>
      <c r="C806" s="51" t="n">
        <f aca="false">1+IF($G$7=$E$7,$F$7,IF(Q806&lt;($F$7-$E$7)/($G$7-$E$7),$E$7+SQRT(Q806*($G$7-$E$7)*($F$7-$E$7)),$G$7-SQRT((1-Q806)*($G$7-$E$7)*($G$7-$F$7))))</f>
        <v>1.09652608909243</v>
      </c>
      <c r="D806" s="51" t="n">
        <f aca="false">1+IF($G$8=$E$8,$F$8,IF(R806&lt;($F$8-$E$8)/($G$8-$E$8),$E$8+SQRT(R806*($G$8-$E$8)*($F$8-$E$8)),$G$8-SQRT((1-R806)*($G$8-$E$8)*($G$8-$F$8))))</f>
        <v>1.05679669788165</v>
      </c>
      <c r="E806" s="51" t="n">
        <f aca="false">1+IF($G$9=$E$9,$F$9,IF(S806&lt;($F$9-$E$9)/($G$9-$E$9),$E$9+SQRT(S806*($G$9-$E$9)*($F$9-$E$9)),$G$9-SQRT((1-S806)*($G$9-$E$9)*($G$9-$F$9))))</f>
        <v>1.01629014105852</v>
      </c>
      <c r="F806" s="51" t="n">
        <f aca="false">1+IF($G$10=$E$10,$F$10,IF(T806&lt;($F$10-$E$10)/($G$10-$E$10),$E$10+SQRT(T806*($G$10-$E$10)*($F$10-$E$10)),$G$10-SQRT((1-T806)*($G$10-$E$10)*($G$10-$F$10))))</f>
        <v>1.00850158485642</v>
      </c>
      <c r="G806" s="52" t="n">
        <f aca="false">IF($G$11=$E$11,$F$11,IF(U806&lt;($F$11-$E$11)/($G$11-$E$11),$E$11+SQRT(U806*($G$11-$E$11)*($F$11-$E$11)),$G$11-SQRT((1-U806)*($G$11-$E$11)*($G$11-$F$11))))</f>
        <v>0.105962004943196</v>
      </c>
      <c r="H806" s="53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-2017003169.71283</v>
      </c>
      <c r="I806" s="53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7070227.47020631</v>
      </c>
      <c r="J806" s="53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316645745.569066</v>
      </c>
      <c r="K806" s="53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676646342.910747</v>
      </c>
      <c r="L806" s="53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817930631.666694</v>
      </c>
      <c r="M806" s="53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1027439103.30983</v>
      </c>
      <c r="N806" s="53" t="n">
        <f aca="false">IF(COUNT('Business Case'!B11:G11)=0,"",H806+NPV(G806,I806:M806))</f>
        <v>-83880416.0112393</v>
      </c>
      <c r="P806" s="54" t="n">
        <f aca="true">RAND()</f>
        <v>0.747489072784845</v>
      </c>
      <c r="Q806" s="54" t="n">
        <f aca="true">RAND()</f>
        <v>0.94553411147141</v>
      </c>
      <c r="R806" s="54" t="n">
        <f aca="true">RAND()</f>
        <v>0.94823142026965</v>
      </c>
      <c r="S806" s="54" t="n">
        <f aca="true">RAND()</f>
        <v>0.532843967733137</v>
      </c>
      <c r="T806" s="54" t="n">
        <f aca="true">RAND()</f>
        <v>0.266567139949902</v>
      </c>
      <c r="U806" s="54" t="n">
        <f aca="true">RAND()</f>
        <v>0.671557824641894</v>
      </c>
    </row>
    <row r="807" customFormat="false" ht="15" hidden="false" customHeight="false" outlineLevel="0" collapsed="false">
      <c r="A807" s="50" t="n">
        <v>727</v>
      </c>
      <c r="B807" s="51" t="n">
        <f aca="false">1+IF($G$6=$E$6,$F$6,IF(P807&lt;($F$6-$E$6)/($G$6-$E$6),$E$6+SQRT(P807*($G$6-$E$6)*($F$6-$E$6)),$G$6-SQRT((1-P807)*($G$6-$E$6)*($G$6-$F$6))))</f>
        <v>1.00362552474513</v>
      </c>
      <c r="C807" s="51" t="n">
        <f aca="false">1+IF($G$7=$E$7,$F$7,IF(Q807&lt;($F$7-$E$7)/($G$7-$E$7),$E$7+SQRT(Q807*($G$7-$E$7)*($F$7-$E$7)),$G$7-SQRT((1-Q807)*($G$7-$E$7)*($G$7-$F$7))))</f>
        <v>1.02748526776962</v>
      </c>
      <c r="D807" s="51" t="n">
        <f aca="false">1+IF($G$8=$E$8,$F$8,IF(R807&lt;($F$8-$E$8)/($G$8-$E$8),$E$8+SQRT(R807*($G$8-$E$8)*($F$8-$E$8)),$G$8-SQRT((1-R807)*($G$8-$E$8)*($G$8-$F$8))))</f>
        <v>0.996506955554093</v>
      </c>
      <c r="E807" s="51" t="n">
        <f aca="false">1+IF($G$9=$E$9,$F$9,IF(S807&lt;($F$9-$E$9)/($G$9-$E$9),$E$9+SQRT(S807*($G$9-$E$9)*($F$9-$E$9)),$G$9-SQRT((1-S807)*($G$9-$E$9)*($G$9-$F$9))))</f>
        <v>0.999333350031496</v>
      </c>
      <c r="F807" s="51" t="n">
        <f aca="false">1+IF($G$10=$E$10,$F$10,IF(T807&lt;($F$10-$E$10)/($G$10-$E$10),$E$10+SQRT(T807*($G$10-$E$10)*($F$10-$E$10)),$G$10-SQRT((1-T807)*($G$10-$E$10)*($G$10-$F$10))))</f>
        <v>1.03430208222635</v>
      </c>
      <c r="G807" s="52" t="n">
        <f aca="false">IF($G$11=$E$11,$F$11,IF(U807&lt;($F$11-$E$11)/($G$11-$E$11),$E$11+SQRT(U807*($G$11-$E$11)*($F$11-$E$11)),$G$11-SQRT((1-U807)*($G$11-$E$11)*($G$11-$F$11))))</f>
        <v>0.0977743579445936</v>
      </c>
      <c r="H807" s="53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-2068604164.4527</v>
      </c>
      <c r="I807" s="53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21489287.5712987</v>
      </c>
      <c r="J807" s="53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341971935.002871</v>
      </c>
      <c r="K807" s="53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714169686.54576</v>
      </c>
      <c r="L807" s="53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856635868.531724</v>
      </c>
      <c r="M807" s="53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1052648349.16331</v>
      </c>
      <c r="N807" s="53" t="n">
        <f aca="false">IF(COUNT('Business Case'!B11:G11)=0,"",H807+NPV(G807,I807:M807))</f>
        <v>24693749.0584672</v>
      </c>
      <c r="P807" s="54" t="n">
        <f aca="true">RAND()</f>
        <v>0.724353656235977</v>
      </c>
      <c r="Q807" s="54" t="n">
        <f aca="true">RAND()</f>
        <v>0.714097912124135</v>
      </c>
      <c r="R807" s="54" t="n">
        <f aca="true">RAND()</f>
        <v>0.332753371524677</v>
      </c>
      <c r="S807" s="54" t="n">
        <f aca="true">RAND()</f>
        <v>0.324503923377344</v>
      </c>
      <c r="T807" s="54" t="n">
        <f aca="true">RAND()</f>
        <v>0.450884000909539</v>
      </c>
      <c r="U807" s="54" t="n">
        <f aca="true">RAND()</f>
        <v>0.20146880483555</v>
      </c>
    </row>
    <row r="808" customFormat="false" ht="15" hidden="false" customHeight="false" outlineLevel="0" collapsed="false">
      <c r="A808" s="50" t="n">
        <v>728</v>
      </c>
      <c r="B808" s="51" t="n">
        <f aca="false">1+IF($G$6=$E$6,$F$6,IF(P808&lt;($F$6-$E$6)/($G$6-$E$6),$E$6+SQRT(P808*($G$6-$E$6)*($F$6-$E$6)),$G$6-SQRT((1-P808)*($G$6-$E$6)*($G$6-$F$6))))</f>
        <v>0.969808104806746</v>
      </c>
      <c r="C808" s="51" t="n">
        <f aca="false">1+IF($G$7=$E$7,$F$7,IF(Q808&lt;($F$7-$E$7)/($G$7-$E$7),$E$7+SQRT(Q808*($G$7-$E$7)*($F$7-$E$7)),$G$7-SQRT((1-Q808)*($G$7-$E$7)*($G$7-$F$7))))</f>
        <v>0.876194487361447</v>
      </c>
      <c r="D808" s="51" t="n">
        <f aca="false">1+IF($G$8=$E$8,$F$8,IF(R808&lt;($F$8-$E$8)/($G$8-$E$8),$E$8+SQRT(R808*($G$8-$E$8)*($F$8-$E$8)),$G$8-SQRT((1-R808)*($G$8-$E$8)*($G$8-$F$8))))</f>
        <v>0.985521101851718</v>
      </c>
      <c r="E808" s="51" t="n">
        <f aca="false">1+IF($G$9=$E$9,$F$9,IF(S808&lt;($F$9-$E$9)/($G$9-$E$9),$E$9+SQRT(S808*($G$9-$E$9)*($F$9-$E$9)),$G$9-SQRT((1-S808)*($G$9-$E$9)*($G$9-$F$9))))</f>
        <v>1.05029188292251</v>
      </c>
      <c r="F808" s="51" t="n">
        <f aca="false">1+IF($G$10=$E$10,$F$10,IF(T808&lt;($F$10-$E$10)/($G$10-$E$10),$E$10+SQRT(T808*($G$10-$E$10)*($F$10-$E$10)),$G$10-SQRT((1-T808)*($G$10-$E$10)*($G$10-$F$10))))</f>
        <v>0.997533940329295</v>
      </c>
      <c r="G808" s="52" t="n">
        <f aca="false">IF($G$11=$E$11,$F$11,IF(U808&lt;($F$11-$E$11)/($G$11-$E$11),$E$11+SQRT(U808*($G$11-$E$11)*($F$11-$E$11)),$G$11-SQRT((1-U808)*($G$11-$E$11)*($G$11-$F$11))))</f>
        <v>0.106885887793032</v>
      </c>
      <c r="H808" s="53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-1995067880.65859</v>
      </c>
      <c r="I808" s="53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-39203880.3408202</v>
      </c>
      <c r="J808" s="53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214747687.4124</v>
      </c>
      <c r="K808" s="53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518575952.182085</v>
      </c>
      <c r="L808" s="53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632593506.972844</v>
      </c>
      <c r="M808" s="53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794112184.107786</v>
      </c>
      <c r="N808" s="53" t="n">
        <f aca="false">IF(COUNT('Business Case'!B11:G11)=0,"",H808+NPV(G808,I808:M808))</f>
        <v>-573470414.032999</v>
      </c>
      <c r="P808" s="54" t="n">
        <f aca="true">RAND()</f>
        <v>0.258421594212481</v>
      </c>
      <c r="Q808" s="54" t="n">
        <f aca="true">RAND()</f>
        <v>0.0829371414896232</v>
      </c>
      <c r="R808" s="54" t="n">
        <f aca="true">RAND()</f>
        <v>0.194115181040015</v>
      </c>
      <c r="S808" s="54" t="n">
        <f aca="true">RAND()</f>
        <v>0.835273539774043</v>
      </c>
      <c r="T808" s="54" t="n">
        <f aca="true">RAND()</f>
        <v>0.180758038658315</v>
      </c>
      <c r="U808" s="54" t="n">
        <f aca="true">RAND()</f>
        <v>0.713366768371774</v>
      </c>
    </row>
    <row r="809" customFormat="false" ht="15" hidden="false" customHeight="false" outlineLevel="0" collapsed="false">
      <c r="A809" s="50" t="n">
        <v>729</v>
      </c>
      <c r="B809" s="51" t="n">
        <f aca="false">1+IF($G$6=$E$6,$F$6,IF(P809&lt;($F$6-$E$6)/($G$6-$E$6),$E$6+SQRT(P809*($G$6-$E$6)*($F$6-$E$6)),$G$6-SQRT((1-P809)*($G$6-$E$6)*($G$6-$F$6))))</f>
        <v>0.975817007372091</v>
      </c>
      <c r="C809" s="51" t="n">
        <f aca="false">1+IF($G$7=$E$7,$F$7,IF(Q809&lt;($F$7-$E$7)/($G$7-$E$7),$E$7+SQRT(Q809*($G$7-$E$7)*($F$7-$E$7)),$G$7-SQRT((1-Q809)*($G$7-$E$7)*($G$7-$F$7))))</f>
        <v>0.88708241967468</v>
      </c>
      <c r="D809" s="51" t="n">
        <f aca="false">1+IF($G$8=$E$8,$F$8,IF(R809&lt;($F$8-$E$8)/($G$8-$E$8),$E$8+SQRT(R809*($G$8-$E$8)*($F$8-$E$8)),$G$8-SQRT((1-R809)*($G$8-$E$8)*($G$8-$F$8))))</f>
        <v>1.03154099534277</v>
      </c>
      <c r="E809" s="51" t="n">
        <f aca="false">1+IF($G$9=$E$9,$F$9,IF(S809&lt;($F$9-$E$9)/($G$9-$E$9),$E$9+SQRT(S809*($G$9-$E$9)*($F$9-$E$9)),$G$9-SQRT((1-S809)*($G$9-$E$9)*($G$9-$F$9))))</f>
        <v>1.07004836701736</v>
      </c>
      <c r="F809" s="51" t="n">
        <f aca="false">1+IF($G$10=$E$10,$F$10,IF(T809&lt;($F$10-$E$10)/($G$10-$E$10),$E$10+SQRT(T809*($G$10-$E$10)*($F$10-$E$10)),$G$10-SQRT((1-T809)*($G$10-$E$10)*($G$10-$F$10))))</f>
        <v>0.959144593693022</v>
      </c>
      <c r="G809" s="52" t="n">
        <f aca="false">IF($G$11=$E$11,$F$11,IF(U809&lt;($F$11-$E$11)/($G$11-$E$11),$E$11+SQRT(U809*($G$11-$E$11)*($F$11-$E$11)),$G$11-SQRT((1-U809)*($G$11-$E$11)*($G$11-$F$11))))</f>
        <v>0.108648849382661</v>
      </c>
      <c r="H809" s="53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-1918289187.38604</v>
      </c>
      <c r="I809" s="53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-52374693.7299441</v>
      </c>
      <c r="J809" s="53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188200214.708439</v>
      </c>
      <c r="K809" s="53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476732352.831474</v>
      </c>
      <c r="L809" s="53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586840165.650372</v>
      </c>
      <c r="M809" s="53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751379137.350612</v>
      </c>
      <c r="N809" s="53" t="n">
        <f aca="false">IF(COUNT('Business Case'!B11:G11)=0,"",H809+NPV(G809,I809:M809))</f>
        <v>-625463866.723917</v>
      </c>
      <c r="P809" s="54" t="n">
        <f aca="true">RAND()</f>
        <v>0.32453524083084</v>
      </c>
      <c r="Q809" s="54" t="n">
        <f aca="true">RAND()</f>
        <v>0.108333540234245</v>
      </c>
      <c r="R809" s="54" t="n">
        <f aca="true">RAND()</f>
        <v>0.774204314195282</v>
      </c>
      <c r="S809" s="54" t="n">
        <f aca="true">RAND()</f>
        <v>0.940193312111565</v>
      </c>
      <c r="T809" s="54" t="n">
        <f aca="true">RAND()</f>
        <v>0.00668988750483691</v>
      </c>
      <c r="U809" s="54" t="n">
        <f aca="true">RAND()</f>
        <v>0.785252299437488</v>
      </c>
    </row>
    <row r="810" customFormat="false" ht="15" hidden="false" customHeight="false" outlineLevel="0" collapsed="false">
      <c r="A810" s="50" t="n">
        <v>730</v>
      </c>
      <c r="B810" s="51" t="n">
        <f aca="false">1+IF($G$6=$E$6,$F$6,IF(P810&lt;($F$6-$E$6)/($G$6-$E$6),$E$6+SQRT(P810*($G$6-$E$6)*($F$6-$E$6)),$G$6-SQRT((1-P810)*($G$6-$E$6)*($G$6-$F$6))))</f>
        <v>0.946670649280543</v>
      </c>
      <c r="C810" s="51" t="n">
        <f aca="false">1+IF($G$7=$E$7,$F$7,IF(Q810&lt;($F$7-$E$7)/($G$7-$E$7),$E$7+SQRT(Q810*($G$7-$E$7)*($F$7-$E$7)),$G$7-SQRT((1-Q810)*($G$7-$E$7)*($G$7-$F$7))))</f>
        <v>0.994541768262391</v>
      </c>
      <c r="D810" s="51" t="n">
        <f aca="false">1+IF($G$8=$E$8,$F$8,IF(R810&lt;($F$8-$E$8)/($G$8-$E$8),$E$8+SQRT(R810*($G$8-$E$8)*($F$8-$E$8)),$G$8-SQRT((1-R810)*($G$8-$E$8)*($G$8-$F$8))))</f>
        <v>1.03047593722186</v>
      </c>
      <c r="E810" s="51" t="n">
        <f aca="false">1+IF($G$9=$E$9,$F$9,IF(S810&lt;($F$9-$E$9)/($G$9-$E$9),$E$9+SQRT(S810*($G$9-$E$9)*($F$9-$E$9)),$G$9-SQRT((1-S810)*($G$9-$E$9)*($G$9-$F$9))))</f>
        <v>1.0113573562723</v>
      </c>
      <c r="F810" s="51" t="n">
        <f aca="false">1+IF($G$10=$E$10,$F$10,IF(T810&lt;($F$10-$E$10)/($G$10-$E$10),$E$10+SQRT(T810*($G$10-$E$10)*($F$10-$E$10)),$G$10-SQRT((1-T810)*($G$10-$E$10)*($G$10-$F$10))))</f>
        <v>1.0167911333493</v>
      </c>
      <c r="G810" s="52" t="n">
        <f aca="false">IF($G$11=$E$11,$F$11,IF(U810&lt;($F$11-$E$11)/($G$11-$E$11),$E$11+SQRT(U810*($G$11-$E$11)*($F$11-$E$11)),$G$11-SQRT((1-U810)*($G$11-$E$11)*($G$11-$F$11))))</f>
        <v>0.0976740939456869</v>
      </c>
      <c r="H810" s="53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-2033582266.69859</v>
      </c>
      <c r="I810" s="53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-47784423.5343159</v>
      </c>
      <c r="J810" s="53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198732823.845853</v>
      </c>
      <c r="K810" s="53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496089627.893486</v>
      </c>
      <c r="L810" s="53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610800404.698632</v>
      </c>
      <c r="M810" s="53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789761390.263291</v>
      </c>
      <c r="N810" s="53" t="n">
        <f aca="false">IF(COUNT('Business Case'!B11:G11)=0,"",H810+NPV(G810,I810:M810))</f>
        <v>-620752817.659229</v>
      </c>
      <c r="P810" s="54" t="n">
        <f aca="true">RAND()</f>
        <v>0.074096201358929</v>
      </c>
      <c r="Q810" s="54" t="n">
        <f aca="true">RAND()</f>
        <v>0.540664279980824</v>
      </c>
      <c r="R810" s="54" t="n">
        <f aca="true">RAND()</f>
        <v>0.764169923648747</v>
      </c>
      <c r="S810" s="54" t="n">
        <f aca="true">RAND()</f>
        <v>0.476165447530899</v>
      </c>
      <c r="T810" s="54" t="n">
        <f aca="true">RAND()</f>
        <v>0.328690223611294</v>
      </c>
      <c r="U810" s="54" t="n">
        <f aca="true">RAND()</f>
        <v>0.196305726290759</v>
      </c>
    </row>
    <row r="811" customFormat="false" ht="15" hidden="false" customHeight="false" outlineLevel="0" collapsed="false">
      <c r="A811" s="50" t="n">
        <v>731</v>
      </c>
      <c r="B811" s="51" t="n">
        <f aca="false">1+IF($G$6=$E$6,$F$6,IF(P811&lt;($F$6-$E$6)/($G$6-$E$6),$E$6+SQRT(P811*($G$6-$E$6)*($F$6-$E$6)),$G$6-SQRT((1-P811)*($G$6-$E$6)*($G$6-$F$6))))</f>
        <v>0.976607353886337</v>
      </c>
      <c r="C811" s="51" t="n">
        <f aca="false">1+IF($G$7=$E$7,$F$7,IF(Q811&lt;($F$7-$E$7)/($G$7-$E$7),$E$7+SQRT(Q811*($G$7-$E$7)*($F$7-$E$7)),$G$7-SQRT((1-Q811)*($G$7-$E$7)*($G$7-$F$7))))</f>
        <v>1.02031428317439</v>
      </c>
      <c r="D811" s="51" t="n">
        <f aca="false">1+IF($G$8=$E$8,$F$8,IF(R811&lt;($F$8-$E$8)/($G$8-$E$8),$E$8+SQRT(R811*($G$8-$E$8)*($F$8-$E$8)),$G$8-SQRT((1-R811)*($G$8-$E$8)*($G$8-$F$8))))</f>
        <v>0.968740573497864</v>
      </c>
      <c r="E811" s="51" t="n">
        <f aca="false">1+IF($G$9=$E$9,$F$9,IF(S811&lt;($F$9-$E$9)/($G$9-$E$9),$E$9+SQRT(S811*($G$9-$E$9)*($F$9-$E$9)),$G$9-SQRT((1-S811)*($G$9-$E$9)*($G$9-$F$9))))</f>
        <v>1.00161265787263</v>
      </c>
      <c r="F811" s="51" t="n">
        <f aca="false">1+IF($G$10=$E$10,$F$10,IF(T811&lt;($F$10-$E$10)/($G$10-$E$10),$E$10+SQRT(T811*($G$10-$E$10)*($F$10-$E$10)),$G$10-SQRT((1-T811)*($G$10-$E$10)*($G$10-$F$10))))</f>
        <v>1.12070316281674</v>
      </c>
      <c r="G811" s="52" t="n">
        <f aca="false">IF($G$11=$E$11,$F$11,IF(U811&lt;($F$11-$E$11)/($G$11-$E$11),$E$11+SQRT(U811*($G$11-$E$11)*($F$11-$E$11)),$G$11-SQRT((1-U811)*($G$11-$E$11)*($G$11-$F$11))))</f>
        <v>0.115850754956396</v>
      </c>
      <c r="H811" s="53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-2241406325.63349</v>
      </c>
      <c r="I811" s="53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4014066.40277381</v>
      </c>
      <c r="J811" s="53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314183552.08317</v>
      </c>
      <c r="K811" s="53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680388195.904403</v>
      </c>
      <c r="L811" s="53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818215213.162175</v>
      </c>
      <c r="M811" s="53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1007619750.9992</v>
      </c>
      <c r="N811" s="53" t="n">
        <f aca="false">IF(COUNT('Business Case'!B11:G11)=0,"",H811+NPV(G811,I811:M811))</f>
        <v>-385540189.081838</v>
      </c>
      <c r="P811" s="54" t="n">
        <f aca="true">RAND()</f>
        <v>0.333790886876347</v>
      </c>
      <c r="Q811" s="54" t="n">
        <f aca="true">RAND()</f>
        <v>0.679649806693876</v>
      </c>
      <c r="R811" s="54" t="n">
        <f aca="true">RAND()</f>
        <v>0.0540321684659779</v>
      </c>
      <c r="S811" s="54" t="n">
        <f aca="true">RAND()</f>
        <v>0.354662060607486</v>
      </c>
      <c r="T811" s="54" t="n">
        <f aca="true">RAND()</f>
        <v>0.874240232254638</v>
      </c>
      <c r="U811" s="54" t="n">
        <f aca="true">RAND()</f>
        <v>0.971306275946873</v>
      </c>
    </row>
    <row r="812" customFormat="false" ht="15" hidden="false" customHeight="false" outlineLevel="0" collapsed="false">
      <c r="A812" s="50" t="n">
        <v>732</v>
      </c>
      <c r="B812" s="51" t="n">
        <f aca="false">1+IF($G$6=$E$6,$F$6,IF(P812&lt;($F$6-$E$6)/($G$6-$E$6),$E$6+SQRT(P812*($G$6-$E$6)*($F$6-$E$6)),$G$6-SQRT((1-P812)*($G$6-$E$6)*($G$6-$F$6))))</f>
        <v>0.936206391036728</v>
      </c>
      <c r="C812" s="51" t="n">
        <f aca="false">1+IF($G$7=$E$7,$F$7,IF(Q812&lt;($F$7-$E$7)/($G$7-$E$7),$E$7+SQRT(Q812*($G$7-$E$7)*($F$7-$E$7)),$G$7-SQRT((1-Q812)*($G$7-$E$7)*($G$7-$F$7))))</f>
        <v>0.925804135090455</v>
      </c>
      <c r="D812" s="51" t="n">
        <f aca="false">1+IF($G$8=$E$8,$F$8,IF(R812&lt;($F$8-$E$8)/($G$8-$E$8),$E$8+SQRT(R812*($G$8-$E$8)*($F$8-$E$8)),$G$8-SQRT((1-R812)*($G$8-$E$8)*($G$8-$F$8))))</f>
        <v>1.03954092631882</v>
      </c>
      <c r="E812" s="51" t="n">
        <f aca="false">1+IF($G$9=$E$9,$F$9,IF(S812&lt;($F$9-$E$9)/($G$9-$E$9),$E$9+SQRT(S812*($G$9-$E$9)*($F$9-$E$9)),$G$9-SQRT((1-S812)*($G$9-$E$9)*($G$9-$F$9))))</f>
        <v>1.01173381424879</v>
      </c>
      <c r="F812" s="51" t="n">
        <f aca="false">1+IF($G$10=$E$10,$F$10,IF(T812&lt;($F$10-$E$10)/($G$10-$E$10),$E$10+SQRT(T812*($G$10-$E$10)*($F$10-$E$10)),$G$10-SQRT((1-T812)*($G$10-$E$10)*($G$10-$F$10))))</f>
        <v>1.02648578189633</v>
      </c>
      <c r="G812" s="52" t="n">
        <f aca="false">IF($G$11=$E$11,$F$11,IF(U812&lt;($F$11-$E$11)/($G$11-$E$11),$E$11+SQRT(U812*($G$11-$E$11)*($F$11-$E$11)),$G$11-SQRT((1-U812)*($G$11-$E$11)*($G$11-$F$11))))</f>
        <v>0.107375450235192</v>
      </c>
      <c r="H812" s="53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-2052971563.79265</v>
      </c>
      <c r="I812" s="53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-74201173.8642596</v>
      </c>
      <c r="J812" s="53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143046774.749828</v>
      </c>
      <c r="K812" s="53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411619012.458732</v>
      </c>
      <c r="L812" s="53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513989659.265118</v>
      </c>
      <c r="M812" s="53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678740310.907752</v>
      </c>
      <c r="N812" s="53" t="n">
        <f aca="false">IF(COUNT('Business Case'!B11:G11)=0,"",H812+NPV(G812,I812:M812))</f>
        <v>-950812140.9511</v>
      </c>
      <c r="P812" s="54" t="n">
        <f aca="true">RAND()</f>
        <v>0.0273590740036796</v>
      </c>
      <c r="Q812" s="54" t="n">
        <f aca="true">RAND()</f>
        <v>0.226095434369394</v>
      </c>
      <c r="R812" s="54" t="n">
        <f aca="true">RAND()</f>
        <v>0.842602245851968</v>
      </c>
      <c r="S812" s="54" t="n">
        <f aca="true">RAND()</f>
        <v>0.480605363528889</v>
      </c>
      <c r="T812" s="54" t="n">
        <f aca="true">RAND()</f>
        <v>0.397856322317405</v>
      </c>
      <c r="U812" s="54" t="n">
        <f aca="true">RAND()</f>
        <v>0.73436790539316</v>
      </c>
    </row>
    <row r="813" customFormat="false" ht="15" hidden="false" customHeight="false" outlineLevel="0" collapsed="false">
      <c r="A813" s="50" t="n">
        <v>733</v>
      </c>
      <c r="B813" s="51" t="n">
        <f aca="false">1+IF($G$6=$E$6,$F$6,IF(P813&lt;($F$6-$E$6)/($G$6-$E$6),$E$6+SQRT(P813*($G$6-$E$6)*($F$6-$E$6)),$G$6-SQRT((1-P813)*($G$6-$E$6)*($G$6-$F$6))))</f>
        <v>0.98323547929658</v>
      </c>
      <c r="C813" s="51" t="n">
        <f aca="false">1+IF($G$7=$E$7,$F$7,IF(Q813&lt;($F$7-$E$7)/($G$7-$E$7),$E$7+SQRT(Q813*($G$7-$E$7)*($F$7-$E$7)),$G$7-SQRT((1-Q813)*($G$7-$E$7)*($G$7-$F$7))))</f>
        <v>0.982893830031382</v>
      </c>
      <c r="D813" s="51" t="n">
        <f aca="false">1+IF($G$8=$E$8,$F$8,IF(R813&lt;($F$8-$E$8)/($G$8-$E$8),$E$8+SQRT(R813*($G$8-$E$8)*($F$8-$E$8)),$G$8-SQRT((1-R813)*($G$8-$E$8)*($G$8-$F$8))))</f>
        <v>0.994792293736126</v>
      </c>
      <c r="E813" s="51" t="n">
        <f aca="false">1+IF($G$9=$E$9,$F$9,IF(S813&lt;($F$9-$E$9)/($G$9-$E$9),$E$9+SQRT(S813*($G$9-$E$9)*($F$9-$E$9)),$G$9-SQRT((1-S813)*($G$9-$E$9)*($G$9-$F$9))))</f>
        <v>0.995278447429653</v>
      </c>
      <c r="F813" s="51" t="n">
        <f aca="false">1+IF($G$10=$E$10,$F$10,IF(T813&lt;($F$10-$E$10)/($G$10-$E$10),$E$10+SQRT(T813*($G$10-$E$10)*($F$10-$E$10)),$G$10-SQRT((1-T813)*($G$10-$E$10)*($G$10-$F$10))))</f>
        <v>1.01357731883191</v>
      </c>
      <c r="G813" s="52" t="n">
        <f aca="false">IF($G$11=$E$11,$F$11,IF(U813&lt;($F$11-$E$11)/($G$11-$E$11),$E$11+SQRT(U813*($G$11-$E$11)*($F$11-$E$11)),$G$11-SQRT((1-U813)*($G$11-$E$11)*($G$11-$F$11))))</f>
        <v>0.104965463121375</v>
      </c>
      <c r="H813" s="53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-2027154637.66381</v>
      </c>
      <c r="I813" s="53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-1963664.87463632</v>
      </c>
      <c r="J813" s="53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289058007.260209</v>
      </c>
      <c r="K813" s="53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630758545.336649</v>
      </c>
      <c r="L813" s="53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761165109.316126</v>
      </c>
      <c r="M813" s="53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944861478.956038</v>
      </c>
      <c r="N813" s="53" t="n">
        <f aca="false">IF(COUNT('Business Case'!B11:G11)=0,"",H813+NPV(G813,I813:M813))</f>
        <v>-240420678.745298</v>
      </c>
      <c r="P813" s="54" t="n">
        <f aca="true">RAND()</f>
        <v>0.416533941861267</v>
      </c>
      <c r="Q813" s="54" t="n">
        <f aca="true">RAND()</f>
        <v>0.477859329479259</v>
      </c>
      <c r="R813" s="54" t="n">
        <f aca="true">RAND()</f>
        <v>0.308669165868214</v>
      </c>
      <c r="S813" s="54" t="n">
        <f aca="true">RAND()</f>
        <v>0.273351706885312</v>
      </c>
      <c r="T813" s="54" t="n">
        <f aca="true">RAND()</f>
        <v>0.304931678921981</v>
      </c>
      <c r="U813" s="54" t="n">
        <f aca="true">RAND()</f>
        <v>0.623271168075453</v>
      </c>
    </row>
    <row r="814" customFormat="false" ht="15" hidden="false" customHeight="false" outlineLevel="0" collapsed="false">
      <c r="A814" s="50" t="n">
        <v>734</v>
      </c>
      <c r="B814" s="51" t="n">
        <f aca="false">1+IF($G$6=$E$6,$F$6,IF(P814&lt;($F$6-$E$6)/($G$6-$E$6),$E$6+SQRT(P814*($G$6-$E$6)*($F$6-$E$6)),$G$6-SQRT((1-P814)*($G$6-$E$6)*($G$6-$F$6))))</f>
        <v>0.98927172579394</v>
      </c>
      <c r="C814" s="51" t="n">
        <f aca="false">1+IF($G$7=$E$7,$F$7,IF(Q814&lt;($F$7-$E$7)/($G$7-$E$7),$E$7+SQRT(Q814*($G$7-$E$7)*($F$7-$E$7)),$G$7-SQRT((1-Q814)*($G$7-$E$7)*($G$7-$F$7))))</f>
        <v>1.03990534565203</v>
      </c>
      <c r="D814" s="51" t="n">
        <f aca="false">1+IF($G$8=$E$8,$F$8,IF(R814&lt;($F$8-$E$8)/($G$8-$E$8),$E$8+SQRT(R814*($G$8-$E$8)*($F$8-$E$8)),$G$8-SQRT((1-R814)*($G$8-$E$8)*($G$8-$F$8))))</f>
        <v>0.987102562506672</v>
      </c>
      <c r="E814" s="51" t="n">
        <f aca="false">1+IF($G$9=$E$9,$F$9,IF(S814&lt;($F$9-$E$9)/($G$9-$E$9),$E$9+SQRT(S814*($G$9-$E$9)*($F$9-$E$9)),$G$9-SQRT((1-S814)*($G$9-$E$9)*($G$9-$F$9))))</f>
        <v>1.02105925660331</v>
      </c>
      <c r="F814" s="51" t="n">
        <f aca="false">1+IF($G$10=$E$10,$F$10,IF(T814&lt;($F$10-$E$10)/($G$10-$E$10),$E$10+SQRT(T814*($G$10-$E$10)*($F$10-$E$10)),$G$10-SQRT((1-T814)*($G$10-$E$10)*($G$10-$F$10))))</f>
        <v>1.02803754443687</v>
      </c>
      <c r="G814" s="52" t="n">
        <f aca="false">IF($G$11=$E$11,$F$11,IF(U814&lt;($F$11-$E$11)/($G$11-$E$11),$E$11+SQRT(U814*($G$11-$E$11)*($F$11-$E$11)),$G$11-SQRT((1-U814)*($G$11-$E$11)*($G$11-$F$11))))</f>
        <v>0.0966520532239833</v>
      </c>
      <c r="H814" s="53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-2056075088.87375</v>
      </c>
      <c r="I814" s="53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15808323.195266</v>
      </c>
      <c r="J814" s="53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332945372.999945</v>
      </c>
      <c r="K814" s="53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701484300.026467</v>
      </c>
      <c r="L814" s="53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842750213.879183</v>
      </c>
      <c r="M814" s="53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1038294815.42721</v>
      </c>
      <c r="N814" s="53" t="n">
        <f aca="false">IF(COUNT('Business Case'!B11:G11)=0,"",H814+NPV(G814,I814:M814))</f>
        <v>4332971.23437858</v>
      </c>
      <c r="P814" s="54" t="n">
        <f aca="true">RAND()</f>
        <v>0.499851249424047</v>
      </c>
      <c r="Q814" s="54" t="n">
        <f aca="true">RAND()</f>
        <v>0.769126992076199</v>
      </c>
      <c r="R814" s="54" t="n">
        <f aca="true">RAND()</f>
        <v>0.211784637624851</v>
      </c>
      <c r="S814" s="54" t="n">
        <f aca="true">RAND()</f>
        <v>0.584557268798571</v>
      </c>
      <c r="T814" s="54" t="n">
        <f aca="true">RAND()</f>
        <v>0.40857827753399</v>
      </c>
      <c r="U814" s="54" t="n">
        <f aca="true">RAND()</f>
        <v>0.14749937364902</v>
      </c>
    </row>
    <row r="815" customFormat="false" ht="15" hidden="false" customHeight="false" outlineLevel="0" collapsed="false">
      <c r="A815" s="50" t="n">
        <v>735</v>
      </c>
      <c r="B815" s="51" t="n">
        <f aca="false">1+IF($G$6=$E$6,$F$6,IF(P815&lt;($F$6-$E$6)/($G$6-$E$6),$E$6+SQRT(P815*($G$6-$E$6)*($F$6-$E$6)),$G$6-SQRT((1-P815)*($G$6-$E$6)*($G$6-$F$6))))</f>
        <v>0.983598755290093</v>
      </c>
      <c r="C815" s="51" t="n">
        <f aca="false">1+IF($G$7=$E$7,$F$7,IF(Q815&lt;($F$7-$E$7)/($G$7-$E$7),$E$7+SQRT(Q815*($G$7-$E$7)*($F$7-$E$7)),$G$7-SQRT((1-Q815)*($G$7-$E$7)*($G$7-$F$7))))</f>
        <v>1.10727454596864</v>
      </c>
      <c r="D815" s="51" t="n">
        <f aca="false">1+IF($G$8=$E$8,$F$8,IF(R815&lt;($F$8-$E$8)/($G$8-$E$8),$E$8+SQRT(R815*($G$8-$E$8)*($F$8-$E$8)),$G$8-SQRT((1-R815)*($G$8-$E$8)*($G$8-$F$8))))</f>
        <v>1.00945519840255</v>
      </c>
      <c r="E815" s="51" t="n">
        <f aca="false">1+IF($G$9=$E$9,$F$9,IF(S815&lt;($F$9-$E$9)/($G$9-$E$9),$E$9+SQRT(S815*($G$9-$E$9)*($F$9-$E$9)),$G$9-SQRT((1-S815)*($G$9-$E$9)*($G$9-$F$9))))</f>
        <v>1.06066660546477</v>
      </c>
      <c r="F815" s="51" t="n">
        <f aca="false">1+IF($G$10=$E$10,$F$10,IF(T815&lt;($F$10-$E$10)/($G$10-$E$10),$E$10+SQRT(T815*($G$10-$E$10)*($F$10-$E$10)),$G$10-SQRT((1-T815)*($G$10-$E$10)*($G$10-$F$10))))</f>
        <v>1.02378895337182</v>
      </c>
      <c r="G815" s="52" t="n">
        <f aca="false">IF($G$11=$E$11,$F$11,IF(U815&lt;($F$11-$E$11)/($G$11-$E$11),$E$11+SQRT(U815*($G$11-$E$11)*($F$11-$E$11)),$G$11-SQRT((1-U815)*($G$11-$E$11)*($G$11-$F$11))))</f>
        <v>0.1054758217385</v>
      </c>
      <c r="H815" s="53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-2047577906.74365</v>
      </c>
      <c r="I815" s="53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10201790.0973029</v>
      </c>
      <c r="J815" s="53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330068929.599766</v>
      </c>
      <c r="K815" s="53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701125516.770819</v>
      </c>
      <c r="L815" s="53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845387671.785565</v>
      </c>
      <c r="M815" s="53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1052406435.27882</v>
      </c>
      <c r="N815" s="53" t="n">
        <f aca="false">IF(COUNT('Business Case'!B11:G11)=0,"",H815+NPV(G815,I815:M815))</f>
        <v>-45791706.9420247</v>
      </c>
      <c r="P815" s="54" t="n">
        <f aca="true">RAND()</f>
        <v>0.421333507755116</v>
      </c>
      <c r="Q815" s="54" t="n">
        <f aca="true">RAND()</f>
        <v>0.965229249101221</v>
      </c>
      <c r="R815" s="54" t="n">
        <f aca="true">RAND()</f>
        <v>0.521483746882414</v>
      </c>
      <c r="S815" s="54" t="n">
        <f aca="true">RAND()</f>
        <v>0.896858938289051</v>
      </c>
      <c r="T815" s="54" t="n">
        <f aca="true">RAND()</f>
        <v>0.378993340924053</v>
      </c>
      <c r="U815" s="54" t="n">
        <f aca="true">RAND()</f>
        <v>0.648413743046946</v>
      </c>
    </row>
    <row r="816" customFormat="false" ht="15" hidden="false" customHeight="false" outlineLevel="0" collapsed="false">
      <c r="A816" s="50" t="n">
        <v>736</v>
      </c>
      <c r="B816" s="51" t="n">
        <f aca="false">1+IF($G$6=$E$6,$F$6,IF(P816&lt;($F$6-$E$6)/($G$6-$E$6),$E$6+SQRT(P816*($G$6-$E$6)*($F$6-$E$6)),$G$6-SQRT((1-P816)*($G$6-$E$6)*($G$6-$F$6))))</f>
        <v>0.987043451230424</v>
      </c>
      <c r="C816" s="51" t="n">
        <f aca="false">1+IF($G$7=$E$7,$F$7,IF(Q816&lt;($F$7-$E$7)/($G$7-$E$7),$E$7+SQRT(Q816*($G$7-$E$7)*($F$7-$E$7)),$G$7-SQRT((1-Q816)*($G$7-$E$7)*($G$7-$F$7))))</f>
        <v>0.917733885768453</v>
      </c>
      <c r="D816" s="51" t="n">
        <f aca="false">1+IF($G$8=$E$8,$F$8,IF(R816&lt;($F$8-$E$8)/($G$8-$E$8),$E$8+SQRT(R816*($G$8-$E$8)*($F$8-$E$8)),$G$8-SQRT((1-R816)*($G$8-$E$8)*($G$8-$F$8))))</f>
        <v>1.03210800378038</v>
      </c>
      <c r="E816" s="51" t="n">
        <f aca="false">1+IF($G$9=$E$9,$F$9,IF(S816&lt;($F$9-$E$9)/($G$9-$E$9),$E$9+SQRT(S816*($G$9-$E$9)*($F$9-$E$9)),$G$9-SQRT((1-S816)*($G$9-$E$9)*($G$9-$F$9))))</f>
        <v>1.02551582141036</v>
      </c>
      <c r="F816" s="51" t="n">
        <f aca="false">1+IF($G$10=$E$10,$F$10,IF(T816&lt;($F$10-$E$10)/($G$10-$E$10),$E$10+SQRT(T816*($G$10-$E$10)*($F$10-$E$10)),$G$10-SQRT((1-T816)*($G$10-$E$10)*($G$10-$F$10))))</f>
        <v>1.04132751819251</v>
      </c>
      <c r="G816" s="52" t="n">
        <f aca="false">IF($G$11=$E$11,$F$11,IF(U816&lt;($F$11-$E$11)/($G$11-$E$11),$E$11+SQRT(U816*($G$11-$E$11)*($F$11-$E$11)),$G$11-SQRT((1-U816)*($G$11-$E$11)*($G$11-$F$11))))</f>
        <v>0.0995084824691876</v>
      </c>
      <c r="H816" s="53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-2082655036.38502</v>
      </c>
      <c r="I816" s="53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-39860069.0317216</v>
      </c>
      <c r="J816" s="53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217199876.184694</v>
      </c>
      <c r="K816" s="53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526326197.310736</v>
      </c>
      <c r="L816" s="53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643318787.465763</v>
      </c>
      <c r="M816" s="53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815501467.088317</v>
      </c>
      <c r="N816" s="53" t="n">
        <f aca="false">IF(COUNT('Business Case'!B11:G11)=0,"",H816+NPV(G816,I816:M816))</f>
        <v>-595599206.097851</v>
      </c>
      <c r="P816" s="54" t="n">
        <f aca="true">RAND()</f>
        <v>0.468210870092314</v>
      </c>
      <c r="Q816" s="54" t="n">
        <f aca="true">RAND()</f>
        <v>0.198018112259131</v>
      </c>
      <c r="R816" s="54" t="n">
        <f aca="true">RAND()</f>
        <v>0.779457374817321</v>
      </c>
      <c r="S816" s="54" t="n">
        <f aca="true">RAND()</f>
        <v>0.630140475988463</v>
      </c>
      <c r="T816" s="54" t="n">
        <f aca="true">RAND()</f>
        <v>0.496460870341047</v>
      </c>
      <c r="U816" s="54" t="n">
        <f aca="true">RAND()</f>
        <v>0.301370796222825</v>
      </c>
    </row>
    <row r="817" customFormat="false" ht="15" hidden="false" customHeight="false" outlineLevel="0" collapsed="false">
      <c r="A817" s="50" t="n">
        <v>737</v>
      </c>
      <c r="B817" s="51" t="n">
        <f aca="false">1+IF($G$6=$E$6,$F$6,IF(P817&lt;($F$6-$E$6)/($G$6-$E$6),$E$6+SQRT(P817*($G$6-$E$6)*($F$6-$E$6)),$G$6-SQRT((1-P817)*($G$6-$E$6)*($G$6-$F$6))))</f>
        <v>0.98485487314772</v>
      </c>
      <c r="C817" s="51" t="n">
        <f aca="false">1+IF($G$7=$E$7,$F$7,IF(Q817&lt;($F$7-$E$7)/($G$7-$E$7),$E$7+SQRT(Q817*($G$7-$E$7)*($F$7-$E$7)),$G$7-SQRT((1-Q817)*($G$7-$E$7)*($G$7-$F$7))))</f>
        <v>0.93154482878701</v>
      </c>
      <c r="D817" s="51" t="n">
        <f aca="false">1+IF($G$8=$E$8,$F$8,IF(R817&lt;($F$8-$E$8)/($G$8-$E$8),$E$8+SQRT(R817*($G$8-$E$8)*($F$8-$E$8)),$G$8-SQRT((1-R817)*($G$8-$E$8)*($G$8-$F$8))))</f>
        <v>0.976957763827266</v>
      </c>
      <c r="E817" s="51" t="n">
        <f aca="false">1+IF($G$9=$E$9,$F$9,IF(S817&lt;($F$9-$E$9)/($G$9-$E$9),$E$9+SQRT(S817*($G$9-$E$9)*($F$9-$E$9)),$G$9-SQRT((1-S817)*($G$9-$E$9)*($G$9-$F$9))))</f>
        <v>0.993309963436871</v>
      </c>
      <c r="F817" s="51" t="n">
        <f aca="false">1+IF($G$10=$E$10,$F$10,IF(T817&lt;($F$10-$E$10)/($G$10-$E$10),$E$10+SQRT(T817*($G$10-$E$10)*($F$10-$E$10)),$G$10-SQRT((1-T817)*($G$10-$E$10)*($G$10-$F$10))))</f>
        <v>1.01733107045257</v>
      </c>
      <c r="G817" s="52" t="n">
        <f aca="false">IF($G$11=$E$11,$F$11,IF(U817&lt;($F$11-$E$11)/($G$11-$E$11),$E$11+SQRT(U817*($G$11-$E$11)*($F$11-$E$11)),$G$11-SQRT((1-U817)*($G$11-$E$11)*($G$11-$F$11))))</f>
        <v>0.0962994760233757</v>
      </c>
      <c r="H817" s="53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-2034662140.90514</v>
      </c>
      <c r="I817" s="53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-4983300.01140234</v>
      </c>
      <c r="J817" s="53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280575090.126601</v>
      </c>
      <c r="K817" s="53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617000033.787232</v>
      </c>
      <c r="L817" s="53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743892768.035516</v>
      </c>
      <c r="M817" s="53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918279091.148076</v>
      </c>
      <c r="N817" s="53" t="n">
        <f aca="false">IF(COUNT('Business Case'!B11:G11)=0,"",H817+NPV(G817,I817:M817))</f>
        <v>-242636993.973485</v>
      </c>
      <c r="P817" s="54" t="n">
        <f aca="true">RAND()</f>
        <v>0.43814110114655</v>
      </c>
      <c r="Q817" s="54" t="n">
        <f aca="true">RAND()</f>
        <v>0.247200599722912</v>
      </c>
      <c r="R817" s="54" t="n">
        <f aca="true">RAND()</f>
        <v>0.11180323547179</v>
      </c>
      <c r="S817" s="54" t="n">
        <f aca="true">RAND()</f>
        <v>0.250100391053749</v>
      </c>
      <c r="T817" s="54" t="n">
        <f aca="true">RAND()</f>
        <v>0.332641243559906</v>
      </c>
      <c r="U817" s="54" t="n">
        <f aca="true">RAND()</f>
        <v>0.132277993896949</v>
      </c>
    </row>
    <row r="818" customFormat="false" ht="15" hidden="false" customHeight="false" outlineLevel="0" collapsed="false">
      <c r="A818" s="50" t="n">
        <v>738</v>
      </c>
      <c r="B818" s="51" t="n">
        <f aca="false">1+IF($G$6=$E$6,$F$6,IF(P818&lt;($F$6-$E$6)/($G$6-$E$6),$E$6+SQRT(P818*($G$6-$E$6)*($F$6-$E$6)),$G$6-SQRT((1-P818)*($G$6-$E$6)*($G$6-$F$6))))</f>
        <v>1.00295715056378</v>
      </c>
      <c r="C818" s="51" t="n">
        <f aca="false">1+IF($G$7=$E$7,$F$7,IF(Q818&lt;($F$7-$E$7)/($G$7-$E$7),$E$7+SQRT(Q818*($G$7-$E$7)*($F$7-$E$7)),$G$7-SQRT((1-Q818)*($G$7-$E$7)*($G$7-$F$7))))</f>
        <v>1.04461974944958</v>
      </c>
      <c r="D818" s="51" t="n">
        <f aca="false">1+IF($G$8=$E$8,$F$8,IF(R818&lt;($F$8-$E$8)/($G$8-$E$8),$E$8+SQRT(R818*($G$8-$E$8)*($F$8-$E$8)),$G$8-SQRT((1-R818)*($G$8-$E$8)*($G$8-$F$8))))</f>
        <v>1.00113580181335</v>
      </c>
      <c r="E818" s="51" t="n">
        <f aca="false">1+IF($G$9=$E$9,$F$9,IF(S818&lt;($F$9-$E$9)/($G$9-$E$9),$E$9+SQRT(S818*($G$9-$E$9)*($F$9-$E$9)),$G$9-SQRT((1-S818)*($G$9-$E$9)*($G$9-$F$9))))</f>
        <v>1.03255806246693</v>
      </c>
      <c r="F818" s="51" t="n">
        <f aca="false">1+IF($G$10=$E$10,$F$10,IF(T818&lt;($F$10-$E$10)/($G$10-$E$10),$E$10+SQRT(T818*($G$10-$E$10)*($F$10-$E$10)),$G$10-SQRT((1-T818)*($G$10-$E$10)*($G$10-$F$10))))</f>
        <v>1.06775615352553</v>
      </c>
      <c r="G818" s="52" t="n">
        <f aca="false">IF($G$11=$E$11,$F$11,IF(U818&lt;($F$11-$E$11)/($G$11-$E$11),$E$11+SQRT(U818*($G$11-$E$11)*($F$11-$E$11)),$G$11-SQRT((1-U818)*($G$11-$E$11)*($G$11-$F$11))))</f>
        <v>0.0994270296017342</v>
      </c>
      <c r="H818" s="53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-2135512307.05106</v>
      </c>
      <c r="I818" s="53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14861257.0251427</v>
      </c>
      <c r="J818" s="53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337641112.531254</v>
      </c>
      <c r="K818" s="53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713808775.713643</v>
      </c>
      <c r="L818" s="53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857610878.646092</v>
      </c>
      <c r="M818" s="53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1056759376.34669</v>
      </c>
      <c r="N818" s="53" t="n">
        <f aca="false">IF(COUNT('Business Case'!B11:G11)=0,"",H818+NPV(G818,I818:M818))</f>
        <v>-60670022.0719681</v>
      </c>
      <c r="P818" s="54" t="n">
        <f aca="true">RAND()</f>
        <v>0.714130688676218</v>
      </c>
      <c r="Q818" s="54" t="n">
        <f aca="true">RAND()</f>
        <v>0.788476243693901</v>
      </c>
      <c r="R818" s="54" t="n">
        <f aca="true">RAND()</f>
        <v>0.401965215805475</v>
      </c>
      <c r="S818" s="54" t="n">
        <f aca="true">RAND()</f>
        <v>0.696772337452363</v>
      </c>
      <c r="T818" s="54" t="n">
        <f aca="true">RAND()</f>
        <v>0.650231301392742</v>
      </c>
      <c r="U818" s="54" t="n">
        <f aca="true">RAND()</f>
        <v>0.296229623706578</v>
      </c>
    </row>
    <row r="819" customFormat="false" ht="15" hidden="false" customHeight="false" outlineLevel="0" collapsed="false">
      <c r="A819" s="50" t="n">
        <v>739</v>
      </c>
      <c r="B819" s="51" t="n">
        <f aca="false">1+IF($G$6=$E$6,$F$6,IF(P819&lt;($F$6-$E$6)/($G$6-$E$6),$E$6+SQRT(P819*($G$6-$E$6)*($F$6-$E$6)),$G$6-SQRT((1-P819)*($G$6-$E$6)*($G$6-$F$6))))</f>
        <v>0.985574541575519</v>
      </c>
      <c r="C819" s="51" t="n">
        <f aca="false">1+IF($G$7=$E$7,$F$7,IF(Q819&lt;($F$7-$E$7)/($G$7-$E$7),$E$7+SQRT(Q819*($G$7-$E$7)*($F$7-$E$7)),$G$7-SQRT((1-Q819)*($G$7-$E$7)*($G$7-$F$7))))</f>
        <v>1.00705808126228</v>
      </c>
      <c r="D819" s="51" t="n">
        <f aca="false">1+IF($G$8=$E$8,$F$8,IF(R819&lt;($F$8-$E$8)/($G$8-$E$8),$E$8+SQRT(R819*($G$8-$E$8)*($F$8-$E$8)),$G$8-SQRT((1-R819)*($G$8-$E$8)*($G$8-$F$8))))</f>
        <v>1.0019999107081</v>
      </c>
      <c r="E819" s="51" t="n">
        <f aca="false">1+IF($G$9=$E$9,$F$9,IF(S819&lt;($F$9-$E$9)/($G$9-$E$9),$E$9+SQRT(S819*($G$9-$E$9)*($F$9-$E$9)),$G$9-SQRT((1-S819)*($G$9-$E$9)*($G$9-$F$9))))</f>
        <v>1.02219177766698</v>
      </c>
      <c r="F819" s="51" t="n">
        <f aca="false">1+IF($G$10=$E$10,$F$10,IF(T819&lt;($F$10-$E$10)/($G$10-$E$10),$E$10+SQRT(T819*($G$10-$E$10)*($F$10-$E$10)),$G$10-SQRT((1-T819)*($G$10-$E$10)*($G$10-$F$10))))</f>
        <v>1.10507423483745</v>
      </c>
      <c r="G819" s="52" t="n">
        <f aca="false">IF($G$11=$E$11,$F$11,IF(U819&lt;($F$11-$E$11)/($G$11-$E$11),$E$11+SQRT(U819*($G$11-$E$11)*($F$11-$E$11)),$G$11-SQRT((1-U819)*($G$11-$E$11)*($G$11-$F$11))))</f>
        <v>0.101034952676544</v>
      </c>
      <c r="H819" s="53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-2210148469.6749</v>
      </c>
      <c r="I819" s="53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-10925891.593331</v>
      </c>
      <c r="J819" s="53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285464108.104803</v>
      </c>
      <c r="K819" s="53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637107819.544809</v>
      </c>
      <c r="L819" s="53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770206350.79317</v>
      </c>
      <c r="M819" s="53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958866606.545911</v>
      </c>
      <c r="N819" s="53" t="n">
        <f aca="false">IF(COUNT('Business Case'!B11:G11)=0,"",H819+NPV(G819,I819:M819))</f>
        <v>-390600462.308373</v>
      </c>
      <c r="P819" s="54" t="n">
        <f aca="true">RAND()</f>
        <v>0.447918802379108</v>
      </c>
      <c r="Q819" s="54" t="n">
        <f aca="true">RAND()</f>
        <v>0.610811578430078</v>
      </c>
      <c r="R819" s="54" t="n">
        <f aca="true">RAND()</f>
        <v>0.414998660620723</v>
      </c>
      <c r="S819" s="54" t="n">
        <f aca="true">RAND()</f>
        <v>0.596392035825036</v>
      </c>
      <c r="T819" s="54" t="n">
        <f aca="true">RAND()</f>
        <v>0.81978198216609</v>
      </c>
      <c r="U819" s="54" t="n">
        <f aca="true">RAND()</f>
        <v>0.40054496669843</v>
      </c>
    </row>
    <row r="820" customFormat="false" ht="15" hidden="false" customHeight="false" outlineLevel="0" collapsed="false">
      <c r="A820" s="50" t="n">
        <v>740</v>
      </c>
      <c r="B820" s="51" t="n">
        <f aca="false">1+IF($G$6=$E$6,$F$6,IF(P820&lt;($F$6-$E$6)/($G$6-$E$6),$E$6+SQRT(P820*($G$6-$E$6)*($F$6-$E$6)),$G$6-SQRT((1-P820)*($G$6-$E$6)*($G$6-$F$6))))</f>
        <v>1.00456917785717</v>
      </c>
      <c r="C820" s="51" t="n">
        <f aca="false">1+IF($G$7=$E$7,$F$7,IF(Q820&lt;($F$7-$E$7)/($G$7-$E$7),$E$7+SQRT(Q820*($G$7-$E$7)*($F$7-$E$7)),$G$7-SQRT((1-Q820)*($G$7-$E$7)*($G$7-$F$7))))</f>
        <v>1.06944362744706</v>
      </c>
      <c r="D820" s="51" t="n">
        <f aca="false">1+IF($G$8=$E$8,$F$8,IF(R820&lt;($F$8-$E$8)/($G$8-$E$8),$E$8+SQRT(R820*($G$8-$E$8)*($F$8-$E$8)),$G$8-SQRT((1-R820)*($G$8-$E$8)*($G$8-$F$8))))</f>
        <v>1.045404944958</v>
      </c>
      <c r="E820" s="51" t="n">
        <f aca="false">1+IF($G$9=$E$9,$F$9,IF(S820&lt;($F$9-$E$9)/($G$9-$E$9),$E$9+SQRT(S820*($G$9-$E$9)*($F$9-$E$9)),$G$9-SQRT((1-S820)*($G$9-$E$9)*($G$9-$F$9))))</f>
        <v>1.00217319121098</v>
      </c>
      <c r="F820" s="51" t="n">
        <f aca="false">1+IF($G$10=$E$10,$F$10,IF(T820&lt;($F$10-$E$10)/($G$10-$E$10),$E$10+SQRT(T820*($G$10-$E$10)*($F$10-$E$10)),$G$10-SQRT((1-T820)*($G$10-$E$10)*($G$10-$F$10))))</f>
        <v>1.10612784008669</v>
      </c>
      <c r="G820" s="52" t="n">
        <f aca="false">IF($G$11=$E$11,$F$11,IF(U820&lt;($F$11-$E$11)/($G$11-$E$11),$E$11+SQRT(U820*($G$11-$E$11)*($F$11-$E$11)),$G$11-SQRT((1-U820)*($G$11-$E$11)*($G$11-$F$11))))</f>
        <v>0.104393700224312</v>
      </c>
      <c r="H820" s="53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-2212255680.17338</v>
      </c>
      <c r="I820" s="53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-1188784.21635951</v>
      </c>
      <c r="J820" s="53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306437516.03989</v>
      </c>
      <c r="K820" s="53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669370208.300474</v>
      </c>
      <c r="L820" s="53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809041156.835049</v>
      </c>
      <c r="M820" s="53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1013249823.30542</v>
      </c>
      <c r="N820" s="53" t="n">
        <f aca="false">IF(COUNT('Business Case'!B11:G11)=0,"",H820+NPV(G820,I820:M820))</f>
        <v>-304582328.401951</v>
      </c>
      <c r="P820" s="54" t="n">
        <f aca="true">RAND()</f>
        <v>0.73847017547568</v>
      </c>
      <c r="Q820" s="54" t="n">
        <f aca="true">RAND()</f>
        <v>0.876393730306881</v>
      </c>
      <c r="R820" s="54" t="n">
        <f aca="true">RAND()</f>
        <v>0.884921362176998</v>
      </c>
      <c r="S820" s="54" t="n">
        <f aca="true">RAND()</f>
        <v>0.361994365477157</v>
      </c>
      <c r="T820" s="54" t="n">
        <f aca="true">RAND()</f>
        <v>0.823760351864207</v>
      </c>
      <c r="U820" s="54" t="n">
        <f aca="true">RAND()</f>
        <v>0.594072345518932</v>
      </c>
    </row>
    <row r="821" customFormat="false" ht="15" hidden="false" customHeight="false" outlineLevel="0" collapsed="false">
      <c r="A821" s="50" t="n">
        <v>741</v>
      </c>
      <c r="B821" s="51" t="n">
        <f aca="false">1+IF($G$6=$E$6,$F$6,IF(P821&lt;($F$6-$E$6)/($G$6-$E$6),$E$6+SQRT(P821*($G$6-$E$6)*($F$6-$E$6)),$G$6-SQRT((1-P821)*($G$6-$E$6)*($G$6-$F$6))))</f>
        <v>0.951421417639925</v>
      </c>
      <c r="C821" s="51" t="n">
        <f aca="false">1+IF($G$7=$E$7,$F$7,IF(Q821&lt;($F$7-$E$7)/($G$7-$E$7),$E$7+SQRT(Q821*($G$7-$E$7)*($F$7-$E$7)),$G$7-SQRT((1-Q821)*($G$7-$E$7)*($G$7-$F$7))))</f>
        <v>1.03493308788975</v>
      </c>
      <c r="D821" s="51" t="n">
        <f aca="false">1+IF($G$8=$E$8,$F$8,IF(R821&lt;($F$8-$E$8)/($G$8-$E$8),$E$8+SQRT(R821*($G$8-$E$8)*($F$8-$E$8)),$G$8-SQRT((1-R821)*($G$8-$E$8)*($G$8-$F$8))))</f>
        <v>0.970898379464441</v>
      </c>
      <c r="E821" s="51" t="n">
        <f aca="false">1+IF($G$9=$E$9,$F$9,IF(S821&lt;($F$9-$E$9)/($G$9-$E$9),$E$9+SQRT(S821*($G$9-$E$9)*($F$9-$E$9)),$G$9-SQRT((1-S821)*($G$9-$E$9)*($G$9-$F$9))))</f>
        <v>1.0160123754407</v>
      </c>
      <c r="F821" s="51" t="n">
        <f aca="false">1+IF($G$10=$E$10,$F$10,IF(T821&lt;($F$10-$E$10)/($G$10-$E$10),$E$10+SQRT(T821*($G$10-$E$10)*($F$10-$E$10)),$G$10-SQRT((1-T821)*($G$10-$E$10)*($G$10-$F$10))))</f>
        <v>0.998780544409081</v>
      </c>
      <c r="G821" s="52" t="n">
        <f aca="false">IF($G$11=$E$11,$F$11,IF(U821&lt;($F$11-$E$11)/($G$11-$E$11),$E$11+SQRT(U821*($G$11-$E$11)*($F$11-$E$11)),$G$11-SQRT((1-U821)*($G$11-$E$11)*($G$11-$F$11))))</f>
        <v>0.0959047357080186</v>
      </c>
      <c r="H821" s="53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-1997561088.81816</v>
      </c>
      <c r="I821" s="53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-3279088.90859388</v>
      </c>
      <c r="J821" s="53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288841481.503896</v>
      </c>
      <c r="K821" s="53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630901079.13684</v>
      </c>
      <c r="L821" s="53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762304366.002676</v>
      </c>
      <c r="M821" s="53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949468064.675208</v>
      </c>
      <c r="N821" s="53" t="n">
        <f aca="false">IF(COUNT('Business Case'!B11:G11)=0,"",H821+NPV(G821,I821:M821))</f>
        <v>-151581333.782612</v>
      </c>
      <c r="P821" s="54" t="n">
        <f aca="true">RAND()</f>
        <v>0.102844321510689</v>
      </c>
      <c r="Q821" s="54" t="n">
        <f aca="true">RAND()</f>
        <v>0.74780201404593</v>
      </c>
      <c r="R821" s="54" t="n">
        <f aca="true">RAND()</f>
        <v>0.0671911175753495</v>
      </c>
      <c r="S821" s="54" t="n">
        <f aca="true">RAND()</f>
        <v>0.529738594725706</v>
      </c>
      <c r="T821" s="54" t="n">
        <f aca="true">RAND()</f>
        <v>0.190363321027707</v>
      </c>
      <c r="U821" s="54" t="n">
        <f aca="true">RAND()</f>
        <v>0.116219679271831</v>
      </c>
    </row>
    <row r="822" customFormat="false" ht="15" hidden="false" customHeight="false" outlineLevel="0" collapsed="false">
      <c r="A822" s="50" t="n">
        <v>742</v>
      </c>
      <c r="B822" s="51" t="n">
        <f aca="false">1+IF($G$6=$E$6,$F$6,IF(P822&lt;($F$6-$E$6)/($G$6-$E$6),$E$6+SQRT(P822*($G$6-$E$6)*($F$6-$E$6)),$G$6-SQRT((1-P822)*($G$6-$E$6)*($G$6-$F$6))))</f>
        <v>0.988495935505363</v>
      </c>
      <c r="C822" s="51" t="n">
        <f aca="false">1+IF($G$7=$E$7,$F$7,IF(Q822&lt;($F$7-$E$7)/($G$7-$E$7),$E$7+SQRT(Q822*($G$7-$E$7)*($F$7-$E$7)),$G$7-SQRT((1-Q822)*($G$7-$E$7)*($G$7-$F$7))))</f>
        <v>0.931745038824658</v>
      </c>
      <c r="D822" s="51" t="n">
        <f aca="false">1+IF($G$8=$E$8,$F$8,IF(R822&lt;($F$8-$E$8)/($G$8-$E$8),$E$8+SQRT(R822*($G$8-$E$8)*($F$8-$E$8)),$G$8-SQRT((1-R822)*($G$8-$E$8)*($G$8-$F$8))))</f>
        <v>1.0167692668074</v>
      </c>
      <c r="E822" s="51" t="n">
        <f aca="false">1+IF($G$9=$E$9,$F$9,IF(S822&lt;($F$9-$E$9)/($G$9-$E$9),$E$9+SQRT(S822*($G$9-$E$9)*($F$9-$E$9)),$G$9-SQRT((1-S822)*($G$9-$E$9)*($G$9-$F$9))))</f>
        <v>1.02890623943731</v>
      </c>
      <c r="F822" s="51" t="n">
        <f aca="false">1+IF($G$10=$E$10,$F$10,IF(T822&lt;($F$10-$E$10)/($G$10-$E$10),$E$10+SQRT(T822*($G$10-$E$10)*($F$10-$E$10)),$G$10-SQRT((1-T822)*($G$10-$E$10)*($G$10-$F$10))))</f>
        <v>1.00085453767246</v>
      </c>
      <c r="G822" s="52" t="n">
        <f aca="false">IF($G$11=$E$11,$F$11,IF(U822&lt;($F$11-$E$11)/($G$11-$E$11),$E$11+SQRT(U822*($G$11-$E$11)*($F$11-$E$11)),$G$11-SQRT((1-U822)*($G$11-$E$11)*($G$11-$F$11))))</f>
        <v>0.104670472698462</v>
      </c>
      <c r="H822" s="53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-2001709075.34491</v>
      </c>
      <c r="I822" s="53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-24732667.0125164</v>
      </c>
      <c r="J822" s="53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244676584.358673</v>
      </c>
      <c r="K822" s="53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564128562.613485</v>
      </c>
      <c r="L822" s="53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685762311.316199</v>
      </c>
      <c r="M822" s="53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860830968.333941</v>
      </c>
      <c r="N822" s="53" t="n">
        <f aca="false">IF(COUNT('Business Case'!B11:G11)=0,"",H822+NPV(G822,I822:M822))</f>
        <v>-421289608.453375</v>
      </c>
      <c r="P822" s="54" t="n">
        <f aca="true">RAND()</f>
        <v>0.488718039661964</v>
      </c>
      <c r="Q822" s="54" t="n">
        <f aca="true">RAND()</f>
        <v>0.247953646498725</v>
      </c>
      <c r="R822" s="54" t="n">
        <f aca="true">RAND()</f>
        <v>0.61556484422366</v>
      </c>
      <c r="S822" s="54" t="n">
        <f aca="true">RAND()</f>
        <v>0.663045147270302</v>
      </c>
      <c r="T822" s="54" t="n">
        <f aca="true">RAND()</f>
        <v>0.206821696686982</v>
      </c>
      <c r="U822" s="54" t="n">
        <f aca="true">RAND()</f>
        <v>0.608342654518981</v>
      </c>
    </row>
    <row r="823" customFormat="false" ht="15" hidden="false" customHeight="false" outlineLevel="0" collapsed="false">
      <c r="A823" s="50" t="n">
        <v>743</v>
      </c>
      <c r="B823" s="51" t="n">
        <f aca="false">1+IF($G$6=$E$6,$F$6,IF(P823&lt;($F$6-$E$6)/($G$6-$E$6),$E$6+SQRT(P823*($G$6-$E$6)*($F$6-$E$6)),$G$6-SQRT((1-P823)*($G$6-$E$6)*($G$6-$F$6))))</f>
        <v>1.00031154412637</v>
      </c>
      <c r="C823" s="51" t="n">
        <f aca="false">1+IF($G$7=$E$7,$F$7,IF(Q823&lt;($F$7-$E$7)/($G$7-$E$7),$E$7+SQRT(Q823*($G$7-$E$7)*($F$7-$E$7)),$G$7-SQRT((1-Q823)*($G$7-$E$7)*($G$7-$F$7))))</f>
        <v>0.965812021197501</v>
      </c>
      <c r="D823" s="51" t="n">
        <f aca="false">1+IF($G$8=$E$8,$F$8,IF(R823&lt;($F$8-$E$8)/($G$8-$E$8),$E$8+SQRT(R823*($G$8-$E$8)*($F$8-$E$8)),$G$8-SQRT((1-R823)*($G$8-$E$8)*($G$8-$F$8))))</f>
        <v>1.03952610824169</v>
      </c>
      <c r="E823" s="51" t="n">
        <f aca="false">1+IF($G$9=$E$9,$F$9,IF(S823&lt;($F$9-$E$9)/($G$9-$E$9),$E$9+SQRT(S823*($G$9-$E$9)*($F$9-$E$9)),$G$9-SQRT((1-S823)*($G$9-$E$9)*($G$9-$F$9))))</f>
        <v>0.978082687173067</v>
      </c>
      <c r="F823" s="51" t="n">
        <f aca="false">1+IF($G$10=$E$10,$F$10,IF(T823&lt;($F$10-$E$10)/($G$10-$E$10),$E$10+SQRT(T823*($G$10-$E$10)*($F$10-$E$10)),$G$10-SQRT((1-T823)*($G$10-$E$10)*($G$10-$F$10))))</f>
        <v>0.997389491171347</v>
      </c>
      <c r="G823" s="52" t="n">
        <f aca="false">IF($G$11=$E$11,$F$11,IF(U823&lt;($F$11-$E$11)/($G$11-$E$11),$E$11+SQRT(U823*($G$11-$E$11)*($F$11-$E$11)),$G$11-SQRT((1-U823)*($G$11-$E$11)*($G$11-$F$11))))</f>
        <v>0.109962265453596</v>
      </c>
      <c r="H823" s="53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-1994778982.34269</v>
      </c>
      <c r="I823" s="53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-11550492.439271</v>
      </c>
      <c r="J823" s="53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265804615.829835</v>
      </c>
      <c r="K823" s="53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593029198.657509</v>
      </c>
      <c r="L823" s="53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718869763.7307</v>
      </c>
      <c r="M823" s="53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902508506.473218</v>
      </c>
      <c r="N823" s="53" t="n">
        <f aca="false">IF(COUNT('Business Case'!B11:G11)=0,"",H823+NPV(G823,I823:M823))</f>
        <v>-346483366.453604</v>
      </c>
      <c r="P823" s="54" t="n">
        <f aca="true">RAND()</f>
        <v>0.671838847993139</v>
      </c>
      <c r="Q823" s="54" t="n">
        <f aca="true">RAND()</f>
        <v>0.392766091051436</v>
      </c>
      <c r="R823" s="54" t="n">
        <f aca="true">RAND()</f>
        <v>0.84248693134005</v>
      </c>
      <c r="S823" s="54" t="n">
        <f aca="true">RAND()</f>
        <v>0.105151642514713</v>
      </c>
      <c r="T823" s="54" t="n">
        <f aca="true">RAND()</f>
        <v>0.179661109878336</v>
      </c>
      <c r="U823" s="54" t="n">
        <f aca="true">RAND()</f>
        <v>0.832073141959869</v>
      </c>
    </row>
    <row r="824" customFormat="false" ht="15" hidden="false" customHeight="false" outlineLevel="0" collapsed="false">
      <c r="A824" s="50" t="n">
        <v>744</v>
      </c>
      <c r="B824" s="51" t="n">
        <f aca="false">1+IF($G$6=$E$6,$F$6,IF(P824&lt;($F$6-$E$6)/($G$6-$E$6),$E$6+SQRT(P824*($G$6-$E$6)*($F$6-$E$6)),$G$6-SQRT((1-P824)*($G$6-$E$6)*($G$6-$F$6))))</f>
        <v>0.973736768997512</v>
      </c>
      <c r="C824" s="51" t="n">
        <f aca="false">1+IF($G$7=$E$7,$F$7,IF(Q824&lt;($F$7-$E$7)/($G$7-$E$7),$E$7+SQRT(Q824*($G$7-$E$7)*($F$7-$E$7)),$G$7-SQRT((1-Q824)*($G$7-$E$7)*($G$7-$F$7))))</f>
        <v>0.990443207515664</v>
      </c>
      <c r="D824" s="51" t="n">
        <f aca="false">1+IF($G$8=$E$8,$F$8,IF(R824&lt;($F$8-$E$8)/($G$8-$E$8),$E$8+SQRT(R824*($G$8-$E$8)*($F$8-$E$8)),$G$8-SQRT((1-R824)*($G$8-$E$8)*($G$8-$F$8))))</f>
        <v>1.01263291490263</v>
      </c>
      <c r="E824" s="51" t="n">
        <f aca="false">1+IF($G$9=$E$9,$F$9,IF(S824&lt;($F$9-$E$9)/($G$9-$E$9),$E$9+SQRT(S824*($G$9-$E$9)*($F$9-$E$9)),$G$9-SQRT((1-S824)*($G$9-$E$9)*($G$9-$F$9))))</f>
        <v>1.03822068355478</v>
      </c>
      <c r="F824" s="51" t="n">
        <f aca="false">1+IF($G$10=$E$10,$F$10,IF(T824&lt;($F$10-$E$10)/($G$10-$E$10),$E$10+SQRT(T824*($G$10-$E$10)*($F$10-$E$10)),$G$10-SQRT((1-T824)*($G$10-$E$10)*($G$10-$F$10))))</f>
        <v>1.16265349344826</v>
      </c>
      <c r="G824" s="52" t="n">
        <f aca="false">IF($G$11=$E$11,$F$11,IF(U824&lt;($F$11-$E$11)/($G$11-$E$11),$E$11+SQRT(U824*($G$11-$E$11)*($F$11-$E$11)),$G$11-SQRT((1-U824)*($G$11-$E$11)*($G$11-$F$11))))</f>
        <v>0.110722193177992</v>
      </c>
      <c r="H824" s="53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-2325306986.89652</v>
      </c>
      <c r="I824" s="53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-37390953.9331684</v>
      </c>
      <c r="J824" s="53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239114524.100592</v>
      </c>
      <c r="K824" s="53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573752676.806765</v>
      </c>
      <c r="L824" s="53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699251903.765094</v>
      </c>
      <c r="M824" s="53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882570942.307344</v>
      </c>
      <c r="N824" s="53" t="n">
        <f aca="false">IF(COUNT('Business Case'!B11:G11)=0,"",H824+NPV(G824,I824:M824))</f>
        <v>-764962554.924194</v>
      </c>
      <c r="P824" s="54" t="n">
        <f aca="true">RAND()</f>
        <v>0.300795868988751</v>
      </c>
      <c r="Q824" s="54" t="n">
        <f aca="true">RAND()</f>
        <v>0.518123075555058</v>
      </c>
      <c r="R824" s="54" t="n">
        <f aca="true">RAND()</f>
        <v>0.563622677450398</v>
      </c>
      <c r="S824" s="54" t="n">
        <f aca="true">RAND()</f>
        <v>0.745554403970731</v>
      </c>
      <c r="T824" s="54" t="n">
        <f aca="true">RAND()</f>
        <v>0.972104768967613</v>
      </c>
      <c r="U824" s="54" t="n">
        <f aca="true">RAND()</f>
        <v>0.856537167622488</v>
      </c>
    </row>
    <row r="825" customFormat="false" ht="15" hidden="false" customHeight="false" outlineLevel="0" collapsed="false">
      <c r="A825" s="50" t="n">
        <v>745</v>
      </c>
      <c r="B825" s="51" t="n">
        <f aca="false">1+IF($G$6=$E$6,$F$6,IF(P825&lt;($F$6-$E$6)/($G$6-$E$6),$E$6+SQRT(P825*($G$6-$E$6)*($F$6-$E$6)),$G$6-SQRT((1-P825)*($G$6-$E$6)*($G$6-$F$6))))</f>
        <v>1.02168094294794</v>
      </c>
      <c r="C825" s="51" t="n">
        <f aca="false">1+IF($G$7=$E$7,$F$7,IF(Q825&lt;($F$7-$E$7)/($G$7-$E$7),$E$7+SQRT(Q825*($G$7-$E$7)*($F$7-$E$7)),$G$7-SQRT((1-Q825)*($G$7-$E$7)*($G$7-$F$7))))</f>
        <v>0.964736296627833</v>
      </c>
      <c r="D825" s="51" t="n">
        <f aca="false">1+IF($G$8=$E$8,$F$8,IF(R825&lt;($F$8-$E$8)/($G$8-$E$8),$E$8+SQRT(R825*($G$8-$E$8)*($F$8-$E$8)),$G$8-SQRT((1-R825)*($G$8-$E$8)*($G$8-$F$8))))</f>
        <v>1.02314976043444</v>
      </c>
      <c r="E825" s="51" t="n">
        <f aca="false">1+IF($G$9=$E$9,$F$9,IF(S825&lt;($F$9-$E$9)/($G$9-$E$9),$E$9+SQRT(S825*($G$9-$E$9)*($F$9-$E$9)),$G$9-SQRT((1-S825)*($G$9-$E$9)*($G$9-$F$9))))</f>
        <v>1.00616862770002</v>
      </c>
      <c r="F825" s="51" t="n">
        <f aca="false">1+IF($G$10=$E$10,$F$10,IF(T825&lt;($F$10-$E$10)/($G$10-$E$10),$E$10+SQRT(T825*($G$10-$E$10)*($F$10-$E$10)),$G$10-SQRT((1-T825)*($G$10-$E$10)*($G$10-$F$10))))</f>
        <v>1.02625748110411</v>
      </c>
      <c r="G825" s="52" t="n">
        <f aca="false">IF($G$11=$E$11,$F$11,IF(U825&lt;($F$11-$E$11)/($G$11-$E$11),$E$11+SQRT(U825*($G$11-$E$11)*($F$11-$E$11)),$G$11-SQRT((1-U825)*($G$11-$E$11)*($G$11-$F$11))))</f>
        <v>0.104243706563899</v>
      </c>
      <c r="H825" s="53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-2052514962.20823</v>
      </c>
      <c r="I825" s="53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5220630.75660628</v>
      </c>
      <c r="J825" s="53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307240423.892499</v>
      </c>
      <c r="K825" s="53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660573091.083599</v>
      </c>
      <c r="L825" s="53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795310512.402185</v>
      </c>
      <c r="M825" s="53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982663375.571941</v>
      </c>
      <c r="N825" s="53" t="n">
        <f aca="false">IF(COUNT('Business Case'!B11:G11)=0,"",H825+NPV(G825,I825:M825))</f>
        <v>-171791632.774272</v>
      </c>
      <c r="P825" s="54" t="n">
        <f aca="true">RAND()</f>
        <v>0.930085864317347</v>
      </c>
      <c r="Q825" s="54" t="n">
        <f aca="true">RAND()</f>
        <v>0.387686391809336</v>
      </c>
      <c r="R825" s="54" t="n">
        <f aca="true">RAND()</f>
        <v>0.689235602051809</v>
      </c>
      <c r="S825" s="54" t="n">
        <f aca="true">RAND()</f>
        <v>0.413044904820117</v>
      </c>
      <c r="T825" s="54" t="n">
        <f aca="true">RAND()</f>
        <v>0.396270742554249</v>
      </c>
      <c r="U825" s="54" t="n">
        <f aca="true">RAND()</f>
        <v>0.586232028592455</v>
      </c>
    </row>
    <row r="826" customFormat="false" ht="15" hidden="false" customHeight="false" outlineLevel="0" collapsed="false">
      <c r="A826" s="50" t="n">
        <v>746</v>
      </c>
      <c r="B826" s="51" t="n">
        <f aca="false">1+IF($G$6=$E$6,$F$6,IF(P826&lt;($F$6-$E$6)/($G$6-$E$6),$E$6+SQRT(P826*($G$6-$E$6)*($F$6-$E$6)),$G$6-SQRT((1-P826)*($G$6-$E$6)*($G$6-$F$6))))</f>
        <v>0.969082563819894</v>
      </c>
      <c r="C826" s="51" t="n">
        <f aca="false">1+IF($G$7=$E$7,$F$7,IF(Q826&lt;($F$7-$E$7)/($G$7-$E$7),$E$7+SQRT(Q826*($G$7-$E$7)*($F$7-$E$7)),$G$7-SQRT((1-Q826)*($G$7-$E$7)*($G$7-$F$7))))</f>
        <v>0.988232689973727</v>
      </c>
      <c r="D826" s="51" t="n">
        <f aca="false">1+IF($G$8=$E$8,$F$8,IF(R826&lt;($F$8-$E$8)/($G$8-$E$8),$E$8+SQRT(R826*($G$8-$E$8)*($F$8-$E$8)),$G$8-SQRT((1-R826)*($G$8-$E$8)*($G$8-$F$8))))</f>
        <v>0.961182380919524</v>
      </c>
      <c r="E826" s="51" t="n">
        <f aca="false">1+IF($G$9=$E$9,$F$9,IF(S826&lt;($F$9-$E$9)/($G$9-$E$9),$E$9+SQRT(S826*($G$9-$E$9)*($F$9-$E$9)),$G$9-SQRT((1-S826)*($G$9-$E$9)*($G$9-$F$9))))</f>
        <v>0.978245102036523</v>
      </c>
      <c r="F826" s="51" t="n">
        <f aca="false">1+IF($G$10=$E$10,$F$10,IF(T826&lt;($F$10-$E$10)/($G$10-$E$10),$E$10+SQRT(T826*($G$10-$E$10)*($F$10-$E$10)),$G$10-SQRT((1-T826)*($G$10-$E$10)*($G$10-$F$10))))</f>
        <v>1.18051710077846</v>
      </c>
      <c r="G826" s="52" t="n">
        <f aca="false">IF($G$11=$E$11,$F$11,IF(U826&lt;($F$11-$E$11)/($G$11-$E$11),$E$11+SQRT(U826*($G$11-$E$11)*($F$11-$E$11)),$G$11-SQRT((1-U826)*($G$11-$E$11)*($G$11-$F$11))))</f>
        <v>0.0977705294360442</v>
      </c>
      <c r="H826" s="53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-2361034201.55693</v>
      </c>
      <c r="I826" s="53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-8654533.61118844</v>
      </c>
      <c r="J826" s="53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289495179.294266</v>
      </c>
      <c r="K826" s="53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646670747.238644</v>
      </c>
      <c r="L826" s="53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779151373.493264</v>
      </c>
      <c r="M826" s="53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961187010.900343</v>
      </c>
      <c r="N826" s="53" t="n">
        <f aca="false">IF(COUNT('Business Case'!B11:G11)=0,"",H826+NPV(G826,I826:M826))</f>
        <v>-500459606.469388</v>
      </c>
      <c r="P826" s="54" t="n">
        <f aca="true">RAND()</f>
        <v>0.250947715743121</v>
      </c>
      <c r="Q826" s="54" t="n">
        <f aca="true">RAND()</f>
        <v>0.506164936782075</v>
      </c>
      <c r="R826" s="54" t="n">
        <f aca="true">RAND()</f>
        <v>0.0192377912352809</v>
      </c>
      <c r="S826" s="54" t="n">
        <f aca="true">RAND()</f>
        <v>0.106371438540476</v>
      </c>
      <c r="T826" s="54" t="n">
        <f aca="true">RAND()</f>
        <v>0.992408332758469</v>
      </c>
      <c r="U826" s="54" t="n">
        <f aca="true">RAND()</f>
        <v>0.201270425721432</v>
      </c>
    </row>
    <row r="827" customFormat="false" ht="15" hidden="false" customHeight="false" outlineLevel="0" collapsed="false">
      <c r="A827" s="50" t="n">
        <v>747</v>
      </c>
      <c r="B827" s="51" t="n">
        <f aca="false">1+IF($G$6=$E$6,$F$6,IF(P827&lt;($F$6-$E$6)/($G$6-$E$6),$E$6+SQRT(P827*($G$6-$E$6)*($F$6-$E$6)),$G$6-SQRT((1-P827)*($G$6-$E$6)*($G$6-$F$6))))</f>
        <v>1.0075164071506</v>
      </c>
      <c r="C827" s="51" t="n">
        <f aca="false">1+IF($G$7=$E$7,$F$7,IF(Q827&lt;($F$7-$E$7)/($G$7-$E$7),$E$7+SQRT(Q827*($G$7-$E$7)*($F$7-$E$7)),$G$7-SQRT((1-Q827)*($G$7-$E$7)*($G$7-$F$7))))</f>
        <v>0.875161114210491</v>
      </c>
      <c r="D827" s="51" t="n">
        <f aca="false">1+IF($G$8=$E$8,$F$8,IF(R827&lt;($F$8-$E$8)/($G$8-$E$8),$E$8+SQRT(R827*($G$8-$E$8)*($F$8-$E$8)),$G$8-SQRT((1-R827)*($G$8-$E$8)*($G$8-$F$8))))</f>
        <v>1.01364366608682</v>
      </c>
      <c r="E827" s="51" t="n">
        <f aca="false">1+IF($G$9=$E$9,$F$9,IF(S827&lt;($F$9-$E$9)/($G$9-$E$9),$E$9+SQRT(S827*($G$9-$E$9)*($F$9-$E$9)),$G$9-SQRT((1-S827)*($G$9-$E$9)*($G$9-$F$9))))</f>
        <v>1.0358651073314</v>
      </c>
      <c r="F827" s="51" t="n">
        <f aca="false">1+IF($G$10=$E$10,$F$10,IF(T827&lt;($F$10-$E$10)/($G$10-$E$10),$E$10+SQRT(T827*($G$10-$E$10)*($F$10-$E$10)),$G$10-SQRT((1-T827)*($G$10-$E$10)*($G$10-$F$10))))</f>
        <v>0.985898922377977</v>
      </c>
      <c r="G827" s="52" t="n">
        <f aca="false">IF($G$11=$E$11,$F$11,IF(U827&lt;($F$11-$E$11)/($G$11-$E$11),$E$11+SQRT(U827*($G$11-$E$11)*($F$11-$E$11)),$G$11-SQRT((1-U827)*($G$11-$E$11)*($G$11-$F$11))))</f>
        <v>0.107677189925553</v>
      </c>
      <c r="H827" s="53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-1971797844.75595</v>
      </c>
      <c r="I827" s="53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-23516405.0583815</v>
      </c>
      <c r="J827" s="53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244566459.550823</v>
      </c>
      <c r="K827" s="53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561944270.278927</v>
      </c>
      <c r="L827" s="53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681778131.26017</v>
      </c>
      <c r="M827" s="53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849379114.873469</v>
      </c>
      <c r="N827" s="53" t="n">
        <f aca="false">IF(COUNT('Business Case'!B11:G11)=0,"",H827+NPV(G827,I827:M827))</f>
        <v>-417960182.448867</v>
      </c>
      <c r="P827" s="54" t="n">
        <f aca="true">RAND()</f>
        <v>0.78017004074886</v>
      </c>
      <c r="Q827" s="54" t="n">
        <f aca="true">RAND()</f>
        <v>0.0807027584194632</v>
      </c>
      <c r="R827" s="54" t="n">
        <f aca="true">RAND()</f>
        <v>0.576618937461804</v>
      </c>
      <c r="S827" s="54" t="n">
        <f aca="true">RAND()</f>
        <v>0.725781036159145</v>
      </c>
      <c r="T827" s="54" t="n">
        <f aca="true">RAND()</f>
        <v>0.103098610231999</v>
      </c>
      <c r="U827" s="54" t="n">
        <f aca="true">RAND()</f>
        <v>0.746913919781827</v>
      </c>
    </row>
    <row r="828" customFormat="false" ht="15" hidden="false" customHeight="false" outlineLevel="0" collapsed="false">
      <c r="A828" s="50" t="n">
        <v>748</v>
      </c>
      <c r="B828" s="51" t="n">
        <f aca="false">1+IF($G$6=$E$6,$F$6,IF(P828&lt;($F$6-$E$6)/($G$6-$E$6),$E$6+SQRT(P828*($G$6-$E$6)*($F$6-$E$6)),$G$6-SQRT((1-P828)*($G$6-$E$6)*($G$6-$F$6))))</f>
        <v>1.01240604213551</v>
      </c>
      <c r="C828" s="51" t="n">
        <f aca="false">1+IF($G$7=$E$7,$F$7,IF(Q828&lt;($F$7-$E$7)/($G$7-$E$7),$E$7+SQRT(Q828*($G$7-$E$7)*($F$7-$E$7)),$G$7-SQRT((1-Q828)*($G$7-$E$7)*($G$7-$F$7))))</f>
        <v>1.09844482162154</v>
      </c>
      <c r="D828" s="51" t="n">
        <f aca="false">1+IF($G$8=$E$8,$F$8,IF(R828&lt;($F$8-$E$8)/($G$8-$E$8),$E$8+SQRT(R828*($G$8-$E$8)*($F$8-$E$8)),$G$8-SQRT((1-R828)*($G$8-$E$8)*($G$8-$F$8))))</f>
        <v>1.04308669889474</v>
      </c>
      <c r="E828" s="51" t="n">
        <f aca="false">1+IF($G$9=$E$9,$F$9,IF(S828&lt;($F$9-$E$9)/($G$9-$E$9),$E$9+SQRT(S828*($G$9-$E$9)*($F$9-$E$9)),$G$9-SQRT((1-S828)*($G$9-$E$9)*($G$9-$F$9))))</f>
        <v>0.971692499075397</v>
      </c>
      <c r="F828" s="51" t="n">
        <f aca="false">1+IF($G$10=$E$10,$F$10,IF(T828&lt;($F$10-$E$10)/($G$10-$E$10),$E$10+SQRT(T828*($G$10-$E$10)*($F$10-$E$10)),$G$10-SQRT((1-T828)*($G$10-$E$10)*($G$10-$F$10))))</f>
        <v>1.05288621206874</v>
      </c>
      <c r="G828" s="52" t="n">
        <f aca="false">IF($G$11=$E$11,$F$11,IF(U828&lt;($F$11-$E$11)/($G$11-$E$11),$E$11+SQRT(U828*($G$11-$E$11)*($F$11-$E$11)),$G$11-SQRT((1-U828)*($G$11-$E$11)*($G$11-$F$11))))</f>
        <v>0.09874027047804</v>
      </c>
      <c r="H828" s="53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-2105772424.13747</v>
      </c>
      <c r="I828" s="53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23209856.1129668</v>
      </c>
      <c r="J828" s="53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347532828.32026</v>
      </c>
      <c r="K828" s="53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724500111.130991</v>
      </c>
      <c r="L828" s="53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871040982.879376</v>
      </c>
      <c r="M828" s="53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1082423661.78212</v>
      </c>
      <c r="N828" s="53" t="n">
        <f aca="false">IF(COUNT('Business Case'!B11:G11)=0,"",H828+NPV(G828,I828:M828))</f>
        <v>23057366.6844342</v>
      </c>
      <c r="P828" s="54" t="n">
        <f aca="true">RAND()</f>
        <v>0.841369476952634</v>
      </c>
      <c r="Q828" s="54" t="n">
        <f aca="true">RAND()</f>
        <v>0.949372639664093</v>
      </c>
      <c r="R828" s="54" t="n">
        <f aca="true">RAND()</f>
        <v>0.868981557837764</v>
      </c>
      <c r="S828" s="54" t="n">
        <f aca="true">RAND()</f>
        <v>0.06274193548481</v>
      </c>
      <c r="T828" s="54" t="n">
        <f aca="true">RAND()</f>
        <v>0.567150668010307</v>
      </c>
      <c r="U828" s="54" t="n">
        <f aca="true">RAND()</f>
        <v>0.25464109343099</v>
      </c>
    </row>
    <row r="829" customFormat="false" ht="15" hidden="false" customHeight="false" outlineLevel="0" collapsed="false">
      <c r="A829" s="50" t="n">
        <v>749</v>
      </c>
      <c r="B829" s="51" t="n">
        <f aca="false">1+IF($G$6=$E$6,$F$6,IF(P829&lt;($F$6-$E$6)/($G$6-$E$6),$E$6+SQRT(P829*($G$6-$E$6)*($F$6-$E$6)),$G$6-SQRT((1-P829)*($G$6-$E$6)*($G$6-$F$6))))</f>
        <v>1.01639352323497</v>
      </c>
      <c r="C829" s="51" t="n">
        <f aca="false">1+IF($G$7=$E$7,$F$7,IF(Q829&lt;($F$7-$E$7)/($G$7-$E$7),$E$7+SQRT(Q829*($G$7-$E$7)*($F$7-$E$7)),$G$7-SQRT((1-Q829)*($G$7-$E$7)*($G$7-$F$7))))</f>
        <v>0.878804015649348</v>
      </c>
      <c r="D829" s="51" t="n">
        <f aca="false">1+IF($G$8=$E$8,$F$8,IF(R829&lt;($F$8-$E$8)/($G$8-$E$8),$E$8+SQRT(R829*($G$8-$E$8)*($F$8-$E$8)),$G$8-SQRT((1-R829)*($G$8-$E$8)*($G$8-$F$8))))</f>
        <v>1.04217661859544</v>
      </c>
      <c r="E829" s="51" t="n">
        <f aca="false">1+IF($G$9=$E$9,$F$9,IF(S829&lt;($F$9-$E$9)/($G$9-$E$9),$E$9+SQRT(S829*($G$9-$E$9)*($F$9-$E$9)),$G$9-SQRT((1-S829)*($G$9-$E$9)*($G$9-$F$9))))</f>
        <v>1.06910654298019</v>
      </c>
      <c r="F829" s="51" t="n">
        <f aca="false">1+IF($G$10=$E$10,$F$10,IF(T829&lt;($F$10-$E$10)/($G$10-$E$10),$E$10+SQRT(T829*($G$10-$E$10)*($F$10-$E$10)),$G$10-SQRT((1-T829)*($G$10-$E$10)*($G$10-$F$10))))</f>
        <v>0.996262592747815</v>
      </c>
      <c r="G829" s="52" t="n">
        <f aca="false">IF($G$11=$E$11,$F$11,IF(U829&lt;($F$11-$E$11)/($G$11-$E$11),$E$11+SQRT(U829*($G$11-$E$11)*($F$11-$E$11)),$G$11-SQRT((1-U829)*($G$11-$E$11)*($G$11-$F$11))))</f>
        <v>0.0954604742946044</v>
      </c>
      <c r="H829" s="53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-1992525185.49563</v>
      </c>
      <c r="I829" s="53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-35205027.6310916</v>
      </c>
      <c r="J829" s="53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227547197.615172</v>
      </c>
      <c r="K829" s="53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540112552.498826</v>
      </c>
      <c r="L829" s="53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658565989.708107</v>
      </c>
      <c r="M829" s="53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828347481.40767</v>
      </c>
      <c r="N829" s="53" t="n">
        <f aca="false">IF(COUNT('Business Case'!B11:G11)=0,"",H829+NPV(G829,I829:M829))</f>
        <v>-441788678.233701</v>
      </c>
      <c r="P829" s="54" t="n">
        <f aca="true">RAND()</f>
        <v>0.88390296973795</v>
      </c>
      <c r="Q829" s="54" t="n">
        <f aca="true">RAND()</f>
        <v>0.0887153268923239</v>
      </c>
      <c r="R829" s="54" t="n">
        <f aca="true">RAND()</f>
        <v>0.862441521069693</v>
      </c>
      <c r="S829" s="54" t="n">
        <f aca="true">RAND()</f>
        <v>0.936372954224353</v>
      </c>
      <c r="T829" s="54" t="n">
        <f aca="true">RAND()</f>
        <v>0.171218199020016</v>
      </c>
      <c r="U829" s="54" t="n">
        <f aca="true">RAND()</f>
        <v>0.0993892650734516</v>
      </c>
    </row>
    <row r="830" customFormat="false" ht="15" hidden="false" customHeight="false" outlineLevel="0" collapsed="false">
      <c r="A830" s="50" t="n">
        <v>750</v>
      </c>
      <c r="B830" s="51" t="n">
        <f aca="false">1+IF($G$6=$E$6,$F$6,IF(P830&lt;($F$6-$E$6)/($G$6-$E$6),$E$6+SQRT(P830*($G$6-$E$6)*($F$6-$E$6)),$G$6-SQRT((1-P830)*($G$6-$E$6)*($G$6-$F$6))))</f>
        <v>1.00851176216928</v>
      </c>
      <c r="C830" s="51" t="n">
        <f aca="false">1+IF($G$7=$E$7,$F$7,IF(Q830&lt;($F$7-$E$7)/($G$7-$E$7),$E$7+SQRT(Q830*($G$7-$E$7)*($F$7-$E$7)),$G$7-SQRT((1-Q830)*($G$7-$E$7)*($G$7-$F$7))))</f>
        <v>0.909246421398567</v>
      </c>
      <c r="D830" s="51" t="n">
        <f aca="false">1+IF($G$8=$E$8,$F$8,IF(R830&lt;($F$8-$E$8)/($G$8-$E$8),$E$8+SQRT(R830*($G$8-$E$8)*($F$8-$E$8)),$G$8-SQRT((1-R830)*($G$8-$E$8)*($G$8-$F$8))))</f>
        <v>1.02718867638388</v>
      </c>
      <c r="E830" s="51" t="n">
        <f aca="false">1+IF($G$9=$E$9,$F$9,IF(S830&lt;($F$9-$E$9)/($G$9-$E$9),$E$9+SQRT(S830*($G$9-$E$9)*($F$9-$E$9)),$G$9-SQRT((1-S830)*($G$9-$E$9)*($G$9-$F$9))))</f>
        <v>1.03149874114529</v>
      </c>
      <c r="F830" s="51" t="n">
        <f aca="false">1+IF($G$10=$E$10,$F$10,IF(T830&lt;($F$10-$E$10)/($G$10-$E$10),$E$10+SQRT(T830*($G$10-$E$10)*($F$10-$E$10)),$G$10-SQRT((1-T830)*($G$10-$E$10)*($G$10-$F$10))))</f>
        <v>1.12945112391476</v>
      </c>
      <c r="G830" s="52" t="n">
        <f aca="false">IF($G$11=$E$11,$F$11,IF(U830&lt;($F$11-$E$11)/($G$11-$E$11),$E$11+SQRT(U830*($G$11-$E$11)*($F$11-$E$11)),$G$11-SQRT((1-U830)*($G$11-$E$11)*($G$11-$F$11))))</f>
        <v>0.103285492079418</v>
      </c>
      <c r="H830" s="53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-2258902247.82953</v>
      </c>
      <c r="I830" s="53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-34200160.7762063</v>
      </c>
      <c r="J830" s="53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238760451.072134</v>
      </c>
      <c r="K830" s="53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568193619.116213</v>
      </c>
      <c r="L830" s="53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690871515.8938</v>
      </c>
      <c r="M830" s="53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865172159.781904</v>
      </c>
      <c r="N830" s="53" t="n">
        <f aca="false">IF(COUNT('Business Case'!B11:G11)=0,"",H830+NPV(G830,I830:M830))</f>
        <v>-675130242.204588</v>
      </c>
      <c r="P830" s="54" t="n">
        <f aca="true">RAND()</f>
        <v>0.793435599649147</v>
      </c>
      <c r="Q830" s="54" t="n">
        <f aca="true">RAND()</f>
        <v>0.170496865548476</v>
      </c>
      <c r="R830" s="54" t="n">
        <f aca="true">RAND()</f>
        <v>0.731823470953226</v>
      </c>
      <c r="S830" s="54" t="n">
        <f aca="true">RAND()</f>
        <v>0.687171835688034</v>
      </c>
      <c r="T830" s="54" t="n">
        <f aca="true">RAND()</f>
        <v>0.900457121662198</v>
      </c>
      <c r="U830" s="54" t="n">
        <f aca="true">RAND()</f>
        <v>0.534375374954661</v>
      </c>
    </row>
    <row r="831" customFormat="false" ht="15" hidden="false" customHeight="false" outlineLevel="0" collapsed="false">
      <c r="A831" s="50" t="n">
        <v>751</v>
      </c>
      <c r="B831" s="51" t="n">
        <f aca="false">1+IF($G$6=$E$6,$F$6,IF(P831&lt;($F$6-$E$6)/($G$6-$E$6),$E$6+SQRT(P831*($G$6-$E$6)*($F$6-$E$6)),$G$6-SQRT((1-P831)*($G$6-$E$6)*($G$6-$F$6))))</f>
        <v>0.957850138437885</v>
      </c>
      <c r="C831" s="51" t="n">
        <f aca="false">1+IF($G$7=$E$7,$F$7,IF(Q831&lt;($F$7-$E$7)/($G$7-$E$7),$E$7+SQRT(Q831*($G$7-$E$7)*($F$7-$E$7)),$G$7-SQRT((1-Q831)*($G$7-$E$7)*($G$7-$F$7))))</f>
        <v>0.898012931076581</v>
      </c>
      <c r="D831" s="51" t="n">
        <f aca="false">1+IF($G$8=$E$8,$F$8,IF(R831&lt;($F$8-$E$8)/($G$8-$E$8),$E$8+SQRT(R831*($G$8-$E$8)*($F$8-$E$8)),$G$8-SQRT((1-R831)*($G$8-$E$8)*($G$8-$F$8))))</f>
        <v>0.975574730263651</v>
      </c>
      <c r="E831" s="51" t="n">
        <f aca="false">1+IF($G$9=$E$9,$F$9,IF(S831&lt;($F$9-$E$9)/($G$9-$E$9),$E$9+SQRT(S831*($G$9-$E$9)*($F$9-$E$9)),$G$9-SQRT((1-S831)*($G$9-$E$9)*($G$9-$F$9))))</f>
        <v>0.982498685921704</v>
      </c>
      <c r="F831" s="51" t="n">
        <f aca="false">1+IF($G$10=$E$10,$F$10,IF(T831&lt;($F$10-$E$10)/($G$10-$E$10),$E$10+SQRT(T831*($G$10-$E$10)*($F$10-$E$10)),$G$10-SQRT((1-T831)*($G$10-$E$10)*($G$10-$F$10))))</f>
        <v>1.01358566393159</v>
      </c>
      <c r="G831" s="52" t="n">
        <f aca="false">IF($G$11=$E$11,$F$11,IF(U831&lt;($F$11-$E$11)/($G$11-$E$11),$E$11+SQRT(U831*($G$11-$E$11)*($F$11-$E$11)),$G$11-SQRT((1-U831)*($G$11-$E$11)*($G$11-$F$11))))</f>
        <v>0.0933221945201534</v>
      </c>
      <c r="H831" s="53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-2027171327.86319</v>
      </c>
      <c r="I831" s="53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-29608433.3346384</v>
      </c>
      <c r="J831" s="53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226443801.11053</v>
      </c>
      <c r="K831" s="53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533175318.752278</v>
      </c>
      <c r="L831" s="53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648253255.733055</v>
      </c>
      <c r="M831" s="53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811752812.644518</v>
      </c>
      <c r="N831" s="53" t="n">
        <f aca="false">IF(COUNT('Business Case'!B11:G11)=0,"",H831+NPV(G831,I831:M831))</f>
        <v>-483549236.430854</v>
      </c>
      <c r="P831" s="54" t="n">
        <f aca="true">RAND()</f>
        <v>0.149232602059072</v>
      </c>
      <c r="Q831" s="54" t="n">
        <f aca="true">RAND()</f>
        <v>0.13723620940318</v>
      </c>
      <c r="R831" s="54" t="n">
        <f aca="true">RAND()</f>
        <v>0.100625665855152</v>
      </c>
      <c r="S831" s="54" t="n">
        <f aca="true">RAND()</f>
        <v>0.14082194488501</v>
      </c>
      <c r="T831" s="54" t="n">
        <f aca="true">RAND()</f>
        <v>0.304993906163502</v>
      </c>
      <c r="U831" s="54" t="n">
        <f aca="true">RAND()</f>
        <v>0.0367899214324567</v>
      </c>
    </row>
    <row r="832" customFormat="false" ht="15" hidden="false" customHeight="false" outlineLevel="0" collapsed="false">
      <c r="A832" s="50" t="n">
        <v>752</v>
      </c>
      <c r="B832" s="51" t="n">
        <f aca="false">1+IF($G$6=$E$6,$F$6,IF(P832&lt;($F$6-$E$6)/($G$6-$E$6),$E$6+SQRT(P832*($G$6-$E$6)*($F$6-$E$6)),$G$6-SQRT((1-P832)*($G$6-$E$6)*($G$6-$F$6))))</f>
        <v>0.978855442735166</v>
      </c>
      <c r="C832" s="51" t="n">
        <f aca="false">1+IF($G$7=$E$7,$F$7,IF(Q832&lt;($F$7-$E$7)/($G$7-$E$7),$E$7+SQRT(Q832*($G$7-$E$7)*($F$7-$E$7)),$G$7-SQRT((1-Q832)*($G$7-$E$7)*($G$7-$F$7))))</f>
        <v>0.938789930097396</v>
      </c>
      <c r="D832" s="51" t="n">
        <f aca="false">1+IF($G$8=$E$8,$F$8,IF(R832&lt;($F$8-$E$8)/($G$8-$E$8),$E$8+SQRT(R832*($G$8-$E$8)*($F$8-$E$8)),$G$8-SQRT((1-R832)*($G$8-$E$8)*($G$8-$F$8))))</f>
        <v>0.97824263787905</v>
      </c>
      <c r="E832" s="51" t="n">
        <f aca="false">1+IF($G$9=$E$9,$F$9,IF(S832&lt;($F$9-$E$9)/($G$9-$E$9),$E$9+SQRT(S832*($G$9-$E$9)*($F$9-$E$9)),$G$9-SQRT((1-S832)*($G$9-$E$9)*($G$9-$F$9))))</f>
        <v>1.00566190655296</v>
      </c>
      <c r="F832" s="51" t="n">
        <f aca="false">1+IF($G$10=$E$10,$F$10,IF(T832&lt;($F$10-$E$10)/($G$10-$E$10),$E$10+SQRT(T832*($G$10-$E$10)*($F$10-$E$10)),$G$10-SQRT((1-T832)*($G$10-$E$10)*($G$10-$F$10))))</f>
        <v>0.994942154217824</v>
      </c>
      <c r="G832" s="52" t="n">
        <f aca="false">IF($G$11=$E$11,$F$11,IF(U832&lt;($F$11-$E$11)/($G$11-$E$11),$E$11+SQRT(U832*($G$11-$E$11)*($F$11-$E$11)),$G$11-SQRT((1-U832)*($G$11-$E$11)*($G$11-$F$11))))</f>
        <v>0.100111274235815</v>
      </c>
      <c r="H832" s="53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-1989884308.43565</v>
      </c>
      <c r="I832" s="53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-7588518.00896592</v>
      </c>
      <c r="J832" s="53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274960133.072817</v>
      </c>
      <c r="K832" s="53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607255891.865492</v>
      </c>
      <c r="L832" s="53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733197329.264177</v>
      </c>
      <c r="M832" s="53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907869374.640343</v>
      </c>
      <c r="N832" s="53" t="n">
        <f aca="false">IF(COUNT('Business Case'!B11:G11)=0,"",H832+NPV(G832,I832:M832))</f>
        <v>-249475065.858283</v>
      </c>
      <c r="P832" s="54" t="n">
        <f aca="true">RAND()</f>
        <v>0.360829493703381</v>
      </c>
      <c r="Q832" s="54" t="n">
        <f aca="true">RAND()</f>
        <v>0.275180638520572</v>
      </c>
      <c r="R832" s="54" t="n">
        <f aca="true">RAND()</f>
        <v>0.12271486067187</v>
      </c>
      <c r="S832" s="54" t="n">
        <f aca="true">RAND()</f>
        <v>0.40668827498517</v>
      </c>
      <c r="T832" s="54" t="n">
        <f aca="true">RAND()</f>
        <v>0.161583778059092</v>
      </c>
      <c r="U832" s="54" t="n">
        <f aca="true">RAND()</f>
        <v>0.340730979128392</v>
      </c>
    </row>
    <row r="833" customFormat="false" ht="15" hidden="false" customHeight="false" outlineLevel="0" collapsed="false">
      <c r="A833" s="50" t="n">
        <v>753</v>
      </c>
      <c r="B833" s="51" t="n">
        <f aca="false">1+IF($G$6=$E$6,$F$6,IF(P833&lt;($F$6-$E$6)/($G$6-$E$6),$E$6+SQRT(P833*($G$6-$E$6)*($F$6-$E$6)),$G$6-SQRT((1-P833)*($G$6-$E$6)*($G$6-$F$6))))</f>
        <v>0.963940606117007</v>
      </c>
      <c r="C833" s="51" t="n">
        <f aca="false">1+IF($G$7=$E$7,$F$7,IF(Q833&lt;($F$7-$E$7)/($G$7-$E$7),$E$7+SQRT(Q833*($G$7-$E$7)*($F$7-$E$7)),$G$7-SQRT((1-Q833)*($G$7-$E$7)*($G$7-$F$7))))</f>
        <v>1.10253439805175</v>
      </c>
      <c r="D833" s="51" t="n">
        <f aca="false">1+IF($G$8=$E$8,$F$8,IF(R833&lt;($F$8-$E$8)/($G$8-$E$8),$E$8+SQRT(R833*($G$8-$E$8)*($F$8-$E$8)),$G$8-SQRT((1-R833)*($G$8-$E$8)*($G$8-$F$8))))</f>
        <v>1.06397793306637</v>
      </c>
      <c r="E833" s="51" t="n">
        <f aca="false">1+IF($G$9=$E$9,$F$9,IF(S833&lt;($F$9-$E$9)/($G$9-$E$9),$E$9+SQRT(S833*($G$9-$E$9)*($F$9-$E$9)),$G$9-SQRT((1-S833)*($G$9-$E$9)*($G$9-$F$9))))</f>
        <v>0.999186874833768</v>
      </c>
      <c r="F833" s="51" t="n">
        <f aca="false">1+IF($G$10=$E$10,$F$10,IF(T833&lt;($F$10-$E$10)/($G$10-$E$10),$E$10+SQRT(T833*($G$10-$E$10)*($F$10-$E$10)),$G$10-SQRT((1-T833)*($G$10-$E$10)*($G$10-$F$10))))</f>
        <v>1.02311488122563</v>
      </c>
      <c r="G833" s="52" t="n">
        <f aca="false">IF($G$11=$E$11,$F$11,IF(U833&lt;($F$11-$E$11)/($G$11-$E$11),$E$11+SQRT(U833*($G$11-$E$11)*($F$11-$E$11)),$G$11-SQRT((1-U833)*($G$11-$E$11)*($G$11-$F$11))))</f>
        <v>0.103007513123111</v>
      </c>
      <c r="H833" s="53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-2046229762.45125</v>
      </c>
      <c r="I833" s="53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-29517976.3152035</v>
      </c>
      <c r="J833" s="53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240454303.813358</v>
      </c>
      <c r="K833" s="53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561582328.003201</v>
      </c>
      <c r="L833" s="53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688302684.525949</v>
      </c>
      <c r="M833" s="53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890315465.165365</v>
      </c>
      <c r="N833" s="53" t="n">
        <f aca="false">IF(COUNT('Business Case'!B11:G11)=0,"",H833+NPV(G833,I833:M833))</f>
        <v>-446533880.862507</v>
      </c>
      <c r="P833" s="54" t="n">
        <f aca="true">RAND()</f>
        <v>0.201122590201036</v>
      </c>
      <c r="Q833" s="54" t="n">
        <f aca="true">RAND()</f>
        <v>0.957086031079814</v>
      </c>
      <c r="R833" s="54" t="n">
        <f aca="true">RAND()</f>
        <v>0.975316670305206</v>
      </c>
      <c r="S833" s="54" t="n">
        <f aca="true">RAND()</f>
        <v>0.322579820788373</v>
      </c>
      <c r="T833" s="54" t="n">
        <f aca="true">RAND()</f>
        <v>0.37423309512351</v>
      </c>
      <c r="U833" s="54" t="n">
        <f aca="true">RAND()</f>
        <v>0.518758982897921</v>
      </c>
    </row>
    <row r="834" customFormat="false" ht="15" hidden="false" customHeight="false" outlineLevel="0" collapsed="false">
      <c r="A834" s="50" t="n">
        <v>754</v>
      </c>
      <c r="B834" s="51" t="n">
        <f aca="false">1+IF($G$6=$E$6,$F$6,IF(P834&lt;($F$6-$E$6)/($G$6-$E$6),$E$6+SQRT(P834*($G$6-$E$6)*($F$6-$E$6)),$G$6-SQRT((1-P834)*($G$6-$E$6)*($G$6-$F$6))))</f>
        <v>1.02094465856214</v>
      </c>
      <c r="C834" s="51" t="n">
        <f aca="false">1+IF($G$7=$E$7,$F$7,IF(Q834&lt;($F$7-$E$7)/($G$7-$E$7),$E$7+SQRT(Q834*($G$7-$E$7)*($F$7-$E$7)),$G$7-SQRT((1-Q834)*($G$7-$E$7)*($G$7-$F$7))))</f>
        <v>1.06995523300359</v>
      </c>
      <c r="D834" s="51" t="n">
        <f aca="false">1+IF($G$8=$E$8,$F$8,IF(R834&lt;($F$8-$E$8)/($G$8-$E$8),$E$8+SQRT(R834*($G$8-$E$8)*($F$8-$E$8)),$G$8-SQRT((1-R834)*($G$8-$E$8)*($G$8-$F$8))))</f>
        <v>1.03599467316103</v>
      </c>
      <c r="E834" s="51" t="n">
        <f aca="false">1+IF($G$9=$E$9,$F$9,IF(S834&lt;($F$9-$E$9)/($G$9-$E$9),$E$9+SQRT(S834*($G$9-$E$9)*($F$9-$E$9)),$G$9-SQRT((1-S834)*($G$9-$E$9)*($G$9-$F$9))))</f>
        <v>0.996487892728072</v>
      </c>
      <c r="F834" s="51" t="n">
        <f aca="false">1+IF($G$10=$E$10,$F$10,IF(T834&lt;($F$10-$E$10)/($G$10-$E$10),$E$10+SQRT(T834*($G$10-$E$10)*($F$10-$E$10)),$G$10-SQRT((1-T834)*($G$10-$E$10)*($G$10-$F$10))))</f>
        <v>1.1240207331151</v>
      </c>
      <c r="G834" s="52" t="n">
        <f aca="false">IF($G$11=$E$11,$F$11,IF(U834&lt;($F$11-$E$11)/($G$11-$E$11),$E$11+SQRT(U834*($G$11-$E$11)*($F$11-$E$11)),$G$11-SQRT((1-U834)*($G$11-$E$11)*($G$11-$F$11))))</f>
        <v>0.100160108445195</v>
      </c>
      <c r="H834" s="53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-2248041466.2302</v>
      </c>
      <c r="I834" s="53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16547894.8430144</v>
      </c>
      <c r="J834" s="53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343826647.092518</v>
      </c>
      <c r="K834" s="53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727306435.997775</v>
      </c>
      <c r="L834" s="53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874151490.580307</v>
      </c>
      <c r="M834" s="53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1081788244.99348</v>
      </c>
      <c r="N834" s="53" t="n">
        <f aca="false">IF(COUNT('Business Case'!B11:G11)=0,"",H834+NPV(G834,I834:M834))</f>
        <v>-134804508.894481</v>
      </c>
      <c r="P834" s="54" t="n">
        <f aca="true">RAND()</f>
        <v>0.92435290889307</v>
      </c>
      <c r="Q834" s="54" t="n">
        <f aca="true">RAND()</f>
        <v>0.877958767171231</v>
      </c>
      <c r="R834" s="54" t="n">
        <f aca="true">RAND()</f>
        <v>0.813801077864916</v>
      </c>
      <c r="S834" s="54" t="n">
        <f aca="true">RAND()</f>
        <v>0.288149889372897</v>
      </c>
      <c r="T834" s="54" t="n">
        <f aca="true">RAND()</f>
        <v>0.884543020072658</v>
      </c>
      <c r="U834" s="54" t="n">
        <f aca="true">RAND()</f>
        <v>0.343964505155949</v>
      </c>
    </row>
    <row r="835" customFormat="false" ht="15" hidden="false" customHeight="false" outlineLevel="0" collapsed="false">
      <c r="A835" s="50" t="n">
        <v>755</v>
      </c>
      <c r="B835" s="51" t="n">
        <f aca="false">1+IF($G$6=$E$6,$F$6,IF(P835&lt;($F$6-$E$6)/($G$6-$E$6),$E$6+SQRT(P835*($G$6-$E$6)*($F$6-$E$6)),$G$6-SQRT((1-P835)*($G$6-$E$6)*($G$6-$F$6))))</f>
        <v>1.02736472584607</v>
      </c>
      <c r="C835" s="51" t="n">
        <f aca="false">1+IF($G$7=$E$7,$F$7,IF(Q835&lt;($F$7-$E$7)/($G$7-$E$7),$E$7+SQRT(Q835*($G$7-$E$7)*($F$7-$E$7)),$G$7-SQRT((1-Q835)*($G$7-$E$7)*($G$7-$F$7))))</f>
        <v>1.04384764214236</v>
      </c>
      <c r="D835" s="51" t="n">
        <f aca="false">1+IF($G$8=$E$8,$F$8,IF(R835&lt;($F$8-$E$8)/($G$8-$E$8),$E$8+SQRT(R835*($G$8-$E$8)*($F$8-$E$8)),$G$8-SQRT((1-R835)*($G$8-$E$8)*($G$8-$F$8))))</f>
        <v>1.02677582808483</v>
      </c>
      <c r="E835" s="51" t="n">
        <f aca="false">1+IF($G$9=$E$9,$F$9,IF(S835&lt;($F$9-$E$9)/($G$9-$E$9),$E$9+SQRT(S835*($G$9-$E$9)*($F$9-$E$9)),$G$9-SQRT((1-S835)*($G$9-$E$9)*($G$9-$F$9))))</f>
        <v>1.0069522346271</v>
      </c>
      <c r="F835" s="51" t="n">
        <f aca="false">1+IF($G$10=$E$10,$F$10,IF(T835&lt;($F$10-$E$10)/($G$10-$E$10),$E$10+SQRT(T835*($G$10-$E$10)*($F$10-$E$10)),$G$10-SQRT((1-T835)*($G$10-$E$10)*($G$10-$F$10))))</f>
        <v>1.03122059331404</v>
      </c>
      <c r="G835" s="52" t="n">
        <f aca="false">IF($G$11=$E$11,$F$11,IF(U835&lt;($F$11-$E$11)/($G$11-$E$11),$E$11+SQRT(U835*($G$11-$E$11)*($F$11-$E$11)),$G$11-SQRT((1-U835)*($G$11-$E$11)*($G$11-$F$11))))</f>
        <v>0.105520942673</v>
      </c>
      <c r="H835" s="53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-2062441186.62808</v>
      </c>
      <c r="I835" s="53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27803735.6594079</v>
      </c>
      <c r="J835" s="53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357511989.282845</v>
      </c>
      <c r="K835" s="53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738781272.571984</v>
      </c>
      <c r="L835" s="53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885746591.025564</v>
      </c>
      <c r="M835" s="53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1089590710.87728</v>
      </c>
      <c r="N835" s="53" t="n">
        <f aca="false">IF(COUNT('Business Case'!B11:G11)=0,"",H835+NPV(G835,I835:M835))</f>
        <v>54819127.484112</v>
      </c>
      <c r="P835" s="54" t="n">
        <f aca="true">RAND()</f>
        <v>0.966739551469817</v>
      </c>
      <c r="Q835" s="54" t="n">
        <f aca="true">RAND()</f>
        <v>0.785365274690731</v>
      </c>
      <c r="R835" s="54" t="n">
        <f aca="true">RAND()</f>
        <v>0.72761418499465</v>
      </c>
      <c r="S835" s="54" t="n">
        <f aca="true">RAND()</f>
        <v>0.422807557273988</v>
      </c>
      <c r="T835" s="54" t="n">
        <f aca="true">RAND()</f>
        <v>0.430270237574722</v>
      </c>
      <c r="U835" s="54" t="n">
        <f aca="true">RAND()</f>
        <v>0.65059483153575</v>
      </c>
    </row>
    <row r="836" customFormat="false" ht="15" hidden="false" customHeight="false" outlineLevel="0" collapsed="false">
      <c r="A836" s="50" t="n">
        <v>756</v>
      </c>
      <c r="B836" s="51" t="n">
        <f aca="false">1+IF($G$6=$E$6,$F$6,IF(P836&lt;($F$6-$E$6)/($G$6-$E$6),$E$6+SQRT(P836*($G$6-$E$6)*($F$6-$E$6)),$G$6-SQRT((1-P836)*($G$6-$E$6)*($G$6-$F$6))))</f>
        <v>0.936652440601203</v>
      </c>
      <c r="C836" s="51" t="n">
        <f aca="false">1+IF($G$7=$E$7,$F$7,IF(Q836&lt;($F$7-$E$7)/($G$7-$E$7),$E$7+SQRT(Q836*($G$7-$E$7)*($F$7-$E$7)),$G$7-SQRT((1-Q836)*($G$7-$E$7)*($G$7-$F$7))))</f>
        <v>1.11726993840178</v>
      </c>
      <c r="D836" s="51" t="n">
        <f aca="false">1+IF($G$8=$E$8,$F$8,IF(R836&lt;($F$8-$E$8)/($G$8-$E$8),$E$8+SQRT(R836*($G$8-$E$8)*($F$8-$E$8)),$G$8-SQRT((1-R836)*($G$8-$E$8)*($G$8-$F$8))))</f>
        <v>1.00670983167514</v>
      </c>
      <c r="E836" s="51" t="n">
        <f aca="false">1+IF($G$9=$E$9,$F$9,IF(S836&lt;($F$9-$E$9)/($G$9-$E$9),$E$9+SQRT(S836*($G$9-$E$9)*($F$9-$E$9)),$G$9-SQRT((1-S836)*($G$9-$E$9)*($G$9-$F$9))))</f>
        <v>1.04019305999906</v>
      </c>
      <c r="F836" s="51" t="n">
        <f aca="false">1+IF($G$10=$E$10,$F$10,IF(T836&lt;($F$10-$E$10)/($G$10-$E$10),$E$10+SQRT(T836*($G$10-$E$10)*($F$10-$E$10)),$G$10-SQRT((1-T836)*($G$10-$E$10)*($G$10-$F$10))))</f>
        <v>0.967388503116938</v>
      </c>
      <c r="G836" s="52" t="n">
        <f aca="false">IF($G$11=$E$11,$F$11,IF(U836&lt;($F$11-$E$11)/($G$11-$E$11),$E$11+SQRT(U836*($G$11-$E$11)*($F$11-$E$11)),$G$11-SQRT((1-U836)*($G$11-$E$11)*($G$11-$F$11))))</f>
        <v>0.0979559303625906</v>
      </c>
      <c r="H836" s="53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-1934777006.23388</v>
      </c>
      <c r="I836" s="53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-17541448.5767745</v>
      </c>
      <c r="J836" s="53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263821635.27162</v>
      </c>
      <c r="K836" s="53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593554144.275862</v>
      </c>
      <c r="L836" s="53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723508658.213067</v>
      </c>
      <c r="M836" s="53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922426164.478968</v>
      </c>
      <c r="N836" s="53" t="n">
        <f aca="false">IF(COUNT('Business Case'!B11:G11)=0,"",H836+NPV(G836,I836:M836))</f>
        <v>-207503295.854355</v>
      </c>
      <c r="P836" s="54" t="n">
        <f aca="true">RAND()</f>
        <v>0.0288858102058953</v>
      </c>
      <c r="Q836" s="54" t="n">
        <f aca="true">RAND()</f>
        <v>0.979595106052885</v>
      </c>
      <c r="R836" s="54" t="n">
        <f aca="true">RAND()</f>
        <v>0.483514541049422</v>
      </c>
      <c r="S836" s="54" t="n">
        <f aca="true">RAND()</f>
        <v>0.761541995181585</v>
      </c>
      <c r="T836" s="54" t="n">
        <f aca="true">RAND()</f>
        <v>0.0241888032518218</v>
      </c>
      <c r="U836" s="54" t="n">
        <f aca="true">RAND()</f>
        <v>0.21098942644797</v>
      </c>
    </row>
    <row r="837" customFormat="false" ht="15" hidden="false" customHeight="false" outlineLevel="0" collapsed="false">
      <c r="A837" s="50" t="n">
        <v>757</v>
      </c>
      <c r="B837" s="51" t="n">
        <f aca="false">1+IF($G$6=$E$6,$F$6,IF(P837&lt;($F$6-$E$6)/($G$6-$E$6),$E$6+SQRT(P837*($G$6-$E$6)*($F$6-$E$6)),$G$6-SQRT((1-P837)*($G$6-$E$6)*($G$6-$F$6))))</f>
        <v>1.01162933142039</v>
      </c>
      <c r="C837" s="51" t="n">
        <f aca="false">1+IF($G$7=$E$7,$F$7,IF(Q837&lt;($F$7-$E$7)/($G$7-$E$7),$E$7+SQRT(Q837*($G$7-$E$7)*($F$7-$E$7)),$G$7-SQRT((1-Q837)*($G$7-$E$7)*($G$7-$F$7))))</f>
        <v>0.871752888497389</v>
      </c>
      <c r="D837" s="51" t="n">
        <f aca="false">1+IF($G$8=$E$8,$F$8,IF(R837&lt;($F$8-$E$8)/($G$8-$E$8),$E$8+SQRT(R837*($G$8-$E$8)*($F$8-$E$8)),$G$8-SQRT((1-R837)*($G$8-$E$8)*($G$8-$F$8))))</f>
        <v>1.02879922583505</v>
      </c>
      <c r="E837" s="51" t="n">
        <f aca="false">1+IF($G$9=$E$9,$F$9,IF(S837&lt;($F$9-$E$9)/($G$9-$E$9),$E$9+SQRT(S837*($G$9-$E$9)*($F$9-$E$9)),$G$9-SQRT((1-S837)*($G$9-$E$9)*($G$9-$F$9))))</f>
        <v>1.02900560870824</v>
      </c>
      <c r="F837" s="51" t="n">
        <f aca="false">1+IF($G$10=$E$10,$F$10,IF(T837&lt;($F$10-$E$10)/($G$10-$E$10),$E$10+SQRT(T837*($G$10-$E$10)*($F$10-$E$10)),$G$10-SQRT((1-T837)*($G$10-$E$10)*($G$10-$F$10))))</f>
        <v>1.02029652357726</v>
      </c>
      <c r="G837" s="52" t="n">
        <f aca="false">IF($G$11=$E$11,$F$11,IF(U837&lt;($F$11-$E$11)/($G$11-$E$11),$E$11+SQRT(U837*($G$11-$E$11)*($F$11-$E$11)),$G$11-SQRT((1-U837)*($G$11-$E$11)*($G$11-$F$11))))</f>
        <v>0.0992964158849246</v>
      </c>
      <c r="H837" s="53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-2040593047.15451</v>
      </c>
      <c r="I837" s="53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-30859318.0454371</v>
      </c>
      <c r="J837" s="53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232352832.469711</v>
      </c>
      <c r="K837" s="53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546579809.163722</v>
      </c>
      <c r="L837" s="53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664795338.431803</v>
      </c>
      <c r="M837" s="53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832425140.12848</v>
      </c>
      <c r="N837" s="53" t="n">
        <f aca="false">IF(COUNT('Business Case'!B11:G11)=0,"",H837+NPV(G837,I837:M837))</f>
        <v>-491194966.419692</v>
      </c>
      <c r="P837" s="54" t="n">
        <f aca="true">RAND()</f>
        <v>0.832313575905346</v>
      </c>
      <c r="Q837" s="54" t="n">
        <f aca="true">RAND()</f>
        <v>0.0735496715388395</v>
      </c>
      <c r="R837" s="54" t="n">
        <f aca="true">RAND()</f>
        <v>0.747930838933656</v>
      </c>
      <c r="S837" s="54" t="n">
        <f aca="true">RAND()</f>
        <v>0.663986427007451</v>
      </c>
      <c r="T837" s="54" t="n">
        <f aca="true">RAND()</f>
        <v>0.354133211231613</v>
      </c>
      <c r="U837" s="54" t="n">
        <f aca="true">RAND()</f>
        <v>0.288077827684928</v>
      </c>
    </row>
    <row r="838" customFormat="false" ht="15" hidden="false" customHeight="false" outlineLevel="0" collapsed="false">
      <c r="A838" s="50" t="n">
        <v>758</v>
      </c>
      <c r="B838" s="51" t="n">
        <f aca="false">1+IF($G$6=$E$6,$F$6,IF(P838&lt;($F$6-$E$6)/($G$6-$E$6),$E$6+SQRT(P838*($G$6-$E$6)*($F$6-$E$6)),$G$6-SQRT((1-P838)*($G$6-$E$6)*($G$6-$F$6))))</f>
        <v>0.979598009513739</v>
      </c>
      <c r="C838" s="51" t="n">
        <f aca="false">1+IF($G$7=$E$7,$F$7,IF(Q838&lt;($F$7-$E$7)/($G$7-$E$7),$E$7+SQRT(Q838*($G$7-$E$7)*($F$7-$E$7)),$G$7-SQRT((1-Q838)*($G$7-$E$7)*($G$7-$F$7))))</f>
        <v>1.05009921260215</v>
      </c>
      <c r="D838" s="51" t="n">
        <f aca="false">1+IF($G$8=$E$8,$F$8,IF(R838&lt;($F$8-$E$8)/($G$8-$E$8),$E$8+SQRT(R838*($G$8-$E$8)*($F$8-$E$8)),$G$8-SQRT((1-R838)*($G$8-$E$8)*($G$8-$F$8))))</f>
        <v>1.01841645212592</v>
      </c>
      <c r="E838" s="51" t="n">
        <f aca="false">1+IF($G$9=$E$9,$F$9,IF(S838&lt;($F$9-$E$9)/($G$9-$E$9),$E$9+SQRT(S838*($G$9-$E$9)*($F$9-$E$9)),$G$9-SQRT((1-S838)*($G$9-$E$9)*($G$9-$F$9))))</f>
        <v>0.989933586406584</v>
      </c>
      <c r="F838" s="51" t="n">
        <f aca="false">1+IF($G$10=$E$10,$F$10,IF(T838&lt;($F$10-$E$10)/($G$10-$E$10),$E$10+SQRT(T838*($G$10-$E$10)*($F$10-$E$10)),$G$10-SQRT((1-T838)*($G$10-$E$10)*($G$10-$F$10))))</f>
        <v>0.953554819428162</v>
      </c>
      <c r="G838" s="52" t="n">
        <f aca="false">IF($G$11=$E$11,$F$11,IF(U838&lt;($F$11-$E$11)/($G$11-$E$11),$E$11+SQRT(U838*($G$11-$E$11)*($F$11-$E$11)),$G$11-SQRT((1-U838)*($G$11-$E$11)*($G$11-$F$11))))</f>
        <v>0.0979764933094432</v>
      </c>
      <c r="H838" s="53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-1907109638.85632</v>
      </c>
      <c r="I838" s="53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5641553.26169927</v>
      </c>
      <c r="J838" s="53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300733661.557242</v>
      </c>
      <c r="K838" s="53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643503510.824194</v>
      </c>
      <c r="L838" s="53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777418558.325383</v>
      </c>
      <c r="M838" s="53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972949121.040091</v>
      </c>
      <c r="N838" s="53" t="n">
        <f aca="false">IF(COUNT('Business Case'!B11:G11)=0,"",H838+NPV(G838,I838:M838))</f>
        <v>-21737937.2944624</v>
      </c>
      <c r="P838" s="54" t="n">
        <f aca="true">RAND()</f>
        <v>0.36999195187497</v>
      </c>
      <c r="Q838" s="54" t="n">
        <f aca="true">RAND()</f>
        <v>0.809901574805517</v>
      </c>
      <c r="R838" s="54" t="n">
        <f aca="true">RAND()</f>
        <v>0.635333329927053</v>
      </c>
      <c r="S838" s="54" t="n">
        <f aca="true">RAND()</f>
        <v>0.212625509772275</v>
      </c>
      <c r="T838" s="54" t="n">
        <f aca="true">RAND()</f>
        <v>0.00101093929334692</v>
      </c>
      <c r="U838" s="54" t="n">
        <f aca="true">RAND()</f>
        <v>0.212081485051973</v>
      </c>
    </row>
    <row r="839" customFormat="false" ht="15" hidden="false" customHeight="false" outlineLevel="0" collapsed="false">
      <c r="A839" s="50" t="n">
        <v>759</v>
      </c>
      <c r="B839" s="51" t="n">
        <f aca="false">1+IF($G$6=$E$6,$F$6,IF(P839&lt;($F$6-$E$6)/($G$6-$E$6),$E$6+SQRT(P839*($G$6-$E$6)*($F$6-$E$6)),$G$6-SQRT((1-P839)*($G$6-$E$6)*($G$6-$F$6))))</f>
        <v>0.987109016947916</v>
      </c>
      <c r="C839" s="51" t="n">
        <f aca="false">1+IF($G$7=$E$7,$F$7,IF(Q839&lt;($F$7-$E$7)/($G$7-$E$7),$E$7+SQRT(Q839*($G$7-$E$7)*($F$7-$E$7)),$G$7-SQRT((1-Q839)*($G$7-$E$7)*($G$7-$F$7))))</f>
        <v>1.09897469780023</v>
      </c>
      <c r="D839" s="51" t="n">
        <f aca="false">1+IF($G$8=$E$8,$F$8,IF(R839&lt;($F$8-$E$8)/($G$8-$E$8),$E$8+SQRT(R839*($G$8-$E$8)*($F$8-$E$8)),$G$8-SQRT((1-R839)*($G$8-$E$8)*($G$8-$F$8))))</f>
        <v>1.01988001809224</v>
      </c>
      <c r="E839" s="51" t="n">
        <f aca="false">1+IF($G$9=$E$9,$F$9,IF(S839&lt;($F$9-$E$9)/($G$9-$E$9),$E$9+SQRT(S839*($G$9-$E$9)*($F$9-$E$9)),$G$9-SQRT((1-S839)*($G$9-$E$9)*($G$9-$F$9))))</f>
        <v>0.995934992611598</v>
      </c>
      <c r="F839" s="51" t="n">
        <f aca="false">1+IF($G$10=$E$10,$F$10,IF(T839&lt;($F$10-$E$10)/($G$10-$E$10),$E$10+SQRT(T839*($G$10-$E$10)*($F$10-$E$10)),$G$10-SQRT((1-T839)*($G$10-$E$10)*($G$10-$F$10))))</f>
        <v>1.08352472315644</v>
      </c>
      <c r="G839" s="52" t="n">
        <f aca="false">IF($G$11=$E$11,$F$11,IF(U839&lt;($F$11-$E$11)/($G$11-$E$11),$E$11+SQRT(U839*($G$11-$E$11)*($F$11-$E$11)),$G$11-SQRT((1-U839)*($G$11-$E$11)*($G$11-$F$11))))</f>
        <v>0.117567922270628</v>
      </c>
      <c r="H839" s="53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-2167049446.31287</v>
      </c>
      <c r="I839" s="53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8553485.95364524</v>
      </c>
      <c r="J839" s="53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323317838.265931</v>
      </c>
      <c r="K839" s="53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692258426.736039</v>
      </c>
      <c r="L839" s="53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834670836.235887</v>
      </c>
      <c r="M839" s="53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1040871109.24586</v>
      </c>
      <c r="N839" s="53" t="n">
        <f aca="false">IF(COUNT('Business Case'!B11:G11)=0,"",H839+NPV(G839,I839:M839))</f>
        <v>-272412104.56038</v>
      </c>
      <c r="P839" s="54" t="n">
        <f aca="true">RAND()</f>
        <v>0.469127099553713</v>
      </c>
      <c r="Q839" s="54" t="n">
        <f aca="true">RAND()</f>
        <v>0.950407972103285</v>
      </c>
      <c r="R839" s="54" t="n">
        <f aca="true">RAND()</f>
        <v>0.652460363020227</v>
      </c>
      <c r="S839" s="54" t="n">
        <f aca="true">RAND()</f>
        <v>0.281336472830339</v>
      </c>
      <c r="T839" s="54" t="n">
        <f aca="true">RAND()</f>
        <v>0.728670197684307</v>
      </c>
      <c r="U839" s="54" t="n">
        <f aca="true">RAND()</f>
        <v>0.990141663197151</v>
      </c>
    </row>
    <row r="840" customFormat="false" ht="15" hidden="false" customHeight="false" outlineLevel="0" collapsed="false">
      <c r="A840" s="50" t="n">
        <v>760</v>
      </c>
      <c r="B840" s="51" t="n">
        <f aca="false">1+IF($G$6=$E$6,$F$6,IF(P840&lt;($F$6-$E$6)/($G$6-$E$6),$E$6+SQRT(P840*($G$6-$E$6)*($F$6-$E$6)),$G$6-SQRT((1-P840)*($G$6-$E$6)*($G$6-$F$6))))</f>
        <v>0.998863105543461</v>
      </c>
      <c r="C840" s="51" t="n">
        <f aca="false">1+IF($G$7=$E$7,$F$7,IF(Q840&lt;($F$7-$E$7)/($G$7-$E$7),$E$7+SQRT(Q840*($G$7-$E$7)*($F$7-$E$7)),$G$7-SQRT((1-Q840)*($G$7-$E$7)*($G$7-$F$7))))</f>
        <v>0.975413886054521</v>
      </c>
      <c r="D840" s="51" t="n">
        <f aca="false">1+IF($G$8=$E$8,$F$8,IF(R840&lt;($F$8-$E$8)/($G$8-$E$8),$E$8+SQRT(R840*($G$8-$E$8)*($F$8-$E$8)),$G$8-SQRT((1-R840)*($G$8-$E$8)*($G$8-$F$8))))</f>
        <v>1.02579321068271</v>
      </c>
      <c r="E840" s="51" t="n">
        <f aca="false">1+IF($G$9=$E$9,$F$9,IF(S840&lt;($F$9-$E$9)/($G$9-$E$9),$E$9+SQRT(S840*($G$9-$E$9)*($F$9-$E$9)),$G$9-SQRT((1-S840)*($G$9-$E$9)*($G$9-$F$9))))</f>
        <v>1.01412031113146</v>
      </c>
      <c r="F840" s="51" t="n">
        <f aca="false">1+IF($G$10=$E$10,$F$10,IF(T840&lt;($F$10-$E$10)/($G$10-$E$10),$E$10+SQRT(T840*($G$10-$E$10)*($F$10-$E$10)),$G$10-SQRT((1-T840)*($G$10-$E$10)*($G$10-$F$10))))</f>
        <v>1.0134149603631</v>
      </c>
      <c r="G840" s="52" t="n">
        <f aca="false">IF($G$11=$E$11,$F$11,IF(U840&lt;($F$11-$E$11)/($G$11-$E$11),$E$11+SQRT(U840*($G$11-$E$11)*($F$11-$E$11)),$G$11-SQRT((1-U840)*($G$11-$E$11)*($G$11-$F$11))))</f>
        <v>0.0992191562731548</v>
      </c>
      <c r="H840" s="53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-2026829920.72619</v>
      </c>
      <c r="I840" s="53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-10244774.3611804</v>
      </c>
      <c r="J840" s="53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275567823.823457</v>
      </c>
      <c r="K840" s="53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612051170.026249</v>
      </c>
      <c r="L840" s="53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740994014.932205</v>
      </c>
      <c r="M840" s="53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926189898.576458</v>
      </c>
      <c r="N840" s="53" t="n">
        <f aca="false">IF(COUNT('Business Case'!B11:G11)=0,"",H840+NPV(G840,I840:M840))</f>
        <v>-262575452.408251</v>
      </c>
      <c r="P840" s="54" t="n">
        <f aca="true">RAND()</f>
        <v>0.647853064162396</v>
      </c>
      <c r="Q840" s="54" t="n">
        <f aca="true">RAND()</f>
        <v>0.439571877439265</v>
      </c>
      <c r="R840" s="54" t="n">
        <f aca="true">RAND()</f>
        <v>0.71746384537605</v>
      </c>
      <c r="S840" s="54" t="n">
        <f aca="true">RAND()</f>
        <v>0.508311935989527</v>
      </c>
      <c r="T840" s="54" t="n">
        <f aca="true">RAND()</f>
        <v>0.303720459673894</v>
      </c>
      <c r="U840" s="54" t="n">
        <f aca="true">RAND()</f>
        <v>0.283309474629498</v>
      </c>
    </row>
    <row r="841" customFormat="false" ht="15" hidden="false" customHeight="false" outlineLevel="0" collapsed="false">
      <c r="A841" s="50" t="n">
        <v>761</v>
      </c>
      <c r="B841" s="51" t="n">
        <f aca="false">1+IF($G$6=$E$6,$F$6,IF(P841&lt;($F$6-$E$6)/($G$6-$E$6),$E$6+SQRT(P841*($G$6-$E$6)*($F$6-$E$6)),$G$6-SQRT((1-P841)*($G$6-$E$6)*($G$6-$F$6))))</f>
        <v>0.990640238635307</v>
      </c>
      <c r="C841" s="51" t="n">
        <f aca="false">1+IF($G$7=$E$7,$F$7,IF(Q841&lt;($F$7-$E$7)/($G$7-$E$7),$E$7+SQRT(Q841*($G$7-$E$7)*($F$7-$E$7)),$G$7-SQRT((1-Q841)*($G$7-$E$7)*($G$7-$F$7))))</f>
        <v>0.965245772613876</v>
      </c>
      <c r="D841" s="51" t="n">
        <f aca="false">1+IF($G$8=$E$8,$F$8,IF(R841&lt;($F$8-$E$8)/($G$8-$E$8),$E$8+SQRT(R841*($G$8-$E$8)*($F$8-$E$8)),$G$8-SQRT((1-R841)*($G$8-$E$8)*($G$8-$F$8))))</f>
        <v>1.00538663353239</v>
      </c>
      <c r="E841" s="51" t="n">
        <f aca="false">1+IF($G$9=$E$9,$F$9,IF(S841&lt;($F$9-$E$9)/($G$9-$E$9),$E$9+SQRT(S841*($G$9-$E$9)*($F$9-$E$9)),$G$9-SQRT((1-S841)*($G$9-$E$9)*($G$9-$F$9))))</f>
        <v>1.08195966641358</v>
      </c>
      <c r="F841" s="51" t="n">
        <f aca="false">1+IF($G$10=$E$10,$F$10,IF(T841&lt;($F$10-$E$10)/($G$10-$E$10),$E$10+SQRT(T841*($G$10-$E$10)*($F$10-$E$10)),$G$10-SQRT((1-T841)*($G$10-$E$10)*($G$10-$F$10))))</f>
        <v>1.15353480664557</v>
      </c>
      <c r="G841" s="52" t="n">
        <f aca="false">IF($G$11=$E$11,$F$11,IF(U841&lt;($F$11-$E$11)/($G$11-$E$11),$E$11+SQRT(U841*($G$11-$E$11)*($F$11-$E$11)),$G$11-SQRT((1-U841)*($G$11-$E$11)*($G$11-$F$11))))</f>
        <v>0.0998606491883943</v>
      </c>
      <c r="H841" s="53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-2307069613.29114</v>
      </c>
      <c r="I841" s="53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-32362540.8588327</v>
      </c>
      <c r="J841" s="53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254053057.433743</v>
      </c>
      <c r="K841" s="53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598145396.058596</v>
      </c>
      <c r="L841" s="53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726663924.771349</v>
      </c>
      <c r="M841" s="53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908420569.155097</v>
      </c>
      <c r="N841" s="53" t="n">
        <f aca="false">IF(COUNT('Business Case'!B11:G11)=0,"",H841+NPV(G841,I841:M841))</f>
        <v>-615925159.265173</v>
      </c>
      <c r="P841" s="54" t="n">
        <f aca="true">RAND()</f>
        <v>0.51979617858886</v>
      </c>
      <c r="Q841" s="54" t="n">
        <f aca="true">RAND()</f>
        <v>0.390088076667952</v>
      </c>
      <c r="R841" s="54" t="n">
        <f aca="true">RAND()</f>
        <v>0.464696686958697</v>
      </c>
      <c r="S841" s="54" t="n">
        <f aca="true">RAND()</f>
        <v>0.978303090939372</v>
      </c>
      <c r="T841" s="54" t="n">
        <f aca="true">RAND()</f>
        <v>0.956819716130705</v>
      </c>
      <c r="U841" s="54" t="n">
        <f aca="true">RAND()</f>
        <v>0.324108008055271</v>
      </c>
    </row>
    <row r="842" customFormat="false" ht="15" hidden="false" customHeight="false" outlineLevel="0" collapsed="false">
      <c r="A842" s="50" t="n">
        <v>762</v>
      </c>
      <c r="B842" s="51" t="n">
        <f aca="false">1+IF($G$6=$E$6,$F$6,IF(P842&lt;($F$6-$E$6)/($G$6-$E$6),$E$6+SQRT(P842*($G$6-$E$6)*($F$6-$E$6)),$G$6-SQRT((1-P842)*($G$6-$E$6)*($G$6-$F$6))))</f>
        <v>0.960009332104777</v>
      </c>
      <c r="C842" s="51" t="n">
        <f aca="false">1+IF($G$7=$E$7,$F$7,IF(Q842&lt;($F$7-$E$7)/($G$7-$E$7),$E$7+SQRT(Q842*($G$7-$E$7)*($F$7-$E$7)),$G$7-SQRT((1-Q842)*($G$7-$E$7)*($G$7-$F$7))))</f>
        <v>1.09089033354753</v>
      </c>
      <c r="D842" s="51" t="n">
        <f aca="false">1+IF($G$8=$E$8,$F$8,IF(R842&lt;($F$8-$E$8)/($G$8-$E$8),$E$8+SQRT(R842*($G$8-$E$8)*($F$8-$E$8)),$G$8-SQRT((1-R842)*($G$8-$E$8)*($G$8-$F$8))))</f>
        <v>1.02916976476183</v>
      </c>
      <c r="E842" s="51" t="n">
        <f aca="false">1+IF($G$9=$E$9,$F$9,IF(S842&lt;($F$9-$E$9)/($G$9-$E$9),$E$9+SQRT(S842*($G$9-$E$9)*($F$9-$E$9)),$G$9-SQRT((1-S842)*($G$9-$E$9)*($G$9-$F$9))))</f>
        <v>1.09001165560888</v>
      </c>
      <c r="F842" s="51" t="n">
        <f aca="false">1+IF($G$10=$E$10,$F$10,IF(T842&lt;($F$10-$E$10)/($G$10-$E$10),$E$10+SQRT(T842*($G$10-$E$10)*($F$10-$E$10)),$G$10-SQRT((1-T842)*($G$10-$E$10)*($G$10-$F$10))))</f>
        <v>1.09416554681341</v>
      </c>
      <c r="G842" s="52" t="n">
        <f aca="false">IF($G$11=$E$11,$F$11,IF(U842&lt;($F$11-$E$11)/($G$11-$E$11),$E$11+SQRT(U842*($G$11-$E$11)*($F$11-$E$11)),$G$11-SQRT((1-U842)*($G$11-$E$11)*($G$11-$F$11))))</f>
        <v>0.10114454386716</v>
      </c>
      <c r="H842" s="53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-2188331093.62681</v>
      </c>
      <c r="I842" s="53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-35659461.2086629</v>
      </c>
      <c r="J842" s="53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247387502.13396</v>
      </c>
      <c r="K842" s="53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585142742.817253</v>
      </c>
      <c r="L842" s="53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715685205.559702</v>
      </c>
      <c r="M842" s="53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914749317.848362</v>
      </c>
      <c r="N842" s="53" t="n">
        <f aca="false">IF(COUNT('Business Case'!B11:G11)=0,"",H842+NPV(G842,I842:M842))</f>
        <v>-526595384.518282</v>
      </c>
      <c r="P842" s="54" t="n">
        <f aca="true">RAND()</f>
        <v>0.166744443278163</v>
      </c>
      <c r="Q842" s="54" t="n">
        <f aca="true">RAND()</f>
        <v>0.933448520607204</v>
      </c>
      <c r="R842" s="54" t="n">
        <f aca="true">RAND()</f>
        <v>0.751566075541594</v>
      </c>
      <c r="S842" s="54" t="n">
        <f aca="true">RAND()</f>
        <v>0.993348865088296</v>
      </c>
      <c r="T842" s="54" t="n">
        <f aca="true">RAND()</f>
        <v>0.775981370373891</v>
      </c>
      <c r="U842" s="54" t="n">
        <f aca="true">RAND()</f>
        <v>0.407452956704242</v>
      </c>
    </row>
    <row r="843" customFormat="false" ht="15" hidden="false" customHeight="false" outlineLevel="0" collapsed="false">
      <c r="A843" s="50" t="n">
        <v>763</v>
      </c>
      <c r="B843" s="51" t="n">
        <f aca="false">1+IF($G$6=$E$6,$F$6,IF(P843&lt;($F$6-$E$6)/($G$6-$E$6),$E$6+SQRT(P843*($G$6-$E$6)*($F$6-$E$6)),$G$6-SQRT((1-P843)*($G$6-$E$6)*($G$6-$F$6))))</f>
        <v>1.02383296461145</v>
      </c>
      <c r="C843" s="51" t="n">
        <f aca="false">1+IF($G$7=$E$7,$F$7,IF(Q843&lt;($F$7-$E$7)/($G$7-$E$7),$E$7+SQRT(Q843*($G$7-$E$7)*($F$7-$E$7)),$G$7-SQRT((1-Q843)*($G$7-$E$7)*($G$7-$F$7))))</f>
        <v>0.955332239404344</v>
      </c>
      <c r="D843" s="51" t="n">
        <f aca="false">1+IF($G$8=$E$8,$F$8,IF(R843&lt;($F$8-$E$8)/($G$8-$E$8),$E$8+SQRT(R843*($G$8-$E$8)*($F$8-$E$8)),$G$8-SQRT((1-R843)*($G$8-$E$8)*($G$8-$F$8))))</f>
        <v>1.02428321672362</v>
      </c>
      <c r="E843" s="51" t="n">
        <f aca="false">1+IF($G$9=$E$9,$F$9,IF(S843&lt;($F$9-$E$9)/($G$9-$E$9),$E$9+SQRT(S843*($G$9-$E$9)*($F$9-$E$9)),$G$9-SQRT((1-S843)*($G$9-$E$9)*($G$9-$F$9))))</f>
        <v>0.958514893941072</v>
      </c>
      <c r="F843" s="51" t="n">
        <f aca="false">1+IF($G$10=$E$10,$F$10,IF(T843&lt;($F$10-$E$10)/($G$10-$E$10),$E$10+SQRT(T843*($G$10-$E$10)*($F$10-$E$10)),$G$10-SQRT((1-T843)*($G$10-$E$10)*($G$10-$F$10))))</f>
        <v>1.08199623343721</v>
      </c>
      <c r="G843" s="52" t="n">
        <f aca="false">IF($G$11=$E$11,$F$11,IF(U843&lt;($F$11-$E$11)/($G$11-$E$11),$E$11+SQRT(U843*($G$11-$E$11)*($F$11-$E$11)),$G$11-SQRT((1-U843)*($G$11-$E$11)*($G$11-$F$11))))</f>
        <v>0.114052780136291</v>
      </c>
      <c r="H843" s="53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-2163992466.87443</v>
      </c>
      <c r="I843" s="53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5000191.59365363</v>
      </c>
      <c r="J843" s="53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305205561.567861</v>
      </c>
      <c r="K843" s="53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659510743.213928</v>
      </c>
      <c r="L843" s="53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793382357.950938</v>
      </c>
      <c r="M843" s="53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979299727.385114</v>
      </c>
      <c r="N843" s="53" t="n">
        <f aca="false">IF(COUNT('Business Case'!B11:G11)=0,"",H843+NPV(G843,I843:M843))</f>
        <v>-350872402.3848</v>
      </c>
      <c r="P843" s="54" t="n">
        <f aca="true">RAND()</f>
        <v>0.945547284738634</v>
      </c>
      <c r="Q843" s="54" t="n">
        <f aca="true">RAND()</f>
        <v>0.344687208548122</v>
      </c>
      <c r="R843" s="54" t="n">
        <f aca="true">RAND()</f>
        <v>0.701503852051241</v>
      </c>
      <c r="S843" s="54" t="n">
        <f aca="true">RAND()</f>
        <v>0.00966712251036019</v>
      </c>
      <c r="T843" s="54" t="n">
        <f aca="true">RAND()</f>
        <v>0.721502221539911</v>
      </c>
      <c r="U843" s="54" t="n">
        <f aca="true">RAND()</f>
        <v>0.941050959821177</v>
      </c>
    </row>
    <row r="844" customFormat="false" ht="15" hidden="false" customHeight="false" outlineLevel="0" collapsed="false">
      <c r="A844" s="50" t="n">
        <v>764</v>
      </c>
      <c r="B844" s="51" t="n">
        <f aca="false">1+IF($G$6=$E$6,$F$6,IF(P844&lt;($F$6-$E$6)/($G$6-$E$6),$E$6+SQRT(P844*($G$6-$E$6)*($F$6-$E$6)),$G$6-SQRT((1-P844)*($G$6-$E$6)*($G$6-$F$6))))</f>
        <v>0.989524268479817</v>
      </c>
      <c r="C844" s="51" t="n">
        <f aca="false">1+IF($G$7=$E$7,$F$7,IF(Q844&lt;($F$7-$E$7)/($G$7-$E$7),$E$7+SQRT(Q844*($G$7-$E$7)*($F$7-$E$7)),$G$7-SQRT((1-Q844)*($G$7-$E$7)*($G$7-$F$7))))</f>
        <v>0.971955239748027</v>
      </c>
      <c r="D844" s="51" t="n">
        <f aca="false">1+IF($G$8=$E$8,$F$8,IF(R844&lt;($F$8-$E$8)/($G$8-$E$8),$E$8+SQRT(R844*($G$8-$E$8)*($F$8-$E$8)),$G$8-SQRT((1-R844)*($G$8-$E$8)*($G$8-$F$8))))</f>
        <v>1.00413712658239</v>
      </c>
      <c r="E844" s="51" t="n">
        <f aca="false">1+IF($G$9=$E$9,$F$9,IF(S844&lt;($F$9-$E$9)/($G$9-$E$9),$E$9+SQRT(S844*($G$9-$E$9)*($F$9-$E$9)),$G$9-SQRT((1-S844)*($G$9-$E$9)*($G$9-$F$9))))</f>
        <v>1.01559307737855</v>
      </c>
      <c r="F844" s="51" t="n">
        <f aca="false">1+IF($G$10=$E$10,$F$10,IF(T844&lt;($F$10-$E$10)/($G$10-$E$10),$E$10+SQRT(T844*($G$10-$E$10)*($F$10-$E$10)),$G$10-SQRT((1-T844)*($G$10-$E$10)*($G$10-$F$10))))</f>
        <v>1.04995662806085</v>
      </c>
      <c r="G844" s="52" t="n">
        <f aca="false">IF($G$11=$E$11,$F$11,IF(U844&lt;($F$11-$E$11)/($G$11-$E$11),$E$11+SQRT(U844*($G$11-$E$11)*($F$11-$E$11)),$G$11-SQRT((1-U844)*($G$11-$E$11)*($G$11-$F$11))))</f>
        <v>0.0993374344131093</v>
      </c>
      <c r="H844" s="53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-2099913256.1217</v>
      </c>
      <c r="I844" s="53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-11131556.5354626</v>
      </c>
      <c r="J844" s="53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277008213.086327</v>
      </c>
      <c r="K844" s="53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617645814.111158</v>
      </c>
      <c r="L844" s="53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746931289.150379</v>
      </c>
      <c r="M844" s="53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929745157.559478</v>
      </c>
      <c r="N844" s="53" t="n">
        <f aca="false">IF(COUNT('Business Case'!B11:G11)=0,"",H844+NPV(G844,I844:M844))</f>
        <v>-325509029.935609</v>
      </c>
      <c r="P844" s="54" t="n">
        <f aca="true">RAND()</f>
        <v>0.503502490380595</v>
      </c>
      <c r="Q844" s="54" t="n">
        <f aca="true">RAND()</f>
        <v>0.422408635382878</v>
      </c>
      <c r="R844" s="54" t="n">
        <f aca="true">RAND()</f>
        <v>0.446617734310013</v>
      </c>
      <c r="S844" s="54" t="n">
        <f aca="true">RAND()</f>
        <v>0.525031427571807</v>
      </c>
      <c r="T844" s="54" t="n">
        <f aca="true">RAND()</f>
        <v>0.54973973074261</v>
      </c>
      <c r="U844" s="54" t="n">
        <f aca="true">RAND()</f>
        <v>0.290625604730391</v>
      </c>
    </row>
    <row r="845" customFormat="false" ht="15" hidden="false" customHeight="false" outlineLevel="0" collapsed="false">
      <c r="A845" s="50" t="n">
        <v>765</v>
      </c>
      <c r="B845" s="51" t="n">
        <f aca="false">1+IF($G$6=$E$6,$F$6,IF(P845&lt;($F$6-$E$6)/($G$6-$E$6),$E$6+SQRT(P845*($G$6-$E$6)*($F$6-$E$6)),$G$6-SQRT((1-P845)*($G$6-$E$6)*($G$6-$F$6))))</f>
        <v>0.936747802290062</v>
      </c>
      <c r="C845" s="51" t="n">
        <f aca="false">1+IF($G$7=$E$7,$F$7,IF(Q845&lt;($F$7-$E$7)/($G$7-$E$7),$E$7+SQRT(Q845*($G$7-$E$7)*($F$7-$E$7)),$G$7-SQRT((1-Q845)*($G$7-$E$7)*($G$7-$F$7))))</f>
        <v>0.941569728205378</v>
      </c>
      <c r="D845" s="51" t="n">
        <f aca="false">1+IF($G$8=$E$8,$F$8,IF(R845&lt;($F$8-$E$8)/($G$8-$E$8),$E$8+SQRT(R845*($G$8-$E$8)*($F$8-$E$8)),$G$8-SQRT((1-R845)*($G$8-$E$8)*($G$8-$F$8))))</f>
        <v>1.0031470354884</v>
      </c>
      <c r="E845" s="51" t="n">
        <f aca="false">1+IF($G$9=$E$9,$F$9,IF(S845&lt;($F$9-$E$9)/($G$9-$E$9),$E$9+SQRT(S845*($G$9-$E$9)*($F$9-$E$9)),$G$9-SQRT((1-S845)*($G$9-$E$9)*($G$9-$F$9))))</f>
        <v>1.02311702842275</v>
      </c>
      <c r="F845" s="51" t="n">
        <f aca="false">1+IF($G$10=$E$10,$F$10,IF(T845&lt;($F$10-$E$10)/($G$10-$E$10),$E$10+SQRT(T845*($G$10-$E$10)*($F$10-$E$10)),$G$10-SQRT((1-T845)*($G$10-$E$10)*($G$10-$F$10))))</f>
        <v>1.0040200443781</v>
      </c>
      <c r="G845" s="52" t="n">
        <f aca="false">IF($G$11=$E$11,$F$11,IF(U845&lt;($F$11-$E$11)/($G$11-$E$11),$E$11+SQRT(U845*($G$11-$E$11)*($F$11-$E$11)),$G$11-SQRT((1-U845)*($G$11-$E$11)*($G$11-$F$11))))</f>
        <v>0.10120255440822</v>
      </c>
      <c r="H845" s="53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-2008040088.75619</v>
      </c>
      <c r="I845" s="53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-52705633.9517884</v>
      </c>
      <c r="J845" s="53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186201551.263332</v>
      </c>
      <c r="K845" s="53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475309738.697357</v>
      </c>
      <c r="L845" s="53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585427849.293986</v>
      </c>
      <c r="M845" s="53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753080951.347729</v>
      </c>
      <c r="N845" s="53" t="n">
        <f aca="false">IF(COUNT('Business Case'!B11:G11)=0,"",H845+NPV(G845,I845:M845))</f>
        <v>-683246000.685005</v>
      </c>
      <c r="P845" s="54" t="n">
        <f aca="true">RAND()</f>
        <v>0.0292175918278145</v>
      </c>
      <c r="Q845" s="54" t="n">
        <f aca="true">RAND()</f>
        <v>0.286314113487779</v>
      </c>
      <c r="R845" s="54" t="n">
        <f aca="true">RAND()</f>
        <v>0.432079023632589</v>
      </c>
      <c r="S845" s="54" t="n">
        <f aca="true">RAND()</f>
        <v>0.605933912096735</v>
      </c>
      <c r="T845" s="54" t="n">
        <f aca="true">RAND()</f>
        <v>0.231837139888722</v>
      </c>
      <c r="U845" s="54" t="n">
        <f aca="true">RAND()</f>
        <v>0.411093398706813</v>
      </c>
    </row>
    <row r="846" customFormat="false" ht="15" hidden="false" customHeight="false" outlineLevel="0" collapsed="false">
      <c r="A846" s="50" t="n">
        <v>766</v>
      </c>
      <c r="B846" s="51" t="n">
        <f aca="false">1+IF($G$6=$E$6,$F$6,IF(P846&lt;($F$6-$E$6)/($G$6-$E$6),$E$6+SQRT(P846*($G$6-$E$6)*($F$6-$E$6)),$G$6-SQRT((1-P846)*($G$6-$E$6)*($G$6-$F$6))))</f>
        <v>1.006186370331</v>
      </c>
      <c r="C846" s="51" t="n">
        <f aca="false">1+IF($G$7=$E$7,$F$7,IF(Q846&lt;($F$7-$E$7)/($G$7-$E$7),$E$7+SQRT(Q846*($G$7-$E$7)*($F$7-$E$7)),$G$7-SQRT((1-Q846)*($G$7-$E$7)*($G$7-$F$7))))</f>
        <v>0.840699181109448</v>
      </c>
      <c r="D846" s="51" t="n">
        <f aca="false">1+IF($G$8=$E$8,$F$8,IF(R846&lt;($F$8-$E$8)/($G$8-$E$8),$E$8+SQRT(R846*($G$8-$E$8)*($F$8-$E$8)),$G$8-SQRT((1-R846)*($G$8-$E$8)*($G$8-$F$8))))</f>
        <v>1.03218709797989</v>
      </c>
      <c r="E846" s="51" t="n">
        <f aca="false">1+IF($G$9=$E$9,$F$9,IF(S846&lt;($F$9-$E$9)/($G$9-$E$9),$E$9+SQRT(S846*($G$9-$E$9)*($F$9-$E$9)),$G$9-SQRT((1-S846)*($G$9-$E$9)*($G$9-$F$9))))</f>
        <v>0.990616752891515</v>
      </c>
      <c r="F846" s="51" t="n">
        <f aca="false">1+IF($G$10=$E$10,$F$10,IF(T846&lt;($F$10-$E$10)/($G$10-$E$10),$E$10+SQRT(T846*($G$10-$E$10)*($F$10-$E$10)),$G$10-SQRT((1-T846)*($G$10-$E$10)*($G$10-$F$10))))</f>
        <v>1.10172248404623</v>
      </c>
      <c r="G846" s="52" t="n">
        <f aca="false">IF($G$11=$E$11,$F$11,IF(U846&lt;($F$11-$E$11)/($G$11-$E$11),$E$11+SQRT(U846*($G$11-$E$11)*($F$11-$E$11)),$G$11-SQRT((1-U846)*($G$11-$E$11)*($G$11-$F$11))))</f>
        <v>0.0923967433653429</v>
      </c>
      <c r="H846" s="53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-2203444968.09246</v>
      </c>
      <c r="I846" s="53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-46259467.1681487</v>
      </c>
      <c r="J846" s="53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202370475.314486</v>
      </c>
      <c r="K846" s="53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506086541.999432</v>
      </c>
      <c r="L846" s="53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618197495.483634</v>
      </c>
      <c r="M846" s="53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778986178.428586</v>
      </c>
      <c r="N846" s="53" t="n">
        <f aca="false">IF(COUNT('Business Case'!B11:G11)=0,"",H846+NPV(G846,I846:M846))</f>
        <v>-753108349.793579</v>
      </c>
      <c r="P846" s="54" t="n">
        <f aca="true">RAND()</f>
        <v>0.761799676793341</v>
      </c>
      <c r="Q846" s="54" t="n">
        <f aca="true">RAND()</f>
        <v>0.0236631906139953</v>
      </c>
      <c r="R846" s="54" t="n">
        <f aca="true">RAND()</f>
        <v>0.780185230809206</v>
      </c>
      <c r="S846" s="54" t="n">
        <f aca="true">RAND()</f>
        <v>0.219962748726718</v>
      </c>
      <c r="T846" s="54" t="n">
        <f aca="true">RAND()</f>
        <v>0.806830597159131</v>
      </c>
      <c r="U846" s="54" t="n">
        <f aca="true">RAND()</f>
        <v>0.0191479291977179</v>
      </c>
    </row>
    <row r="847" customFormat="false" ht="15" hidden="false" customHeight="false" outlineLevel="0" collapsed="false">
      <c r="A847" s="50" t="n">
        <v>767</v>
      </c>
      <c r="B847" s="51" t="n">
        <f aca="false">1+IF($G$6=$E$6,$F$6,IF(P847&lt;($F$6-$E$6)/($G$6-$E$6),$E$6+SQRT(P847*($G$6-$E$6)*($F$6-$E$6)),$G$6-SQRT((1-P847)*($G$6-$E$6)*($G$6-$F$6))))</f>
        <v>1.01244030547561</v>
      </c>
      <c r="C847" s="51" t="n">
        <f aca="false">1+IF($G$7=$E$7,$F$7,IF(Q847&lt;($F$7-$E$7)/($G$7-$E$7),$E$7+SQRT(Q847*($G$7-$E$7)*($F$7-$E$7)),$G$7-SQRT((1-Q847)*($G$7-$E$7)*($G$7-$F$7))))</f>
        <v>0.850027508682336</v>
      </c>
      <c r="D847" s="51" t="n">
        <f aca="false">1+IF($G$8=$E$8,$F$8,IF(R847&lt;($F$8-$E$8)/($G$8-$E$8),$E$8+SQRT(R847*($G$8-$E$8)*($F$8-$E$8)),$G$8-SQRT((1-R847)*($G$8-$E$8)*($G$8-$F$8))))</f>
        <v>1.02740885578164</v>
      </c>
      <c r="E847" s="51" t="n">
        <f aca="false">1+IF($G$9=$E$9,$F$9,IF(S847&lt;($F$9-$E$9)/($G$9-$E$9),$E$9+SQRT(S847*($G$9-$E$9)*($F$9-$E$9)),$G$9-SQRT((1-S847)*($G$9-$E$9)*($G$9-$F$9))))</f>
        <v>1.06207917413897</v>
      </c>
      <c r="F847" s="51" t="n">
        <f aca="false">1+IF($G$10=$E$10,$F$10,IF(T847&lt;($F$10-$E$10)/($G$10-$E$10),$E$10+SQRT(T847*($G$10-$E$10)*($F$10-$E$10)),$G$10-SQRT((1-T847)*($G$10-$E$10)*($G$10-$F$10))))</f>
        <v>1.00728862259969</v>
      </c>
      <c r="G847" s="52" t="n">
        <f aca="false">IF($G$11=$E$11,$F$11,IF(U847&lt;($F$11-$E$11)/($G$11-$E$11),$E$11+SQRT(U847*($G$11-$E$11)*($F$11-$E$11)),$G$11-SQRT((1-U847)*($G$11-$E$11)*($G$11-$F$11))))</f>
        <v>0.11561958112628</v>
      </c>
      <c r="H847" s="53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-2014577245.19938</v>
      </c>
      <c r="I847" s="53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-38547980.7955682</v>
      </c>
      <c r="J847" s="53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219274172.642462</v>
      </c>
      <c r="K847" s="53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527460757.210477</v>
      </c>
      <c r="L847" s="53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643143883.963866</v>
      </c>
      <c r="M847" s="53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806727133.137784</v>
      </c>
      <c r="N847" s="53" t="n">
        <f aca="false">IF(COUNT('Business Case'!B11:G11)=0,"",H847+NPV(G847,I847:M847))</f>
        <v>-611071661.320973</v>
      </c>
      <c r="P847" s="54" t="n">
        <f aca="true">RAND()</f>
        <v>0.841763174525528</v>
      </c>
      <c r="Q847" s="54" t="n">
        <f aca="true">RAND()</f>
        <v>0.0357535946423029</v>
      </c>
      <c r="R847" s="54" t="n">
        <f aca="true">RAND()</f>
        <v>0.734054956711921</v>
      </c>
      <c r="S847" s="54" t="n">
        <f aca="true">RAND()</f>
        <v>0.904134064401154</v>
      </c>
      <c r="T847" s="54" t="n">
        <f aca="true">RAND()</f>
        <v>0.257246500409498</v>
      </c>
      <c r="U847" s="54" t="n">
        <f aca="true">RAND()</f>
        <v>0.968019884151263</v>
      </c>
    </row>
    <row r="848" customFormat="false" ht="15" hidden="false" customHeight="false" outlineLevel="0" collapsed="false">
      <c r="A848" s="50" t="n">
        <v>768</v>
      </c>
      <c r="B848" s="51" t="n">
        <f aca="false">1+IF($G$6=$E$6,$F$6,IF(P848&lt;($F$6-$E$6)/($G$6-$E$6),$E$6+SQRT(P848*($G$6-$E$6)*($F$6-$E$6)),$G$6-SQRT((1-P848)*($G$6-$E$6)*($G$6-$F$6))))</f>
        <v>0.992888526613305</v>
      </c>
      <c r="C848" s="51" t="n">
        <f aca="false">1+IF($G$7=$E$7,$F$7,IF(Q848&lt;($F$7-$E$7)/($G$7-$E$7),$E$7+SQRT(Q848*($G$7-$E$7)*($F$7-$E$7)),$G$7-SQRT((1-Q848)*($G$7-$E$7)*($G$7-$F$7))))</f>
        <v>1.1056620467987</v>
      </c>
      <c r="D848" s="51" t="n">
        <f aca="false">1+IF($G$8=$E$8,$F$8,IF(R848&lt;($F$8-$E$8)/($G$8-$E$8),$E$8+SQRT(R848*($G$8-$E$8)*($F$8-$E$8)),$G$8-SQRT((1-R848)*($G$8-$E$8)*($G$8-$F$8))))</f>
        <v>0.984998739281116</v>
      </c>
      <c r="E848" s="51" t="n">
        <f aca="false">1+IF($G$9=$E$9,$F$9,IF(S848&lt;($F$9-$E$9)/($G$9-$E$9),$E$9+SQRT(S848*($G$9-$E$9)*($F$9-$E$9)),$G$9-SQRT((1-S848)*($G$9-$E$9)*($G$9-$F$9))))</f>
        <v>0.991901523660816</v>
      </c>
      <c r="F848" s="51" t="n">
        <f aca="false">1+IF($G$10=$E$10,$F$10,IF(T848&lt;($F$10-$E$10)/($G$10-$E$10),$E$10+SQRT(T848*($G$10-$E$10)*($F$10-$E$10)),$G$10-SQRT((1-T848)*($G$10-$E$10)*($G$10-$F$10))))</f>
        <v>1.0763756910545</v>
      </c>
      <c r="G848" s="52" t="n">
        <f aca="false">IF($G$11=$E$11,$F$11,IF(U848&lt;($F$11-$E$11)/($G$11-$E$11),$E$11+SQRT(U848*($G$11-$E$11)*($F$11-$E$11)),$G$11-SQRT((1-U848)*($G$11-$E$11)*($G$11-$F$11))))</f>
        <v>0.104716031647971</v>
      </c>
      <c r="H848" s="53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-2152751382.10901</v>
      </c>
      <c r="I848" s="53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36061036.1066361</v>
      </c>
      <c r="J848" s="53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377717946.467665</v>
      </c>
      <c r="K848" s="53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773193641.38142</v>
      </c>
      <c r="L848" s="53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925019217.158012</v>
      </c>
      <c r="M848" s="53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1133688881.60072</v>
      </c>
      <c r="N848" s="53" t="n">
        <f aca="false">IF(COUNT('Business Case'!B11:G11)=0,"",H848+NPV(G848,I848:M848))</f>
        <v>73014023.6176052</v>
      </c>
      <c r="P848" s="54" t="n">
        <f aca="true">RAND()</f>
        <v>0.553410136651919</v>
      </c>
      <c r="Q848" s="54" t="n">
        <f aca="true">RAND()</f>
        <v>0.962555160112746</v>
      </c>
      <c r="R848" s="54" t="n">
        <f aca="true">RAND()</f>
        <v>0.188447961733461</v>
      </c>
      <c r="S848" s="54" t="n">
        <f aca="true">RAND()</f>
        <v>0.234098358013057</v>
      </c>
      <c r="T848" s="54" t="n">
        <f aca="true">RAND()</f>
        <v>0.694340604754971</v>
      </c>
      <c r="U848" s="54" t="n">
        <f aca="true">RAND()</f>
        <v>0.610667185690304</v>
      </c>
    </row>
    <row r="849" customFormat="false" ht="15" hidden="false" customHeight="false" outlineLevel="0" collapsed="false">
      <c r="A849" s="50" t="n">
        <v>769</v>
      </c>
      <c r="B849" s="51" t="n">
        <f aca="false">1+IF($G$6=$E$6,$F$6,IF(P849&lt;($F$6-$E$6)/($G$6-$E$6),$E$6+SQRT(P849*($G$6-$E$6)*($F$6-$E$6)),$G$6-SQRT((1-P849)*($G$6-$E$6)*($G$6-$F$6))))</f>
        <v>1.02039612592093</v>
      </c>
      <c r="C849" s="51" t="n">
        <f aca="false">1+IF($G$7=$E$7,$F$7,IF(Q849&lt;($F$7-$E$7)/($G$7-$E$7),$E$7+SQRT(Q849*($G$7-$E$7)*($F$7-$E$7)),$G$7-SQRT((1-Q849)*($G$7-$E$7)*($G$7-$F$7))))</f>
        <v>0.870401056068763</v>
      </c>
      <c r="D849" s="51" t="n">
        <f aca="false">1+IF($G$8=$E$8,$F$8,IF(R849&lt;($F$8-$E$8)/($G$8-$E$8),$E$8+SQRT(R849*($G$8-$E$8)*($F$8-$E$8)),$G$8-SQRT((1-R849)*($G$8-$E$8)*($G$8-$F$8))))</f>
        <v>1.04180204350172</v>
      </c>
      <c r="E849" s="51" t="n">
        <f aca="false">1+IF($G$9=$E$9,$F$9,IF(S849&lt;($F$9-$E$9)/($G$9-$E$9),$E$9+SQRT(S849*($G$9-$E$9)*($F$9-$E$9)),$G$9-SQRT((1-S849)*($G$9-$E$9)*($G$9-$F$9))))</f>
        <v>1.00921080021865</v>
      </c>
      <c r="F849" s="51" t="n">
        <f aca="false">1+IF($G$10=$E$10,$F$10,IF(T849&lt;($F$10-$E$10)/($G$10-$E$10),$E$10+SQRT(T849*($G$10-$E$10)*($F$10-$E$10)),$G$10-SQRT((1-T849)*($G$10-$E$10)*($G$10-$F$10))))</f>
        <v>1.09850311703264</v>
      </c>
      <c r="G849" s="52" t="n">
        <f aca="false">IF($G$11=$E$11,$F$11,IF(U849&lt;($F$11-$E$11)/($G$11-$E$11),$E$11+SQRT(U849*($G$11-$E$11)*($F$11-$E$11)),$G$11-SQRT((1-U849)*($G$11-$E$11)*($G$11-$F$11))))</f>
        <v>0.102893768717099</v>
      </c>
      <c r="H849" s="53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-2197006234.06529</v>
      </c>
      <c r="I849" s="53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-36141704.6525035</v>
      </c>
      <c r="J849" s="53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227118574.582575</v>
      </c>
      <c r="K849" s="53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545304009.669286</v>
      </c>
      <c r="L849" s="53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663752033.676463</v>
      </c>
      <c r="M849" s="53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832572320.451622</v>
      </c>
      <c r="N849" s="53" t="n">
        <f aca="false">IF(COUNT('Business Case'!B11:G11)=0,"",H849+NPV(G849,I849:M849))</f>
        <v>-677752305.931304</v>
      </c>
      <c r="P849" s="54" t="n">
        <f aca="true">RAND()</f>
        <v>0.919935025227516</v>
      </c>
      <c r="Q849" s="54" t="n">
        <f aca="true">RAND()</f>
        <v>0.0708044099371008</v>
      </c>
      <c r="R849" s="54" t="n">
        <f aca="true">RAND()</f>
        <v>0.859703473014978</v>
      </c>
      <c r="S849" s="54" t="n">
        <f aca="true">RAND()</f>
        <v>0.450488080204188</v>
      </c>
      <c r="T849" s="54" t="n">
        <f aca="true">RAND()</f>
        <v>0.793967654958219</v>
      </c>
      <c r="U849" s="54" t="n">
        <f aca="true">RAND()</f>
        <v>0.512294752159838</v>
      </c>
    </row>
    <row r="850" customFormat="false" ht="15" hidden="false" customHeight="false" outlineLevel="0" collapsed="false">
      <c r="A850" s="50" t="n">
        <v>770</v>
      </c>
      <c r="B850" s="51" t="n">
        <f aca="false">1+IF($G$6=$E$6,$F$6,IF(P850&lt;($F$6-$E$6)/($G$6-$E$6),$E$6+SQRT(P850*($G$6-$E$6)*($F$6-$E$6)),$G$6-SQRT((1-P850)*($G$6-$E$6)*($G$6-$F$6))))</f>
        <v>0.960643246414891</v>
      </c>
      <c r="C850" s="51" t="n">
        <f aca="false">1+IF($G$7=$E$7,$F$7,IF(Q850&lt;($F$7-$E$7)/($G$7-$E$7),$E$7+SQRT(Q850*($G$7-$E$7)*($F$7-$E$7)),$G$7-SQRT((1-Q850)*($G$7-$E$7)*($G$7-$F$7))))</f>
        <v>1.01656265676596</v>
      </c>
      <c r="D850" s="51" t="n">
        <f aca="false">1+IF($G$8=$E$8,$F$8,IF(R850&lt;($F$8-$E$8)/($G$8-$E$8),$E$8+SQRT(R850*($G$8-$E$8)*($F$8-$E$8)),$G$8-SQRT((1-R850)*($G$8-$E$8)*($G$8-$F$8))))</f>
        <v>1.0429240817465</v>
      </c>
      <c r="E850" s="51" t="n">
        <f aca="false">1+IF($G$9=$E$9,$F$9,IF(S850&lt;($F$9-$E$9)/($G$9-$E$9),$E$9+SQRT(S850*($G$9-$E$9)*($F$9-$E$9)),$G$9-SQRT((1-S850)*($G$9-$E$9)*($G$9-$F$9))))</f>
        <v>1.05742970672929</v>
      </c>
      <c r="F850" s="51" t="n">
        <f aca="false">1+IF($G$10=$E$10,$F$10,IF(T850&lt;($F$10-$E$10)/($G$10-$E$10),$E$10+SQRT(T850*($G$10-$E$10)*($F$10-$E$10)),$G$10-SQRT((1-T850)*($G$10-$E$10)*($G$10-$F$10))))</f>
        <v>1.17148596449695</v>
      </c>
      <c r="G850" s="52" t="n">
        <f aca="false">IF($G$11=$E$11,$F$11,IF(U850&lt;($F$11-$E$11)/($G$11-$E$11),$E$11+SQRT(U850*($G$11-$E$11)*($F$11-$E$11)),$G$11-SQRT((1-U850)*($G$11-$E$11)*($G$11-$F$11))))</f>
        <v>0.0991830525833868</v>
      </c>
      <c r="H850" s="53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-2342971928.9939</v>
      </c>
      <c r="I850" s="53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-61007977.2215407</v>
      </c>
      <c r="J850" s="53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196123708.295943</v>
      </c>
      <c r="K850" s="53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511829692.038274</v>
      </c>
      <c r="L850" s="53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631289961.872386</v>
      </c>
      <c r="M850" s="53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816913355.84461</v>
      </c>
      <c r="N850" s="53" t="n">
        <f aca="false">IF(COUNT('Business Case'!B11:G11)=0,"",H850+NPV(G850,I850:M850))</f>
        <v>-909155397.115168</v>
      </c>
      <c r="P850" s="54" t="n">
        <f aca="true">RAND()</f>
        <v>0.172070154077245</v>
      </c>
      <c r="Q850" s="54" t="n">
        <f aca="true">RAND()</f>
        <v>0.660847151059843</v>
      </c>
      <c r="R850" s="54" t="n">
        <f aca="true">RAND()</f>
        <v>0.867824642851899</v>
      </c>
      <c r="S850" s="54" t="n">
        <f aca="true">RAND()</f>
        <v>0.879184675389708</v>
      </c>
      <c r="T850" s="54" t="n">
        <f aca="true">RAND()</f>
        <v>0.983738995586615</v>
      </c>
      <c r="U850" s="54" t="n">
        <f aca="true">RAND()</f>
        <v>0.281094849164156</v>
      </c>
    </row>
    <row r="851" customFormat="false" ht="15" hidden="false" customHeight="false" outlineLevel="0" collapsed="false">
      <c r="A851" s="50" t="n">
        <v>771</v>
      </c>
      <c r="B851" s="51" t="n">
        <f aca="false">1+IF($G$6=$E$6,$F$6,IF(P851&lt;($F$6-$E$6)/($G$6-$E$6),$E$6+SQRT(P851*($G$6-$E$6)*($F$6-$E$6)),$G$6-SQRT((1-P851)*($G$6-$E$6)*($G$6-$F$6))))</f>
        <v>0.967709872114331</v>
      </c>
      <c r="C851" s="51" t="n">
        <f aca="false">1+IF($G$7=$E$7,$F$7,IF(Q851&lt;($F$7-$E$7)/($G$7-$E$7),$E$7+SQRT(Q851*($G$7-$E$7)*($F$7-$E$7)),$G$7-SQRT((1-Q851)*($G$7-$E$7)*($G$7-$F$7))))</f>
        <v>1.05019873726445</v>
      </c>
      <c r="D851" s="51" t="n">
        <f aca="false">1+IF($G$8=$E$8,$F$8,IF(R851&lt;($F$8-$E$8)/($G$8-$E$8),$E$8+SQRT(R851*($G$8-$E$8)*($F$8-$E$8)),$G$8-SQRT((1-R851)*($G$8-$E$8)*($G$8-$F$8))))</f>
        <v>0.98866023165546</v>
      </c>
      <c r="E851" s="51" t="n">
        <f aca="false">1+IF($G$9=$E$9,$F$9,IF(S851&lt;($F$9-$E$9)/($G$9-$E$9),$E$9+SQRT(S851*($G$9-$E$9)*($F$9-$E$9)),$G$9-SQRT((1-S851)*($G$9-$E$9)*($G$9-$F$9))))</f>
        <v>1.01460416736821</v>
      </c>
      <c r="F851" s="51" t="n">
        <f aca="false">1+IF($G$10=$E$10,$F$10,IF(T851&lt;($F$10-$E$10)/($G$10-$E$10),$E$10+SQRT(T851*($G$10-$E$10)*($F$10-$E$10)),$G$10-SQRT((1-T851)*($G$10-$E$10)*($G$10-$F$10))))</f>
        <v>0.982345273470575</v>
      </c>
      <c r="G851" s="52" t="n">
        <f aca="false">IF($G$11=$E$11,$F$11,IF(U851&lt;($F$11-$E$11)/($G$11-$E$11),$E$11+SQRT(U851*($G$11-$E$11)*($F$11-$E$11)),$G$11-SQRT((1-U851)*($G$11-$E$11)*($G$11-$F$11))))</f>
        <v>0.110579440746003</v>
      </c>
      <c r="H851" s="53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-1964690546.94115</v>
      </c>
      <c r="I851" s="53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5695916.77500029</v>
      </c>
      <c r="J851" s="53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306587427.125206</v>
      </c>
      <c r="K851" s="53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656596201.148942</v>
      </c>
      <c r="L851" s="53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792016273.684603</v>
      </c>
      <c r="M851" s="53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985192236.988696</v>
      </c>
      <c r="N851" s="53" t="n">
        <f aca="false">IF(COUNT('Business Case'!B11:G11)=0,"",H851+NPV(G851,I851:M851))</f>
        <v>-127864042.827009</v>
      </c>
      <c r="P851" s="54" t="n">
        <f aca="true">RAND()</f>
        <v>0.237107489288105</v>
      </c>
      <c r="Q851" s="54" t="n">
        <f aca="true">RAND()</f>
        <v>0.810280151550274</v>
      </c>
      <c r="R851" s="54" t="n">
        <f aca="true">RAND()</f>
        <v>0.229940540254437</v>
      </c>
      <c r="S851" s="54" t="n">
        <f aca="true">RAND()</f>
        <v>0.513836784608209</v>
      </c>
      <c r="T851" s="54" t="n">
        <f aca="true">RAND()</f>
        <v>0.0836973372709047</v>
      </c>
      <c r="U851" s="54" t="n">
        <f aca="true">RAND()</f>
        <v>0.852088438903217</v>
      </c>
    </row>
    <row r="852" customFormat="false" ht="15" hidden="false" customHeight="false" outlineLevel="0" collapsed="false">
      <c r="A852" s="50" t="n">
        <v>772</v>
      </c>
      <c r="B852" s="51" t="n">
        <f aca="false">1+IF($G$6=$E$6,$F$6,IF(P852&lt;($F$6-$E$6)/($G$6-$E$6),$E$6+SQRT(P852*($G$6-$E$6)*($F$6-$E$6)),$G$6-SQRT((1-P852)*($G$6-$E$6)*($G$6-$F$6))))</f>
        <v>1.02622221233312</v>
      </c>
      <c r="C852" s="51" t="n">
        <f aca="false">1+IF($G$7=$E$7,$F$7,IF(Q852&lt;($F$7-$E$7)/($G$7-$E$7),$E$7+SQRT(Q852*($G$7-$E$7)*($F$7-$E$7)),$G$7-SQRT((1-Q852)*($G$7-$E$7)*($G$7-$F$7))))</f>
        <v>1.0616430916347</v>
      </c>
      <c r="D852" s="51" t="n">
        <f aca="false">1+IF($G$8=$E$8,$F$8,IF(R852&lt;($F$8-$E$8)/($G$8-$E$8),$E$8+SQRT(R852*($G$8-$E$8)*($F$8-$E$8)),$G$8-SQRT((1-R852)*($G$8-$E$8)*($G$8-$F$8))))</f>
        <v>0.977451216079112</v>
      </c>
      <c r="E852" s="51" t="n">
        <f aca="false">1+IF($G$9=$E$9,$F$9,IF(S852&lt;($F$9-$E$9)/($G$9-$E$9),$E$9+SQRT(S852*($G$9-$E$9)*($F$9-$E$9)),$G$9-SQRT((1-S852)*($G$9-$E$9)*($G$9-$F$9))))</f>
        <v>0.997686434780982</v>
      </c>
      <c r="F852" s="51" t="n">
        <f aca="false">1+IF($G$10=$E$10,$F$10,IF(T852&lt;($F$10-$E$10)/($G$10-$E$10),$E$10+SQRT(T852*($G$10-$E$10)*($F$10-$E$10)),$G$10-SQRT((1-T852)*($G$10-$E$10)*($G$10-$F$10))))</f>
        <v>0.975894738923934</v>
      </c>
      <c r="G852" s="52" t="n">
        <f aca="false">IF($G$11=$E$11,$F$11,IF(U852&lt;($F$11-$E$11)/($G$11-$E$11),$E$11+SQRT(U852*($G$11-$E$11)*($F$11-$E$11)),$G$11-SQRT((1-U852)*($G$11-$E$11)*($G$11-$F$11))))</f>
        <v>0.100794938567531</v>
      </c>
      <c r="H852" s="53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-1951789477.84787</v>
      </c>
      <c r="I852" s="53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65203154.6677407</v>
      </c>
      <c r="J852" s="53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426345526.732865</v>
      </c>
      <c r="K852" s="53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836282635.744186</v>
      </c>
      <c r="L852" s="53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994315914.751985</v>
      </c>
      <c r="M852" s="53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1201404600.50881</v>
      </c>
      <c r="N852" s="53" t="n">
        <f aca="false">IF(COUNT('Business Case'!B11:G11)=0,"",H852+NPV(G852,I852:M852))</f>
        <v>506697188.828423</v>
      </c>
      <c r="P852" s="54" t="n">
        <f aca="true">RAND()</f>
        <v>0.960452618126349</v>
      </c>
      <c r="Q852" s="54" t="n">
        <f aca="true">RAND()</f>
        <v>0.851296318935724</v>
      </c>
      <c r="R852" s="54" t="n">
        <f aca="true">RAND()</f>
        <v>0.115933732957247</v>
      </c>
      <c r="S852" s="54" t="n">
        <f aca="true">RAND()</f>
        <v>0.30319947494944</v>
      </c>
      <c r="T852" s="54" t="n">
        <f aca="true">RAND()</f>
        <v>0.0536430003150952</v>
      </c>
      <c r="U852" s="54" t="n">
        <f aca="true">RAND()</f>
        <v>0.385276025625175</v>
      </c>
    </row>
    <row r="853" customFormat="false" ht="15" hidden="false" customHeight="false" outlineLevel="0" collapsed="false">
      <c r="A853" s="50" t="n">
        <v>773</v>
      </c>
      <c r="B853" s="51" t="n">
        <f aca="false">1+IF($G$6=$E$6,$F$6,IF(P853&lt;($F$6-$E$6)/($G$6-$E$6),$E$6+SQRT(P853*($G$6-$E$6)*($F$6-$E$6)),$G$6-SQRT((1-P853)*($G$6-$E$6)*($G$6-$F$6))))</f>
        <v>0.99469896174041</v>
      </c>
      <c r="C853" s="51" t="n">
        <f aca="false">1+IF($G$7=$E$7,$F$7,IF(Q853&lt;($F$7-$E$7)/($G$7-$E$7),$E$7+SQRT(Q853*($G$7-$E$7)*($F$7-$E$7)),$G$7-SQRT((1-Q853)*($G$7-$E$7)*($G$7-$F$7))))</f>
        <v>1.05665386183243</v>
      </c>
      <c r="D853" s="51" t="n">
        <f aca="false">1+IF($G$8=$E$8,$F$8,IF(R853&lt;($F$8-$E$8)/($G$8-$E$8),$E$8+SQRT(R853*($G$8-$E$8)*($F$8-$E$8)),$G$8-SQRT((1-R853)*($G$8-$E$8)*($G$8-$F$8))))</f>
        <v>0.990659159090125</v>
      </c>
      <c r="E853" s="51" t="n">
        <f aca="false">1+IF($G$9=$E$9,$F$9,IF(S853&lt;($F$9-$E$9)/($G$9-$E$9),$E$9+SQRT(S853*($G$9-$E$9)*($F$9-$E$9)),$G$9-SQRT((1-S853)*($G$9-$E$9)*($G$9-$F$9))))</f>
        <v>0.975554150807081</v>
      </c>
      <c r="F853" s="51" t="n">
        <f aca="false">1+IF($G$10=$E$10,$F$10,IF(T853&lt;($F$10-$E$10)/($G$10-$E$10),$E$10+SQRT(T853*($G$10-$E$10)*($F$10-$E$10)),$G$10-SQRT((1-T853)*($G$10-$E$10)*($G$10-$F$10))))</f>
        <v>0.960870766331023</v>
      </c>
      <c r="G853" s="52" t="n">
        <f aca="false">IF($G$11=$E$11,$F$11,IF(U853&lt;($F$11-$E$11)/($G$11-$E$11),$E$11+SQRT(U853*($G$11-$E$11)*($F$11-$E$11)),$G$11-SQRT((1-U853)*($G$11-$E$11)*($G$11-$F$11))))</f>
        <v>0.102198622492545</v>
      </c>
      <c r="H853" s="53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-1921741532.66205</v>
      </c>
      <c r="I853" s="53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35720657.9379979</v>
      </c>
      <c r="J853" s="53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360738754.316733</v>
      </c>
      <c r="K853" s="53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733800389.012019</v>
      </c>
      <c r="L853" s="53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878464128.846842</v>
      </c>
      <c r="M853" s="53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1078248187.91069</v>
      </c>
      <c r="N853" s="53" t="n">
        <f aca="false">IF(COUNT('Business Case'!B11:G11)=0,"",H853+NPV(G853,I853:M853))</f>
        <v>213718470.444201</v>
      </c>
      <c r="P853" s="54" t="n">
        <f aca="true">RAND()</f>
        <v>0.581243217197415</v>
      </c>
      <c r="Q853" s="54" t="n">
        <f aca="true">RAND()</f>
        <v>0.834028542651446</v>
      </c>
      <c r="R853" s="54" t="n">
        <f aca="true">RAND()</f>
        <v>0.254333418140933</v>
      </c>
      <c r="S853" s="54" t="n">
        <f aca="true">RAND()</f>
        <v>0.0870686164628062</v>
      </c>
      <c r="T853" s="54" t="n">
        <f aca="true">RAND()</f>
        <v>0.00945388484989628</v>
      </c>
      <c r="U853" s="54" t="n">
        <f aca="true">RAND()</f>
        <v>0.471851598061795</v>
      </c>
    </row>
    <row r="854" customFormat="false" ht="15" hidden="false" customHeight="false" outlineLevel="0" collapsed="false">
      <c r="A854" s="50" t="n">
        <v>774</v>
      </c>
      <c r="B854" s="51" t="n">
        <f aca="false">1+IF($G$6=$E$6,$F$6,IF(P854&lt;($F$6-$E$6)/($G$6-$E$6),$E$6+SQRT(P854*($G$6-$E$6)*($F$6-$E$6)),$G$6-SQRT((1-P854)*($G$6-$E$6)*($G$6-$F$6))))</f>
        <v>1.0274935297749</v>
      </c>
      <c r="C854" s="51" t="n">
        <f aca="false">1+IF($G$7=$E$7,$F$7,IF(Q854&lt;($F$7-$E$7)/($G$7-$E$7),$E$7+SQRT(Q854*($G$7-$E$7)*($F$7-$E$7)),$G$7-SQRT((1-Q854)*($G$7-$E$7)*($G$7-$F$7))))</f>
        <v>0.893568809198981</v>
      </c>
      <c r="D854" s="51" t="n">
        <f aca="false">1+IF($G$8=$E$8,$F$8,IF(R854&lt;($F$8-$E$8)/($G$8-$E$8),$E$8+SQRT(R854*($G$8-$E$8)*($F$8-$E$8)),$G$8-SQRT((1-R854)*($G$8-$E$8)*($G$8-$F$8))))</f>
        <v>0.981773420142512</v>
      </c>
      <c r="E854" s="51" t="n">
        <f aca="false">1+IF($G$9=$E$9,$F$9,IF(S854&lt;($F$9-$E$9)/($G$9-$E$9),$E$9+SQRT(S854*($G$9-$E$9)*($F$9-$E$9)),$G$9-SQRT((1-S854)*($G$9-$E$9)*($G$9-$F$9))))</f>
        <v>1.04575331207373</v>
      </c>
      <c r="F854" s="51" t="n">
        <f aca="false">1+IF($G$10=$E$10,$F$10,IF(T854&lt;($F$10-$E$10)/($G$10-$E$10),$E$10+SQRT(T854*($G$10-$E$10)*($F$10-$E$10)),$G$10-SQRT((1-T854)*($G$10-$E$10)*($G$10-$F$10))))</f>
        <v>1.02445826565717</v>
      </c>
      <c r="G854" s="52" t="n">
        <f aca="false">IF($G$11=$E$11,$F$11,IF(U854&lt;($F$11-$E$11)/($G$11-$E$11),$E$11+SQRT(U854*($G$11-$E$11)*($F$11-$E$11)),$G$11-SQRT((1-U854)*($G$11-$E$11)*($G$11-$F$11))))</f>
        <v>0.102175359080856</v>
      </c>
      <c r="H854" s="53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-2048916531.31435</v>
      </c>
      <c r="I854" s="53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4173246.65911326</v>
      </c>
      <c r="J854" s="53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307094619.906403</v>
      </c>
      <c r="K854" s="53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661238906.436551</v>
      </c>
      <c r="L854" s="53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793943483.549364</v>
      </c>
      <c r="M854" s="53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968462806.716469</v>
      </c>
      <c r="N854" s="53" t="n">
        <f aca="false">IF(COUNT('Business Case'!B11:G11)=0,"",H854+NPV(G854,I854:M854))</f>
        <v>-165037123.861131</v>
      </c>
      <c r="P854" s="54" t="n">
        <f aca="true">RAND()</f>
        <v>0.967414208855959</v>
      </c>
      <c r="Q854" s="54" t="n">
        <f aca="true">RAND()</f>
        <v>0.125073172213077</v>
      </c>
      <c r="R854" s="54" t="n">
        <f aca="true">RAND()</f>
        <v>0.155315419623473</v>
      </c>
      <c r="S854" s="54" t="n">
        <f aca="true">RAND()</f>
        <v>0.803819789935337</v>
      </c>
      <c r="T854" s="54" t="n">
        <f aca="true">RAND()</f>
        <v>0.383701990078258</v>
      </c>
      <c r="U854" s="54" t="n">
        <f aca="true">RAND()</f>
        <v>0.470470293505972</v>
      </c>
    </row>
    <row r="855" customFormat="false" ht="15" hidden="false" customHeight="false" outlineLevel="0" collapsed="false">
      <c r="A855" s="50" t="n">
        <v>775</v>
      </c>
      <c r="B855" s="51" t="n">
        <f aca="false">1+IF($G$6=$E$6,$F$6,IF(P855&lt;($F$6-$E$6)/($G$6-$E$6),$E$6+SQRT(P855*($G$6-$E$6)*($F$6-$E$6)),$G$6-SQRT((1-P855)*($G$6-$E$6)*($G$6-$F$6))))</f>
        <v>0.990594029426199</v>
      </c>
      <c r="C855" s="51" t="n">
        <f aca="false">1+IF($G$7=$E$7,$F$7,IF(Q855&lt;($F$7-$E$7)/($G$7-$E$7),$E$7+SQRT(Q855*($G$7-$E$7)*($F$7-$E$7)),$G$7-SQRT((1-Q855)*($G$7-$E$7)*($G$7-$F$7))))</f>
        <v>1.06184566406129</v>
      </c>
      <c r="D855" s="51" t="n">
        <f aca="false">1+IF($G$8=$E$8,$F$8,IF(R855&lt;($F$8-$E$8)/($G$8-$E$8),$E$8+SQRT(R855*($G$8-$E$8)*($F$8-$E$8)),$G$8-SQRT((1-R855)*($G$8-$E$8)*($G$8-$F$8))))</f>
        <v>0.977779265732271</v>
      </c>
      <c r="E855" s="51" t="n">
        <f aca="false">1+IF($G$9=$E$9,$F$9,IF(S855&lt;($F$9-$E$9)/($G$9-$E$9),$E$9+SQRT(S855*($G$9-$E$9)*($F$9-$E$9)),$G$9-SQRT((1-S855)*($G$9-$E$9)*($G$9-$F$9))))</f>
        <v>1.00353131857647</v>
      </c>
      <c r="F855" s="51" t="n">
        <f aca="false">1+IF($G$10=$E$10,$F$10,IF(T855&lt;($F$10-$E$10)/($G$10-$E$10),$E$10+SQRT(T855*($G$10-$E$10)*($F$10-$E$10)),$G$10-SQRT((1-T855)*($G$10-$E$10)*($G$10-$F$10))))</f>
        <v>1.05342568103766</v>
      </c>
      <c r="G855" s="52" t="n">
        <f aca="false">IF($G$11=$E$11,$F$11,IF(U855&lt;($F$11-$E$11)/($G$11-$E$11),$E$11+SQRT(U855*($G$11-$E$11)*($F$11-$E$11)),$G$11-SQRT((1-U855)*($G$11-$E$11)*($G$11-$F$11))))</f>
        <v>0.106883557689138</v>
      </c>
      <c r="H855" s="53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-2106851362.07532</v>
      </c>
      <c r="I855" s="53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27473091.3688718</v>
      </c>
      <c r="J855" s="53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357519221.766628</v>
      </c>
      <c r="K855" s="53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740236636.216267</v>
      </c>
      <c r="L855" s="53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886604224.631215</v>
      </c>
      <c r="M855" s="53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1086541388.51755</v>
      </c>
      <c r="N855" s="53" t="n">
        <f aca="false">IF(COUNT('Business Case'!B11:G11)=0,"",H855+NPV(G855,I855:M855))</f>
        <v>191924.830589056</v>
      </c>
      <c r="P855" s="54" t="n">
        <f aca="true">RAND()</f>
        <v>0.519116353190315</v>
      </c>
      <c r="Q855" s="54" t="n">
        <f aca="true">RAND()</f>
        <v>0.851977391527722</v>
      </c>
      <c r="R855" s="54" t="n">
        <f aca="true">RAND()</f>
        <v>0.118721169942171</v>
      </c>
      <c r="S855" s="54" t="n">
        <f aca="true">RAND()</f>
        <v>0.379586233627043</v>
      </c>
      <c r="T855" s="54" t="n">
        <f aca="true">RAND()</f>
        <v>0.570319380414514</v>
      </c>
      <c r="U855" s="54" t="n">
        <f aca="true">RAND()</f>
        <v>0.713264901843037</v>
      </c>
    </row>
    <row r="856" customFormat="false" ht="15" hidden="false" customHeight="false" outlineLevel="0" collapsed="false">
      <c r="A856" s="50" t="n">
        <v>776</v>
      </c>
      <c r="B856" s="51" t="n">
        <f aca="false">1+IF($G$6=$E$6,$F$6,IF(P856&lt;($F$6-$E$6)/($G$6-$E$6),$E$6+SQRT(P856*($G$6-$E$6)*($F$6-$E$6)),$G$6-SQRT((1-P856)*($G$6-$E$6)*($G$6-$F$6))))</f>
        <v>0.924411711919736</v>
      </c>
      <c r="C856" s="51" t="n">
        <f aca="false">1+IF($G$7=$E$7,$F$7,IF(Q856&lt;($F$7-$E$7)/($G$7-$E$7),$E$7+SQRT(Q856*($G$7-$E$7)*($F$7-$E$7)),$G$7-SQRT((1-Q856)*($G$7-$E$7)*($G$7-$F$7))))</f>
        <v>1.02518253981851</v>
      </c>
      <c r="D856" s="51" t="n">
        <f aca="false">1+IF($G$8=$E$8,$F$8,IF(R856&lt;($F$8-$E$8)/($G$8-$E$8),$E$8+SQRT(R856*($G$8-$E$8)*($F$8-$E$8)),$G$8-SQRT((1-R856)*($G$8-$E$8)*($G$8-$F$8))))</f>
        <v>1.00324923978824</v>
      </c>
      <c r="E856" s="51" t="n">
        <f aca="false">1+IF($G$9=$E$9,$F$9,IF(S856&lt;($F$9-$E$9)/($G$9-$E$9),$E$9+SQRT(S856*($G$9-$E$9)*($F$9-$E$9)),$G$9-SQRT((1-S856)*($G$9-$E$9)*($G$9-$F$9))))</f>
        <v>1.05021889796075</v>
      </c>
      <c r="F856" s="51" t="n">
        <f aca="false">1+IF($G$10=$E$10,$F$10,IF(T856&lt;($F$10-$E$10)/($G$10-$E$10),$E$10+SQRT(T856*($G$10-$E$10)*($F$10-$E$10)),$G$10-SQRT((1-T856)*($G$10-$E$10)*($G$10-$F$10))))</f>
        <v>1.02096805735716</v>
      </c>
      <c r="G856" s="52" t="n">
        <f aca="false">IF($G$11=$E$11,$F$11,IF(U856&lt;($F$11-$E$11)/($G$11-$E$11),$E$11+SQRT(U856*($G$11-$E$11)*($F$11-$E$11)),$G$11-SQRT((1-U856)*($G$11-$E$11)*($G$11-$F$11))))</f>
        <v>0.105455062438268</v>
      </c>
      <c r="H856" s="53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-2041936114.71431</v>
      </c>
      <c r="I856" s="53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-50855950.0961925</v>
      </c>
      <c r="J856" s="53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198854321.140403</v>
      </c>
      <c r="K856" s="53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499612995.244857</v>
      </c>
      <c r="L856" s="53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615601944.528425</v>
      </c>
      <c r="M856" s="53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795739001.654289</v>
      </c>
      <c r="N856" s="53" t="n">
        <f aca="false">IF(COUNT('Business Case'!B11:G11)=0,"",H856+NPV(G856,I856:M856))</f>
        <v>-661132759.002624</v>
      </c>
      <c r="P856" s="54" t="n">
        <f aca="true">RAND()</f>
        <v>0.00202741688153496</v>
      </c>
      <c r="Q856" s="54" t="n">
        <f aca="true">RAND()</f>
        <v>0.703249554930313</v>
      </c>
      <c r="R856" s="54" t="n">
        <f aca="true">RAND()</f>
        <v>0.433588539126658</v>
      </c>
      <c r="S856" s="54" t="n">
        <f aca="true">RAND()</f>
        <v>0.834789458650523</v>
      </c>
      <c r="T856" s="54" t="n">
        <f aca="true">RAND()</f>
        <v>0.358951270270582</v>
      </c>
      <c r="U856" s="54" t="n">
        <f aca="true">RAND()</f>
        <v>0.647407985542175</v>
      </c>
    </row>
    <row r="857" customFormat="false" ht="15" hidden="false" customHeight="false" outlineLevel="0" collapsed="false">
      <c r="A857" s="50" t="n">
        <v>777</v>
      </c>
      <c r="B857" s="51" t="n">
        <f aca="false">1+IF($G$6=$E$6,$F$6,IF(P857&lt;($F$6-$E$6)/($G$6-$E$6),$E$6+SQRT(P857*($G$6-$E$6)*($F$6-$E$6)),$G$6-SQRT((1-P857)*($G$6-$E$6)*($G$6-$F$6))))</f>
        <v>0.94079841229641</v>
      </c>
      <c r="C857" s="51" t="n">
        <f aca="false">1+IF($G$7=$E$7,$F$7,IF(Q857&lt;($F$7-$E$7)/($G$7-$E$7),$E$7+SQRT(Q857*($G$7-$E$7)*($F$7-$E$7)),$G$7-SQRT((1-Q857)*($G$7-$E$7)*($G$7-$F$7))))</f>
        <v>1.01853093801062</v>
      </c>
      <c r="D857" s="51" t="n">
        <f aca="false">1+IF($G$8=$E$8,$F$8,IF(R857&lt;($F$8-$E$8)/($G$8-$E$8),$E$8+SQRT(R857*($G$8-$E$8)*($F$8-$E$8)),$G$8-SQRT((1-R857)*($G$8-$E$8)*($G$8-$F$8))))</f>
        <v>0.99886132005665</v>
      </c>
      <c r="E857" s="51" t="n">
        <f aca="false">1+IF($G$9=$E$9,$F$9,IF(S857&lt;($F$9-$E$9)/($G$9-$E$9),$E$9+SQRT(S857*($G$9-$E$9)*($F$9-$E$9)),$G$9-SQRT((1-S857)*($G$9-$E$9)*($G$9-$F$9))))</f>
        <v>0.985032654023465</v>
      </c>
      <c r="F857" s="51" t="n">
        <f aca="false">1+IF($G$10=$E$10,$F$10,IF(T857&lt;($F$10-$E$10)/($G$10-$E$10),$E$10+SQRT(T857*($G$10-$E$10)*($F$10-$E$10)),$G$10-SQRT((1-T857)*($G$10-$E$10)*($G$10-$F$10))))</f>
        <v>0.954844806489498</v>
      </c>
      <c r="G857" s="52" t="n">
        <f aca="false">IF($G$11=$E$11,$F$11,IF(U857&lt;($F$11-$E$11)/($G$11-$E$11),$E$11+SQRT(U857*($G$11-$E$11)*($F$11-$E$11)),$G$11-SQRT((1-U857)*($G$11-$E$11)*($G$11-$F$11))))</f>
        <v>0.0920480069853952</v>
      </c>
      <c r="H857" s="53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-1909689612.979</v>
      </c>
      <c r="I857" s="53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-21182291.0489962</v>
      </c>
      <c r="J857" s="53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242866303.833266</v>
      </c>
      <c r="K857" s="53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554657139.040002</v>
      </c>
      <c r="L857" s="53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675789845.254204</v>
      </c>
      <c r="M857" s="53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857930638.814833</v>
      </c>
      <c r="N857" s="53" t="n">
        <f aca="false">IF(COUNT('Business Case'!B11:G11)=0,"",H857+NPV(G857,I857:M857))</f>
        <v>-271992395.807801</v>
      </c>
      <c r="P857" s="54" t="n">
        <f aca="true">RAND()</f>
        <v>0.0450597868803579</v>
      </c>
      <c r="Q857" s="54" t="n">
        <f aca="true">RAND()</f>
        <v>0.670778775992986</v>
      </c>
      <c r="R857" s="54" t="n">
        <f aca="true">RAND()</f>
        <v>0.367296707335142</v>
      </c>
      <c r="S857" s="54" t="n">
        <f aca="true">RAND()</f>
        <v>0.163638246390373</v>
      </c>
      <c r="T857" s="54" t="n">
        <f aca="true">RAND()</f>
        <v>0.00187777199365489</v>
      </c>
      <c r="U857" s="54" t="n">
        <f aca="true">RAND()</f>
        <v>0.0139811087074246</v>
      </c>
    </row>
    <row r="858" customFormat="false" ht="15" hidden="false" customHeight="false" outlineLevel="0" collapsed="false">
      <c r="A858" s="50" t="n">
        <v>778</v>
      </c>
      <c r="B858" s="51" t="n">
        <f aca="false">1+IF($G$6=$E$6,$F$6,IF(P858&lt;($F$6-$E$6)/($G$6-$E$6),$E$6+SQRT(P858*($G$6-$E$6)*($F$6-$E$6)),$G$6-SQRT((1-P858)*($G$6-$E$6)*($G$6-$F$6))))</f>
        <v>0.968830390400213</v>
      </c>
      <c r="C858" s="51" t="n">
        <f aca="false">1+IF($G$7=$E$7,$F$7,IF(Q858&lt;($F$7-$E$7)/($G$7-$E$7),$E$7+SQRT(Q858*($G$7-$E$7)*($F$7-$E$7)),$G$7-SQRT((1-Q858)*($G$7-$E$7)*($G$7-$F$7))))</f>
        <v>1.00671591826944</v>
      </c>
      <c r="D858" s="51" t="n">
        <f aca="false">1+IF($G$8=$E$8,$F$8,IF(R858&lt;($F$8-$E$8)/($G$8-$E$8),$E$8+SQRT(R858*($G$8-$E$8)*($F$8-$E$8)),$G$8-SQRT((1-R858)*($G$8-$E$8)*($G$8-$F$8))))</f>
        <v>1.02896860920213</v>
      </c>
      <c r="E858" s="51" t="n">
        <f aca="false">1+IF($G$9=$E$9,$F$9,IF(S858&lt;($F$9-$E$9)/($G$9-$E$9),$E$9+SQRT(S858*($G$9-$E$9)*($F$9-$E$9)),$G$9-SQRT((1-S858)*($G$9-$E$9)*($G$9-$F$9))))</f>
        <v>1.05543388479245</v>
      </c>
      <c r="F858" s="51" t="n">
        <f aca="false">1+IF($G$10=$E$10,$F$10,IF(T858&lt;($F$10-$E$10)/($G$10-$E$10),$E$10+SQRT(T858*($G$10-$E$10)*($F$10-$E$10)),$G$10-SQRT((1-T858)*($G$10-$E$10)*($G$10-$F$10))))</f>
        <v>1.00629438320545</v>
      </c>
      <c r="G858" s="52" t="n">
        <f aca="false">IF($G$11=$E$11,$F$11,IF(U858&lt;($F$11-$E$11)/($G$11-$E$11),$E$11+SQRT(U858*($G$11-$E$11)*($F$11-$E$11)),$G$11-SQRT((1-U858)*($G$11-$E$11)*($G$11-$F$11))))</f>
        <v>0.0965047785740293</v>
      </c>
      <c r="H858" s="53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-2012588766.4109</v>
      </c>
      <c r="I858" s="53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-32689615.6310437</v>
      </c>
      <c r="J858" s="53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235894374.317958</v>
      </c>
      <c r="K858" s="53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554793083.427231</v>
      </c>
      <c r="L858" s="53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678028725.971574</v>
      </c>
      <c r="M858" s="53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863420778.39229</v>
      </c>
      <c r="N858" s="53" t="n">
        <f aca="false">IF(COUNT('Business Case'!B11:G11)=0,"",H858+NPV(G858,I858:M858))</f>
        <v>-411628026.505218</v>
      </c>
      <c r="P858" s="54" t="n">
        <f aca="true">RAND()</f>
        <v>0.248375731941377</v>
      </c>
      <c r="Q858" s="54" t="n">
        <f aca="true">RAND()</f>
        <v>0.608946131859603</v>
      </c>
      <c r="R858" s="54" t="n">
        <f aca="true">RAND()</f>
        <v>0.74959588011877</v>
      </c>
      <c r="S858" s="54" t="n">
        <f aca="true">RAND()</f>
        <v>0.86759075835383</v>
      </c>
      <c r="T858" s="54" t="n">
        <f aca="true">RAND()</f>
        <v>0.249562680444849</v>
      </c>
      <c r="U858" s="54" t="n">
        <f aca="true">RAND()</f>
        <v>0.141040480990501</v>
      </c>
    </row>
    <row r="859" customFormat="false" ht="15" hidden="false" customHeight="false" outlineLevel="0" collapsed="false">
      <c r="A859" s="50" t="n">
        <v>779</v>
      </c>
      <c r="B859" s="51" t="n">
        <f aca="false">1+IF($G$6=$E$6,$F$6,IF(P859&lt;($F$6-$E$6)/($G$6-$E$6),$E$6+SQRT(P859*($G$6-$E$6)*($F$6-$E$6)),$G$6-SQRT((1-P859)*($G$6-$E$6)*($G$6-$F$6))))</f>
        <v>0.93124156033542</v>
      </c>
      <c r="C859" s="51" t="n">
        <f aca="false">1+IF($G$7=$E$7,$F$7,IF(Q859&lt;($F$7-$E$7)/($G$7-$E$7),$E$7+SQRT(Q859*($G$7-$E$7)*($F$7-$E$7)),$G$7-SQRT((1-Q859)*($G$7-$E$7)*($G$7-$F$7))))</f>
        <v>1.12436447248776</v>
      </c>
      <c r="D859" s="51" t="n">
        <f aca="false">1+IF($G$8=$E$8,$F$8,IF(R859&lt;($F$8-$E$8)/($G$8-$E$8),$E$8+SQRT(R859*($G$8-$E$8)*($F$8-$E$8)),$G$8-SQRT((1-R859)*($G$8-$E$8)*($G$8-$F$8))))</f>
        <v>0.978814409466413</v>
      </c>
      <c r="E859" s="51" t="n">
        <f aca="false">1+IF($G$9=$E$9,$F$9,IF(S859&lt;($F$9-$E$9)/($G$9-$E$9),$E$9+SQRT(S859*($G$9-$E$9)*($F$9-$E$9)),$G$9-SQRT((1-S859)*($G$9-$E$9)*($G$9-$F$9))))</f>
        <v>0.971598144645523</v>
      </c>
      <c r="F859" s="51" t="n">
        <f aca="false">1+IF($G$10=$E$10,$F$10,IF(T859&lt;($F$10-$E$10)/($G$10-$E$10),$E$10+SQRT(T859*($G$10-$E$10)*($F$10-$E$10)),$G$10-SQRT((1-T859)*($G$10-$E$10)*($G$10-$F$10))))</f>
        <v>1.00652836873955</v>
      </c>
      <c r="G859" s="52" t="n">
        <f aca="false">IF($G$11=$E$11,$F$11,IF(U859&lt;($F$11-$E$11)/($G$11-$E$11),$E$11+SQRT(U859*($G$11-$E$11)*($F$11-$E$11)),$G$11-SQRT((1-U859)*($G$11-$E$11)*($G$11-$F$11))))</f>
        <v>0.0978671746283159</v>
      </c>
      <c r="H859" s="53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-2013056737.47909</v>
      </c>
      <c r="I859" s="53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1129391.93105818</v>
      </c>
      <c r="J859" s="53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295352204.255296</v>
      </c>
      <c r="K859" s="53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639901435.016512</v>
      </c>
      <c r="L859" s="53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774161924.025013</v>
      </c>
      <c r="M859" s="53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973186124.310663</v>
      </c>
      <c r="N859" s="53" t="n">
        <f aca="false">IF(COUNT('Business Case'!B11:G11)=0,"",H859+NPV(G859,I859:M859))</f>
        <v>-140362780.356046</v>
      </c>
      <c r="P859" s="54" t="n">
        <f aca="true">RAND()</f>
        <v>0.013163820705717</v>
      </c>
      <c r="Q859" s="54" t="n">
        <f aca="true">RAND()</f>
        <v>0.987482280555606</v>
      </c>
      <c r="R859" s="54" t="n">
        <f aca="true">RAND()</f>
        <v>0.127733875830482</v>
      </c>
      <c r="S859" s="54" t="n">
        <f aca="true">RAND()</f>
        <v>0.0621973136171936</v>
      </c>
      <c r="T859" s="54" t="n">
        <f aca="true">RAND()</f>
        <v>0.251374557948382</v>
      </c>
      <c r="U859" s="54" t="n">
        <f aca="true">RAND()</f>
        <v>0.206308122108057</v>
      </c>
    </row>
    <row r="860" customFormat="false" ht="15" hidden="false" customHeight="false" outlineLevel="0" collapsed="false">
      <c r="A860" s="50" t="n">
        <v>780</v>
      </c>
      <c r="B860" s="51" t="n">
        <f aca="false">1+IF($G$6=$E$6,$F$6,IF(P860&lt;($F$6-$E$6)/($G$6-$E$6),$E$6+SQRT(P860*($G$6-$E$6)*($F$6-$E$6)),$G$6-SQRT((1-P860)*($G$6-$E$6)*($G$6-$F$6))))</f>
        <v>0.977705559270203</v>
      </c>
      <c r="C860" s="51" t="n">
        <f aca="false">1+IF($G$7=$E$7,$F$7,IF(Q860&lt;($F$7-$E$7)/($G$7-$E$7),$E$7+SQRT(Q860*($G$7-$E$7)*($F$7-$E$7)),$G$7-SQRT((1-Q860)*($G$7-$E$7)*($G$7-$F$7))))</f>
        <v>0.925206426850868</v>
      </c>
      <c r="D860" s="51" t="n">
        <f aca="false">1+IF($G$8=$E$8,$F$8,IF(R860&lt;($F$8-$E$8)/($G$8-$E$8),$E$8+SQRT(R860*($G$8-$E$8)*($F$8-$E$8)),$G$8-SQRT((1-R860)*($G$8-$E$8)*($G$8-$F$8))))</f>
        <v>1.00695421872407</v>
      </c>
      <c r="E860" s="51" t="n">
        <f aca="false">1+IF($G$9=$E$9,$F$9,IF(S860&lt;($F$9-$E$9)/($G$9-$E$9),$E$9+SQRT(S860*($G$9-$E$9)*($F$9-$E$9)),$G$9-SQRT((1-S860)*($G$9-$E$9)*($G$9-$F$9))))</f>
        <v>1.01300310876343</v>
      </c>
      <c r="F860" s="51" t="n">
        <f aca="false">1+IF($G$10=$E$10,$F$10,IF(T860&lt;($F$10-$E$10)/($G$10-$E$10),$E$10+SQRT(T860*($G$10-$E$10)*($F$10-$E$10)),$G$10-SQRT((1-T860)*($G$10-$E$10)*($G$10-$F$10))))</f>
        <v>1.03777086405002</v>
      </c>
      <c r="G860" s="52" t="n">
        <f aca="false">IF($G$11=$E$11,$F$11,IF(U860&lt;($F$11-$E$11)/($G$11-$E$11),$E$11+SQRT(U860*($G$11-$E$11)*($F$11-$E$11)),$G$11-SQRT((1-U860)*($G$11-$E$11)*($G$11-$F$11))))</f>
        <v>0.0991835863065696</v>
      </c>
      <c r="H860" s="53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-2075541728.10004</v>
      </c>
      <c r="I860" s="53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-30729227.1316488</v>
      </c>
      <c r="J860" s="53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233261073.777384</v>
      </c>
      <c r="K860" s="53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549139917.888918</v>
      </c>
      <c r="L860" s="53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668398951.238275</v>
      </c>
      <c r="M860" s="53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840341416.326512</v>
      </c>
      <c r="N860" s="53" t="n">
        <f aca="false">IF(COUNT('Business Case'!B11:G11)=0,"",H860+NPV(G860,I860:M860))</f>
        <v>-515327091.613771</v>
      </c>
      <c r="P860" s="54" t="n">
        <f aca="true">RAND()</f>
        <v>0.346867871946551</v>
      </c>
      <c r="Q860" s="54" t="n">
        <f aca="true">RAND()</f>
        <v>0.223952133210882</v>
      </c>
      <c r="R860" s="54" t="n">
        <f aca="true">RAND()</f>
        <v>0.486953253633491</v>
      </c>
      <c r="S860" s="54" t="n">
        <f aca="true">RAND()</f>
        <v>0.495436061011532</v>
      </c>
      <c r="T860" s="54" t="n">
        <f aca="true">RAND()</f>
        <v>0.473634148978469</v>
      </c>
      <c r="U860" s="54" t="n">
        <f aca="true">RAND()</f>
        <v>0.281127524834042</v>
      </c>
    </row>
    <row r="861" customFormat="false" ht="15" hidden="false" customHeight="false" outlineLevel="0" collapsed="false">
      <c r="A861" s="50" t="n">
        <v>781</v>
      </c>
      <c r="B861" s="51" t="n">
        <f aca="false">1+IF($G$6=$E$6,$F$6,IF(P861&lt;($F$6-$E$6)/($G$6-$E$6),$E$6+SQRT(P861*($G$6-$E$6)*($F$6-$E$6)),$G$6-SQRT((1-P861)*($G$6-$E$6)*($G$6-$F$6))))</f>
        <v>0.984073685452752</v>
      </c>
      <c r="C861" s="51" t="n">
        <f aca="false">1+IF($G$7=$E$7,$F$7,IF(Q861&lt;($F$7-$E$7)/($G$7-$E$7),$E$7+SQRT(Q861*($G$7-$E$7)*($F$7-$E$7)),$G$7-SQRT((1-Q861)*($G$7-$E$7)*($G$7-$F$7))))</f>
        <v>1.02527428812339</v>
      </c>
      <c r="D861" s="51" t="n">
        <f aca="false">1+IF($G$8=$E$8,$F$8,IF(R861&lt;($F$8-$E$8)/($G$8-$E$8),$E$8+SQRT(R861*($G$8-$E$8)*($F$8-$E$8)),$G$8-SQRT((1-R861)*($G$8-$E$8)*($G$8-$F$8))))</f>
        <v>1.05508953762543</v>
      </c>
      <c r="E861" s="51" t="n">
        <f aca="false">1+IF($G$9=$E$9,$F$9,IF(S861&lt;($F$9-$E$9)/($G$9-$E$9),$E$9+SQRT(S861*($G$9-$E$9)*($F$9-$E$9)),$G$9-SQRT((1-S861)*($G$9-$E$9)*($G$9-$F$9))))</f>
        <v>1.03038915867029</v>
      </c>
      <c r="F861" s="51" t="n">
        <f aca="false">1+IF($G$10=$E$10,$F$10,IF(T861&lt;($F$10-$E$10)/($G$10-$E$10),$E$10+SQRT(T861*($G$10-$E$10)*($F$10-$E$10)),$G$10-SQRT((1-T861)*($G$10-$E$10)*($G$10-$F$10))))</f>
        <v>1.03297461631179</v>
      </c>
      <c r="G861" s="52" t="n">
        <f aca="false">IF($G$11=$E$11,$F$11,IF(U861&lt;($F$11-$E$11)/($G$11-$E$11),$E$11+SQRT(U861*($G$11-$E$11)*($F$11-$E$11)),$G$11-SQRT((1-U861)*($G$11-$E$11)*($G$11-$F$11))))</f>
        <v>0.102063906899006</v>
      </c>
      <c r="H861" s="53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-2065949232.62359</v>
      </c>
      <c r="I861" s="53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-29496187.4596923</v>
      </c>
      <c r="J861" s="53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243130157.063444</v>
      </c>
      <c r="K861" s="53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567405232.40217</v>
      </c>
      <c r="L861" s="53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693149835.235704</v>
      </c>
      <c r="M861" s="53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884930185.861059</v>
      </c>
      <c r="N861" s="53" t="n">
        <f aca="false">IF(COUNT('Business Case'!B11:G11)=0,"",H861+NPV(G861,I861:M861))</f>
        <v>-454382050.483428</v>
      </c>
      <c r="P861" s="54" t="n">
        <f aca="true">RAND()</f>
        <v>0.427649704947728</v>
      </c>
      <c r="Q861" s="54" t="n">
        <f aca="true">RAND()</f>
        <v>0.703685653273755</v>
      </c>
      <c r="R861" s="54" t="n">
        <f aca="true">RAND()</f>
        <v>0.940333544642806</v>
      </c>
      <c r="S861" s="54" t="n">
        <f aca="true">RAND()</f>
        <v>0.676955384624664</v>
      </c>
      <c r="T861" s="54" t="n">
        <f aca="true">RAND()</f>
        <v>0.442050424076157</v>
      </c>
      <c r="U861" s="54" t="n">
        <f aca="true">RAND()</f>
        <v>0.463827607120791</v>
      </c>
    </row>
    <row r="862" customFormat="false" ht="15" hidden="false" customHeight="false" outlineLevel="0" collapsed="false">
      <c r="A862" s="50" t="n">
        <v>782</v>
      </c>
      <c r="B862" s="51" t="n">
        <f aca="false">1+IF($G$6=$E$6,$F$6,IF(P862&lt;($F$6-$E$6)/($G$6-$E$6),$E$6+SQRT(P862*($G$6-$E$6)*($F$6-$E$6)),$G$6-SQRT((1-P862)*($G$6-$E$6)*($G$6-$F$6))))</f>
        <v>0.976897633732263</v>
      </c>
      <c r="C862" s="51" t="n">
        <f aca="false">1+IF($G$7=$E$7,$F$7,IF(Q862&lt;($F$7-$E$7)/($G$7-$E$7),$E$7+SQRT(Q862*($G$7-$E$7)*($F$7-$E$7)),$G$7-SQRT((1-Q862)*($G$7-$E$7)*($G$7-$F$7))))</f>
        <v>0.91044079188882</v>
      </c>
      <c r="D862" s="51" t="n">
        <f aca="false">1+IF($G$8=$E$8,$F$8,IF(R862&lt;($F$8-$E$8)/($G$8-$E$8),$E$8+SQRT(R862*($G$8-$E$8)*($F$8-$E$8)),$G$8-SQRT((1-R862)*($G$8-$E$8)*($G$8-$F$8))))</f>
        <v>1.02909075097251</v>
      </c>
      <c r="E862" s="51" t="n">
        <f aca="false">1+IF($G$9=$E$9,$F$9,IF(S862&lt;($F$9-$E$9)/($G$9-$E$9),$E$9+SQRT(S862*($G$9-$E$9)*($F$9-$E$9)),$G$9-SQRT((1-S862)*($G$9-$E$9)*($G$9-$F$9))))</f>
        <v>1.05125853527309</v>
      </c>
      <c r="F862" s="51" t="n">
        <f aca="false">1+IF($G$10=$E$10,$F$10,IF(T862&lt;($F$10-$E$10)/($G$10-$E$10),$E$10+SQRT(T862*($G$10-$E$10)*($F$10-$E$10)),$G$10-SQRT((1-T862)*($G$10-$E$10)*($G$10-$F$10))))</f>
        <v>1.11034262549581</v>
      </c>
      <c r="G862" s="52" t="n">
        <f aca="false">IF($G$11=$E$11,$F$11,IF(U862&lt;($F$11-$E$11)/($G$11-$E$11),$E$11+SQRT(U862*($G$11-$E$11)*($F$11-$E$11)),$G$11-SQRT((1-U862)*($G$11-$E$11)*($G$11-$F$11))))</f>
        <v>0.102526054478611</v>
      </c>
      <c r="H862" s="53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-2220685250.99161</v>
      </c>
      <c r="I862" s="53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-57772624.9628837</v>
      </c>
      <c r="J862" s="53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191084858.819782</v>
      </c>
      <c r="K862" s="53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495459473.877238</v>
      </c>
      <c r="L862" s="53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609149890.124884</v>
      </c>
      <c r="M862" s="53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778208459.218712</v>
      </c>
      <c r="N862" s="53" t="n">
        <f aca="false">IF(COUNT('Business Case'!B11:G11)=0,"",H862+NPV(G862,I862:M862))</f>
        <v>-856239962.144962</v>
      </c>
      <c r="P862" s="54" t="n">
        <f aca="true">RAND()</f>
        <v>0.33722299211779</v>
      </c>
      <c r="Q862" s="54" t="n">
        <f aca="true">RAND()</f>
        <v>0.174245264471852</v>
      </c>
      <c r="R862" s="54" t="n">
        <f aca="true">RAND()</f>
        <v>0.750793111870832</v>
      </c>
      <c r="S862" s="54" t="n">
        <f aca="true">RAND()</f>
        <v>0.841617974418387</v>
      </c>
      <c r="T862" s="54" t="n">
        <f aca="true">RAND()</f>
        <v>0.839231103940297</v>
      </c>
      <c r="U862" s="54" t="n">
        <f aca="true">RAND()</f>
        <v>0.491102046525854</v>
      </c>
    </row>
    <row r="863" customFormat="false" ht="15" hidden="false" customHeight="false" outlineLevel="0" collapsed="false">
      <c r="A863" s="50" t="n">
        <v>783</v>
      </c>
      <c r="B863" s="51" t="n">
        <f aca="false">1+IF($G$6=$E$6,$F$6,IF(P863&lt;($F$6-$E$6)/($G$6-$E$6),$E$6+SQRT(P863*($G$6-$E$6)*($F$6-$E$6)),$G$6-SQRT((1-P863)*($G$6-$E$6)*($G$6-$F$6))))</f>
        <v>0.97620899956101</v>
      </c>
      <c r="C863" s="51" t="n">
        <f aca="false">1+IF($G$7=$E$7,$F$7,IF(Q863&lt;($F$7-$E$7)/($G$7-$E$7),$E$7+SQRT(Q863*($G$7-$E$7)*($F$7-$E$7)),$G$7-SQRT((1-Q863)*($G$7-$E$7)*($G$7-$F$7))))</f>
        <v>0.931468919673112</v>
      </c>
      <c r="D863" s="51" t="n">
        <f aca="false">1+IF($G$8=$E$8,$F$8,IF(R863&lt;($F$8-$E$8)/($G$8-$E$8),$E$8+SQRT(R863*($G$8-$E$8)*($F$8-$E$8)),$G$8-SQRT((1-R863)*($G$8-$E$8)*($G$8-$F$8))))</f>
        <v>1.00156150300295</v>
      </c>
      <c r="E863" s="51" t="n">
        <f aca="false">1+IF($G$9=$E$9,$F$9,IF(S863&lt;($F$9-$E$9)/($G$9-$E$9),$E$9+SQRT(S863*($G$9-$E$9)*($F$9-$E$9)),$G$9-SQRT((1-S863)*($G$9-$E$9)*($G$9-$F$9))))</f>
        <v>1.03204044097631</v>
      </c>
      <c r="F863" s="51" t="n">
        <f aca="false">1+IF($G$10=$E$10,$F$10,IF(T863&lt;($F$10-$E$10)/($G$10-$E$10),$E$10+SQRT(T863*($G$10-$E$10)*($F$10-$E$10)),$G$10-SQRT((1-T863)*($G$10-$E$10)*($G$10-$F$10))))</f>
        <v>1.06437981547662</v>
      </c>
      <c r="G863" s="52" t="n">
        <f aca="false">IF($G$11=$E$11,$F$11,IF(U863&lt;($F$11-$E$11)/($G$11-$E$11),$E$11+SQRT(U863*($G$11-$E$11)*($F$11-$E$11)),$G$11-SQRT((1-U863)*($G$11-$E$11)*($G$11-$F$11))))</f>
        <v>0.11518144305468</v>
      </c>
      <c r="H863" s="53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-2128759630.95323</v>
      </c>
      <c r="I863" s="53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-33125826.9101006</v>
      </c>
      <c r="J863" s="53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234081022.893746</v>
      </c>
      <c r="K863" s="53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554506863.471423</v>
      </c>
      <c r="L863" s="53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675001509.712342</v>
      </c>
      <c r="M863" s="53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847842839.397007</v>
      </c>
      <c r="N863" s="53" t="n">
        <f aca="false">IF(COUNT('Business Case'!B11:G11)=0,"",H863+NPV(G863,I863:M863))</f>
        <v>-642403977.418442</v>
      </c>
      <c r="P863" s="54" t="n">
        <f aca="true">RAND()</f>
        <v>0.329109544963497</v>
      </c>
      <c r="Q863" s="54" t="n">
        <f aca="true">RAND()</f>
        <v>0.246915383428788</v>
      </c>
      <c r="R863" s="54" t="n">
        <f aca="true">RAND()</f>
        <v>0.408404056619529</v>
      </c>
      <c r="S863" s="54" t="n">
        <f aca="true">RAND()</f>
        <v>0.692099889153704</v>
      </c>
      <c r="T863" s="54" t="n">
        <f aca="true">RAND()</f>
        <v>0.632143310996867</v>
      </c>
      <c r="U863" s="54" t="n">
        <f aca="true">RAND()</f>
        <v>0.961302514941187</v>
      </c>
    </row>
    <row r="864" customFormat="false" ht="15" hidden="false" customHeight="false" outlineLevel="0" collapsed="false">
      <c r="A864" s="50" t="n">
        <v>784</v>
      </c>
      <c r="B864" s="51" t="n">
        <f aca="false">1+IF($G$6=$E$6,$F$6,IF(P864&lt;($F$6-$E$6)/($G$6-$E$6),$E$6+SQRT(P864*($G$6-$E$6)*($F$6-$E$6)),$G$6-SQRT((1-P864)*($G$6-$E$6)*($G$6-$F$6))))</f>
        <v>0.997645627446244</v>
      </c>
      <c r="C864" s="51" t="n">
        <f aca="false">1+IF($G$7=$E$7,$F$7,IF(Q864&lt;($F$7-$E$7)/($G$7-$E$7),$E$7+SQRT(Q864*($G$7-$E$7)*($F$7-$E$7)),$G$7-SQRT((1-Q864)*($G$7-$E$7)*($G$7-$F$7))))</f>
        <v>0.98514830979299</v>
      </c>
      <c r="D864" s="51" t="n">
        <f aca="false">1+IF($G$8=$E$8,$F$8,IF(R864&lt;($F$8-$E$8)/($G$8-$E$8),$E$8+SQRT(R864*($G$8-$E$8)*($F$8-$E$8)),$G$8-SQRT((1-R864)*($G$8-$E$8)*($G$8-$F$8))))</f>
        <v>1.00791071779741</v>
      </c>
      <c r="E864" s="51" t="n">
        <f aca="false">1+IF($G$9=$E$9,$F$9,IF(S864&lt;($F$9-$E$9)/($G$9-$E$9),$E$9+SQRT(S864*($G$9-$E$9)*($F$9-$E$9)),$G$9-SQRT((1-S864)*($G$9-$E$9)*($G$9-$F$9))))</f>
        <v>1.03767642153495</v>
      </c>
      <c r="F864" s="51" t="n">
        <f aca="false">1+IF($G$10=$E$10,$F$10,IF(T864&lt;($F$10-$E$10)/($G$10-$E$10),$E$10+SQRT(T864*($G$10-$E$10)*($F$10-$E$10)),$G$10-SQRT((1-T864)*($G$10-$E$10)*($G$10-$F$10))))</f>
        <v>1.0049742272839</v>
      </c>
      <c r="G864" s="52" t="n">
        <f aca="false">IF($G$11=$E$11,$F$11,IF(U864&lt;($F$11-$E$11)/($G$11-$E$11),$E$11+SQRT(U864*($G$11-$E$11)*($F$11-$E$11)),$G$11-SQRT((1-U864)*($G$11-$E$11)*($G$11-$F$11))))</f>
        <v>0.110117445859979</v>
      </c>
      <c r="H864" s="53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-2009948454.5678</v>
      </c>
      <c r="I864" s="53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-2303857.65236968</v>
      </c>
      <c r="J864" s="53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294397144.931191</v>
      </c>
      <c r="K864" s="53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641346858.878946</v>
      </c>
      <c r="L864" s="53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774213759.983646</v>
      </c>
      <c r="M864" s="53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961029877.989635</v>
      </c>
      <c r="N864" s="53" t="n">
        <f aca="false">IF(COUNT('Business Case'!B11:G11)=0,"",H864+NPV(G864,I864:M864))</f>
        <v>-224530910.070455</v>
      </c>
      <c r="P864" s="54" t="n">
        <f aca="true">RAND()</f>
        <v>0.628004527241767</v>
      </c>
      <c r="Q864" s="54" t="n">
        <f aca="true">RAND()</f>
        <v>0.489712808845728</v>
      </c>
      <c r="R864" s="54" t="n">
        <f aca="true">RAND()</f>
        <v>0.500301479953433</v>
      </c>
      <c r="S864" s="54" t="n">
        <f aca="true">RAND()</f>
        <v>0.741051437820757</v>
      </c>
      <c r="T864" s="54" t="n">
        <f aca="true">RAND()</f>
        <v>0.239298959529753</v>
      </c>
      <c r="U864" s="54" t="n">
        <f aca="true">RAND()</f>
        <v>0.837225206115926</v>
      </c>
    </row>
    <row r="865" customFormat="false" ht="15" hidden="false" customHeight="false" outlineLevel="0" collapsed="false">
      <c r="A865" s="50" t="n">
        <v>785</v>
      </c>
      <c r="B865" s="51" t="n">
        <f aca="false">1+IF($G$6=$E$6,$F$6,IF(P865&lt;($F$6-$E$6)/($G$6-$E$6),$E$6+SQRT(P865*($G$6-$E$6)*($F$6-$E$6)),$G$6-SQRT((1-P865)*($G$6-$E$6)*($G$6-$F$6))))</f>
        <v>1.002524743124</v>
      </c>
      <c r="C865" s="51" t="n">
        <f aca="false">1+IF($G$7=$E$7,$F$7,IF(Q865&lt;($F$7-$E$7)/($G$7-$E$7),$E$7+SQRT(Q865*($G$7-$E$7)*($F$7-$E$7)),$G$7-SQRT((1-Q865)*($G$7-$E$7)*($G$7-$F$7))))</f>
        <v>0.928854197787947</v>
      </c>
      <c r="D865" s="51" t="n">
        <f aca="false">1+IF($G$8=$E$8,$F$8,IF(R865&lt;($F$8-$E$8)/($G$8-$E$8),$E$8+SQRT(R865*($G$8-$E$8)*($F$8-$E$8)),$G$8-SQRT((1-R865)*($G$8-$E$8)*($G$8-$F$8))))</f>
        <v>0.984326955690207</v>
      </c>
      <c r="E865" s="51" t="n">
        <f aca="false">1+IF($G$9=$E$9,$F$9,IF(S865&lt;($F$9-$E$9)/($G$9-$E$9),$E$9+SQRT(S865*($G$9-$E$9)*($F$9-$E$9)),$G$9-SQRT((1-S865)*($G$9-$E$9)*($G$9-$F$9))))</f>
        <v>0.998852026265332</v>
      </c>
      <c r="F865" s="51" t="n">
        <f aca="false">1+IF($G$10=$E$10,$F$10,IF(T865&lt;($F$10-$E$10)/($G$10-$E$10),$E$10+SQRT(T865*($G$10-$E$10)*($F$10-$E$10)),$G$10-SQRT((1-T865)*($G$10-$E$10)*($G$10-$F$10))))</f>
        <v>1.01179148470618</v>
      </c>
      <c r="G865" s="52" t="n">
        <f aca="false">IF($G$11=$E$11,$F$11,IF(U865&lt;($F$11-$E$11)/($G$11-$E$11),$E$11+SQRT(U865*($G$11-$E$11)*($F$11-$E$11)),$G$11-SQRT((1-U865)*($G$11-$E$11)*($G$11-$F$11))))</f>
        <v>0.0984216255113886</v>
      </c>
      <c r="H865" s="53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-2023582969.41236</v>
      </c>
      <c r="I865" s="53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3183483.64233977</v>
      </c>
      <c r="J865" s="53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297856246.433586</v>
      </c>
      <c r="K865" s="53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643118583.460141</v>
      </c>
      <c r="L865" s="53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773525086.086129</v>
      </c>
      <c r="M865" s="53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950527452.078444</v>
      </c>
      <c r="N865" s="53" t="n">
        <f aca="false">IF(COUNT('Business Case'!B11:G11)=0,"",H865+NPV(G865,I865:M865))</f>
        <v>-162717424.554234</v>
      </c>
      <c r="P865" s="54" t="n">
        <f aca="true">RAND()</f>
        <v>0.707417733766225</v>
      </c>
      <c r="Q865" s="54" t="n">
        <f aca="true">RAND()</f>
        <v>0.237191489822505</v>
      </c>
      <c r="R865" s="54" t="n">
        <f aca="true">RAND()</f>
        <v>0.18128305953191</v>
      </c>
      <c r="S865" s="54" t="n">
        <f aca="true">RAND()</f>
        <v>0.318202729363821</v>
      </c>
      <c r="T865" s="54" t="n">
        <f aca="true">RAND()</f>
        <v>0.291551095417909</v>
      </c>
      <c r="U865" s="54" t="n">
        <f aca="true">RAND()</f>
        <v>0.236412587513573</v>
      </c>
    </row>
    <row r="866" customFormat="false" ht="15" hidden="false" customHeight="false" outlineLevel="0" collapsed="false">
      <c r="A866" s="50" t="n">
        <v>786</v>
      </c>
      <c r="B866" s="51" t="n">
        <f aca="false">1+IF($G$6=$E$6,$F$6,IF(P866&lt;($F$6-$E$6)/($G$6-$E$6),$E$6+SQRT(P866*($G$6-$E$6)*($F$6-$E$6)),$G$6-SQRT((1-P866)*($G$6-$E$6)*($G$6-$F$6))))</f>
        <v>0.955219369500533</v>
      </c>
      <c r="C866" s="51" t="n">
        <f aca="false">1+IF($G$7=$E$7,$F$7,IF(Q866&lt;($F$7-$E$7)/($G$7-$E$7),$E$7+SQRT(Q866*($G$7-$E$7)*($F$7-$E$7)),$G$7-SQRT((1-Q866)*($G$7-$E$7)*($G$7-$F$7))))</f>
        <v>0.959138292319617</v>
      </c>
      <c r="D866" s="51" t="n">
        <f aca="false">1+IF($G$8=$E$8,$F$8,IF(R866&lt;($F$8-$E$8)/($G$8-$E$8),$E$8+SQRT(R866*($G$8-$E$8)*($F$8-$E$8)),$G$8-SQRT((1-R866)*($G$8-$E$8)*($G$8-$F$8))))</f>
        <v>0.983324773647985</v>
      </c>
      <c r="E866" s="51" t="n">
        <f aca="false">1+IF($G$9=$E$9,$F$9,IF(S866&lt;($F$9-$E$9)/($G$9-$E$9),$E$9+SQRT(S866*($G$9-$E$9)*($F$9-$E$9)),$G$9-SQRT((1-S866)*($G$9-$E$9)*($G$9-$F$9))))</f>
        <v>1.0036907916201</v>
      </c>
      <c r="F866" s="51" t="n">
        <f aca="false">1+IF($G$10=$E$10,$F$10,IF(T866&lt;($F$10-$E$10)/($G$10-$E$10),$E$10+SQRT(T866*($G$10-$E$10)*($F$10-$E$10)),$G$10-SQRT((1-T866)*($G$10-$E$10)*($G$10-$F$10))))</f>
        <v>1.07464199371137</v>
      </c>
      <c r="G866" s="52" t="n">
        <f aca="false">IF($G$11=$E$11,$F$11,IF(U866&lt;($F$11-$E$11)/($G$11-$E$11),$E$11+SQRT(U866*($G$11-$E$11)*($F$11-$E$11)),$G$11-SQRT((1-U866)*($G$11-$E$11)*($G$11-$F$11))))</f>
        <v>0.105250710130557</v>
      </c>
      <c r="H866" s="53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-2149283987.42274</v>
      </c>
      <c r="I866" s="53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-30075185.1037438</v>
      </c>
      <c r="J866" s="53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237533818.428426</v>
      </c>
      <c r="K866" s="53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558874921.646165</v>
      </c>
      <c r="L866" s="53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679741361.954487</v>
      </c>
      <c r="M866" s="53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853890277.174615</v>
      </c>
      <c r="N866" s="53" t="n">
        <f aca="false">IF(COUNT('Business Case'!B11:G11)=0,"",H866+NPV(G866,I866:M866))</f>
        <v>-594875543.059825</v>
      </c>
      <c r="P866" s="54" t="n">
        <f aca="true">RAND()</f>
        <v>0.129208748751574</v>
      </c>
      <c r="Q866" s="54" t="n">
        <f aca="true">RAND()</f>
        <v>0.361785658320057</v>
      </c>
      <c r="R866" s="54" t="n">
        <f aca="true">RAND()</f>
        <v>0.170852390567609</v>
      </c>
      <c r="S866" s="54" t="n">
        <f aca="true">RAND()</f>
        <v>0.38163575874919</v>
      </c>
      <c r="T866" s="54" t="n">
        <f aca="true">RAND()</f>
        <v>0.685707405186789</v>
      </c>
      <c r="U866" s="54" t="n">
        <f aca="true">RAND()</f>
        <v>0.637430747245242</v>
      </c>
    </row>
    <row r="867" customFormat="false" ht="15" hidden="false" customHeight="false" outlineLevel="0" collapsed="false">
      <c r="A867" s="50" t="n">
        <v>787</v>
      </c>
      <c r="B867" s="51" t="n">
        <f aca="false">1+IF($G$6=$E$6,$F$6,IF(P867&lt;($F$6-$E$6)/($G$6-$E$6),$E$6+SQRT(P867*($G$6-$E$6)*($F$6-$E$6)),$G$6-SQRT((1-P867)*($G$6-$E$6)*($G$6-$F$6))))</f>
        <v>1.00751385596613</v>
      </c>
      <c r="C867" s="51" t="n">
        <f aca="false">1+IF($G$7=$E$7,$F$7,IF(Q867&lt;($F$7-$E$7)/($G$7-$E$7),$E$7+SQRT(Q867*($G$7-$E$7)*($F$7-$E$7)),$G$7-SQRT((1-Q867)*($G$7-$E$7)*($G$7-$F$7))))</f>
        <v>0.935810926820193</v>
      </c>
      <c r="D867" s="51" t="n">
        <f aca="false">1+IF($G$8=$E$8,$F$8,IF(R867&lt;($F$8-$E$8)/($G$8-$E$8),$E$8+SQRT(R867*($G$8-$E$8)*($F$8-$E$8)),$G$8-SQRT((1-R867)*($G$8-$E$8)*($G$8-$F$8))))</f>
        <v>1.04357890725214</v>
      </c>
      <c r="E867" s="51" t="n">
        <f aca="false">1+IF($G$9=$E$9,$F$9,IF(S867&lt;($F$9-$E$9)/($G$9-$E$9),$E$9+SQRT(S867*($G$9-$E$9)*($F$9-$E$9)),$G$9-SQRT((1-S867)*($G$9-$E$9)*($G$9-$F$9))))</f>
        <v>1.02729438661953</v>
      </c>
      <c r="F867" s="51" t="n">
        <f aca="false">1+IF($G$10=$E$10,$F$10,IF(T867&lt;($F$10-$E$10)/($G$10-$E$10),$E$10+SQRT(T867*($G$10-$E$10)*($F$10-$E$10)),$G$10-SQRT((1-T867)*($G$10-$E$10)*($G$10-$F$10))))</f>
        <v>1.04093318666944</v>
      </c>
      <c r="G867" s="52" t="n">
        <f aca="false">IF($G$11=$E$11,$F$11,IF(U867&lt;($F$11-$E$11)/($G$11-$E$11),$E$11+SQRT(U867*($G$11-$E$11)*($F$11-$E$11)),$G$11-SQRT((1-U867)*($G$11-$E$11)*($G$11-$F$11))))</f>
        <v>0.0974847152010854</v>
      </c>
      <c r="H867" s="53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-2081866373.33888</v>
      </c>
      <c r="I867" s="53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-26732917.7394998</v>
      </c>
      <c r="J867" s="53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245585698.886652</v>
      </c>
      <c r="K867" s="53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569950974.846275</v>
      </c>
      <c r="L867" s="53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693308483.002599</v>
      </c>
      <c r="M867" s="53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872523980.714437</v>
      </c>
      <c r="N867" s="53" t="n">
        <f aca="false">IF(COUNT('Business Case'!B11:G11)=0,"",H867+NPV(G867,I867:M867))</f>
        <v>-445265689.705057</v>
      </c>
      <c r="P867" s="54" t="n">
        <f aca="true">RAND()</f>
        <v>0.78013550954382</v>
      </c>
      <c r="Q867" s="54" t="n">
        <f aca="true">RAND()</f>
        <v>0.263494397767996</v>
      </c>
      <c r="R867" s="54" t="n">
        <f aca="true">RAND()</f>
        <v>0.872452307985759</v>
      </c>
      <c r="S867" s="54" t="n">
        <f aca="true">RAND()</f>
        <v>0.647592918864623</v>
      </c>
      <c r="T867" s="54" t="n">
        <f aca="true">RAND()</f>
        <v>0.493954977937232</v>
      </c>
      <c r="U867" s="54" t="n">
        <f aca="true">RAND()</f>
        <v>0.186736538804531</v>
      </c>
    </row>
    <row r="868" customFormat="false" ht="15" hidden="false" customHeight="false" outlineLevel="0" collapsed="false">
      <c r="A868" s="50" t="n">
        <v>788</v>
      </c>
      <c r="B868" s="51" t="n">
        <f aca="false">1+IF($G$6=$E$6,$F$6,IF(P868&lt;($F$6-$E$6)/($G$6-$E$6),$E$6+SQRT(P868*($G$6-$E$6)*($F$6-$E$6)),$G$6-SQRT((1-P868)*($G$6-$E$6)*($G$6-$F$6))))</f>
        <v>1.02590089958788</v>
      </c>
      <c r="C868" s="51" t="n">
        <f aca="false">1+IF($G$7=$E$7,$F$7,IF(Q868&lt;($F$7-$E$7)/($G$7-$E$7),$E$7+SQRT(Q868*($G$7-$E$7)*($F$7-$E$7)),$G$7-SQRT((1-Q868)*($G$7-$E$7)*($G$7-$F$7))))</f>
        <v>0.941672037528356</v>
      </c>
      <c r="D868" s="51" t="n">
        <f aca="false">1+IF($G$8=$E$8,$F$8,IF(R868&lt;($F$8-$E$8)/($G$8-$E$8),$E$8+SQRT(R868*($G$8-$E$8)*($F$8-$E$8)),$G$8-SQRT((1-R868)*($G$8-$E$8)*($G$8-$F$8))))</f>
        <v>1.00904459641969</v>
      </c>
      <c r="E868" s="51" t="n">
        <f aca="false">1+IF($G$9=$E$9,$F$9,IF(S868&lt;($F$9-$E$9)/($G$9-$E$9),$E$9+SQRT(S868*($G$9-$E$9)*($F$9-$E$9)),$G$9-SQRT((1-S868)*($G$9-$E$9)*($G$9-$F$9))))</f>
        <v>1.01396846533404</v>
      </c>
      <c r="F868" s="51" t="n">
        <f aca="false">1+IF($G$10=$E$10,$F$10,IF(T868&lt;($F$10-$E$10)/($G$10-$E$10),$E$10+SQRT(T868*($G$10-$E$10)*($F$10-$E$10)),$G$10-SQRT((1-T868)*($G$10-$E$10)*($G$10-$F$10))))</f>
        <v>0.972873899531862</v>
      </c>
      <c r="G868" s="52" t="n">
        <f aca="false">IF($G$11=$E$11,$F$11,IF(U868&lt;($F$11-$E$11)/($G$11-$E$11),$E$11+SQRT(U868*($G$11-$E$11)*($F$11-$E$11)),$G$11-SQRT((1-U868)*($G$11-$E$11)*($G$11-$F$11))))</f>
        <v>0.105487748962577</v>
      </c>
      <c r="H868" s="53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-1945747799.06372</v>
      </c>
      <c r="I868" s="53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13299326.3743195</v>
      </c>
      <c r="J868" s="53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318153022.423547</v>
      </c>
      <c r="K868" s="53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671650413.449368</v>
      </c>
      <c r="L868" s="53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806655421.433258</v>
      </c>
      <c r="M868" s="53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990284522.587738</v>
      </c>
      <c r="N868" s="53" t="n">
        <f aca="false">IF(COUNT('Business Case'!B11:G11)=0,"",H868+NPV(G868,I868:M868))</f>
        <v>-36366563.8840208</v>
      </c>
      <c r="P868" s="54" t="n">
        <f aca="true">RAND()</f>
        <v>0.958586534910179</v>
      </c>
      <c r="Q868" s="54" t="n">
        <f aca="true">RAND()</f>
        <v>0.286728088820513</v>
      </c>
      <c r="R868" s="54" t="n">
        <f aca="true">RAND()</f>
        <v>0.515897182957248</v>
      </c>
      <c r="S868" s="54" t="n">
        <f aca="true">RAND()</f>
        <v>0.506571669534591</v>
      </c>
      <c r="T868" s="54" t="n">
        <f aca="true">RAND()</f>
        <v>0.0418572223834987</v>
      </c>
      <c r="U868" s="54" t="n">
        <f aca="true">RAND()</f>
        <v>0.648990949711361</v>
      </c>
    </row>
    <row r="869" customFormat="false" ht="15" hidden="false" customHeight="false" outlineLevel="0" collapsed="false">
      <c r="A869" s="50" t="n">
        <v>789</v>
      </c>
      <c r="B869" s="51" t="n">
        <f aca="false">1+IF($G$6=$E$6,$F$6,IF(P869&lt;($F$6-$E$6)/($G$6-$E$6),$E$6+SQRT(P869*($G$6-$E$6)*($F$6-$E$6)),$G$6-SQRT((1-P869)*($G$6-$E$6)*($G$6-$F$6))))</f>
        <v>1.02446908341867</v>
      </c>
      <c r="C869" s="51" t="n">
        <f aca="false">1+IF($G$7=$E$7,$F$7,IF(Q869&lt;($F$7-$E$7)/($G$7-$E$7),$E$7+SQRT(Q869*($G$7-$E$7)*($F$7-$E$7)),$G$7-SQRT((1-Q869)*($G$7-$E$7)*($G$7-$F$7))))</f>
        <v>1.03963135027211</v>
      </c>
      <c r="D869" s="51" t="n">
        <f aca="false">1+IF($G$8=$E$8,$F$8,IF(R869&lt;($F$8-$E$8)/($G$8-$E$8),$E$8+SQRT(R869*($G$8-$E$8)*($F$8-$E$8)),$G$8-SQRT((1-R869)*($G$8-$E$8)*($G$8-$F$8))))</f>
        <v>1.00665760819854</v>
      </c>
      <c r="E869" s="51" t="n">
        <f aca="false">1+IF($G$9=$E$9,$F$9,IF(S869&lt;($F$9-$E$9)/($G$9-$E$9),$E$9+SQRT(S869*($G$9-$E$9)*($F$9-$E$9)),$G$9-SQRT((1-S869)*($G$9-$E$9)*($G$9-$F$9))))</f>
        <v>1.00807404957395</v>
      </c>
      <c r="F869" s="51" t="n">
        <f aca="false">1+IF($G$10=$E$10,$F$10,IF(T869&lt;($F$10-$E$10)/($G$10-$E$10),$E$10+SQRT(T869*($G$10-$E$10)*($F$10-$E$10)),$G$10-SQRT((1-T869)*($G$10-$E$10)*($G$10-$F$10))))</f>
        <v>1.00997507322513</v>
      </c>
      <c r="G869" s="52" t="n">
        <f aca="false">IF($G$11=$E$11,$F$11,IF(U869&lt;($F$11-$E$11)/($G$11-$E$11),$E$11+SQRT(U869*($G$11-$E$11)*($F$11-$E$11)),$G$11-SQRT((1-U869)*($G$11-$E$11)*($G$11-$F$11))))</f>
        <v>0.108342550493366</v>
      </c>
      <c r="H869" s="53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-2019950146.45026</v>
      </c>
      <c r="I869" s="53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37058970.7760002</v>
      </c>
      <c r="J869" s="53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373676816.67403</v>
      </c>
      <c r="K869" s="53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760793416.233316</v>
      </c>
      <c r="L869" s="53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909808190.166059</v>
      </c>
      <c r="M869" s="53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1112256729.31643</v>
      </c>
      <c r="N869" s="53" t="n">
        <f aca="false">IF(COUNT('Business Case'!B11:G11)=0,"",H869+NPV(G869,I869:M869))</f>
        <v>144395777.936151</v>
      </c>
      <c r="P869" s="54" t="n">
        <f aca="true">RAND()</f>
        <v>0.9497480479466</v>
      </c>
      <c r="Q869" s="54" t="n">
        <f aca="true">RAND()</f>
        <v>0.767976402995092</v>
      </c>
      <c r="R869" s="54" t="n">
        <f aca="true">RAND()</f>
        <v>0.482778227388506</v>
      </c>
      <c r="S869" s="54" t="n">
        <f aca="true">RAND()</f>
        <v>0.43664130921781</v>
      </c>
      <c r="T869" s="54" t="n">
        <f aca="true">RAND()</f>
        <v>0.277810544084092</v>
      </c>
      <c r="U869" s="54" t="n">
        <f aca="true">RAND()</f>
        <v>0.773506451667136</v>
      </c>
    </row>
    <row r="870" customFormat="false" ht="15" hidden="false" customHeight="false" outlineLevel="0" collapsed="false">
      <c r="A870" s="50" t="n">
        <v>790</v>
      </c>
      <c r="B870" s="51" t="n">
        <f aca="false">1+IF($G$6=$E$6,$F$6,IF(P870&lt;($F$6-$E$6)/($G$6-$E$6),$E$6+SQRT(P870*($G$6-$E$6)*($F$6-$E$6)),$G$6-SQRT((1-P870)*($G$6-$E$6)*($G$6-$F$6))))</f>
        <v>1.02568294405111</v>
      </c>
      <c r="C870" s="51" t="n">
        <f aca="false">1+IF($G$7=$E$7,$F$7,IF(Q870&lt;($F$7-$E$7)/($G$7-$E$7),$E$7+SQRT(Q870*($G$7-$E$7)*($F$7-$E$7)),$G$7-SQRT((1-Q870)*($G$7-$E$7)*($G$7-$F$7))))</f>
        <v>1.06121794891147</v>
      </c>
      <c r="D870" s="51" t="n">
        <f aca="false">1+IF($G$8=$E$8,$F$8,IF(R870&lt;($F$8-$E$8)/($G$8-$E$8),$E$8+SQRT(R870*($G$8-$E$8)*($F$8-$E$8)),$G$8-SQRT((1-R870)*($G$8-$E$8)*($G$8-$F$8))))</f>
        <v>0.998256051621882</v>
      </c>
      <c r="E870" s="51" t="n">
        <f aca="false">1+IF($G$9=$E$9,$F$9,IF(S870&lt;($F$9-$E$9)/($G$9-$E$9),$E$9+SQRT(S870*($G$9-$E$9)*($F$9-$E$9)),$G$9-SQRT((1-S870)*($G$9-$E$9)*($G$9-$F$9))))</f>
        <v>0.998656948872949</v>
      </c>
      <c r="F870" s="51" t="n">
        <f aca="false">1+IF($G$10=$E$10,$F$10,IF(T870&lt;($F$10-$E$10)/($G$10-$E$10),$E$10+SQRT(T870*($G$10-$E$10)*($F$10-$E$10)),$G$10-SQRT((1-T870)*($G$10-$E$10)*($G$10-$F$10))))</f>
        <v>1.13038318072979</v>
      </c>
      <c r="G870" s="52" t="n">
        <f aca="false">IF($G$11=$E$11,$F$11,IF(U870&lt;($F$11-$E$11)/($G$11-$E$11),$E$11+SQRT(U870*($G$11-$E$11)*($F$11-$E$11)),$G$11-SQRT((1-U870)*($G$11-$E$11)*($G$11-$F$11))))</f>
        <v>0.0995389039225227</v>
      </c>
      <c r="H870" s="53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-2260766361.45959</v>
      </c>
      <c r="I870" s="53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37752818.4184527</v>
      </c>
      <c r="J870" s="53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386979421.141808</v>
      </c>
      <c r="K870" s="53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792725182.901652</v>
      </c>
      <c r="L870" s="53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946751682.54423</v>
      </c>
      <c r="M870" s="53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1153648658.91892</v>
      </c>
      <c r="N870" s="53" t="n">
        <f aca="false">IF(COUNT('Business Case'!B11:G11)=0,"",H870+NPV(G870,I870:M870))</f>
        <v>55548322.831851</v>
      </c>
      <c r="P870" s="54" t="n">
        <f aca="true">RAND()</f>
        <v>0.957296231032567</v>
      </c>
      <c r="Q870" s="54" t="n">
        <f aca="true">RAND()</f>
        <v>0.849861855324068</v>
      </c>
      <c r="R870" s="54" t="n">
        <f aca="true">RAND()</f>
        <v>0.358253310482117</v>
      </c>
      <c r="S870" s="54" t="n">
        <f aca="true">RAND()</f>
        <v>0.315666489816631</v>
      </c>
      <c r="T870" s="54" t="n">
        <f aca="true">RAND()</f>
        <v>0.903069969493992</v>
      </c>
      <c r="U870" s="54" t="n">
        <f aca="true">RAND()</f>
        <v>0.303302293477063</v>
      </c>
    </row>
    <row r="871" customFormat="false" ht="15" hidden="false" customHeight="false" outlineLevel="0" collapsed="false">
      <c r="A871" s="50" t="n">
        <v>791</v>
      </c>
      <c r="B871" s="51" t="n">
        <f aca="false">1+IF($G$6=$E$6,$F$6,IF(P871&lt;($F$6-$E$6)/($G$6-$E$6),$E$6+SQRT(P871*($G$6-$E$6)*($F$6-$E$6)),$G$6-SQRT((1-P871)*($G$6-$E$6)*($G$6-$F$6))))</f>
        <v>0.9614282863382</v>
      </c>
      <c r="C871" s="51" t="n">
        <f aca="false">1+IF($G$7=$E$7,$F$7,IF(Q871&lt;($F$7-$E$7)/($G$7-$E$7),$E$7+SQRT(Q871*($G$7-$E$7)*($F$7-$E$7)),$G$7-SQRT((1-Q871)*($G$7-$E$7)*($G$7-$F$7))))</f>
        <v>0.895261032817178</v>
      </c>
      <c r="D871" s="51" t="n">
        <f aca="false">1+IF($G$8=$E$8,$F$8,IF(R871&lt;($F$8-$E$8)/($G$8-$E$8),$E$8+SQRT(R871*($G$8-$E$8)*($F$8-$E$8)),$G$8-SQRT((1-R871)*($G$8-$E$8)*($G$8-$F$8))))</f>
        <v>0.996767397806799</v>
      </c>
      <c r="E871" s="51" t="n">
        <f aca="false">1+IF($G$9=$E$9,$F$9,IF(S871&lt;($F$9-$E$9)/($G$9-$E$9),$E$9+SQRT(S871*($G$9-$E$9)*($F$9-$E$9)),$G$9-SQRT((1-S871)*($G$9-$E$9)*($G$9-$F$9))))</f>
        <v>0.982215469381973</v>
      </c>
      <c r="F871" s="51" t="n">
        <f aca="false">1+IF($G$10=$E$10,$F$10,IF(T871&lt;($F$10-$E$10)/($G$10-$E$10),$E$10+SQRT(T871*($G$10-$E$10)*($F$10-$E$10)),$G$10-SQRT((1-T871)*($G$10-$E$10)*($G$10-$F$10))))</f>
        <v>1.02883260671436</v>
      </c>
      <c r="G871" s="52" t="n">
        <f aca="false">IF($G$11=$E$11,$F$11,IF(U871&lt;($F$11-$E$11)/($G$11-$E$11),$E$11+SQRT(U871*($G$11-$E$11)*($F$11-$E$11)),$G$11-SQRT((1-U871)*($G$11-$E$11)*($G$11-$F$11))))</f>
        <v>0.11601622103817</v>
      </c>
      <c r="H871" s="53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-2057665213.42872</v>
      </c>
      <c r="I871" s="53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-38995772.7782148</v>
      </c>
      <c r="J871" s="53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209182960.767779</v>
      </c>
      <c r="K871" s="53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508803324.649491</v>
      </c>
      <c r="L871" s="53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621276373.102592</v>
      </c>
      <c r="M871" s="53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784883794.76033</v>
      </c>
      <c r="N871" s="53" t="n">
        <f aca="false">IF(COUNT('Business Case'!B11:G11)=0,"",H871+NPV(G871,I871:M871))</f>
        <v>-704736472.492326</v>
      </c>
      <c r="P871" s="54" t="n">
        <f aca="true">RAND()</f>
        <v>0.178781553012485</v>
      </c>
      <c r="Q871" s="54" t="n">
        <f aca="true">RAND()</f>
        <v>0.129638062477078</v>
      </c>
      <c r="R871" s="54" t="n">
        <f aca="true">RAND()</f>
        <v>0.336490691941447</v>
      </c>
      <c r="S871" s="54" t="n">
        <f aca="true">RAND()</f>
        <v>0.138378195666779</v>
      </c>
      <c r="T871" s="54" t="n">
        <f aca="true">RAND()</f>
        <v>0.414034469515983</v>
      </c>
      <c r="U871" s="54" t="n">
        <f aca="true">RAND()</f>
        <v>0.973549175305468</v>
      </c>
    </row>
    <row r="872" customFormat="false" ht="15" hidden="false" customHeight="false" outlineLevel="0" collapsed="false">
      <c r="A872" s="50" t="n">
        <v>792</v>
      </c>
      <c r="B872" s="51" t="n">
        <f aca="false">1+IF($G$6=$E$6,$F$6,IF(P872&lt;($F$6-$E$6)/($G$6-$E$6),$E$6+SQRT(P872*($G$6-$E$6)*($F$6-$E$6)),$G$6-SQRT((1-P872)*($G$6-$E$6)*($G$6-$F$6))))</f>
        <v>1.0055682493497</v>
      </c>
      <c r="C872" s="51" t="n">
        <f aca="false">1+IF($G$7=$E$7,$F$7,IF(Q872&lt;($F$7-$E$7)/($G$7-$E$7),$E$7+SQRT(Q872*($G$7-$E$7)*($F$7-$E$7)),$G$7-SQRT((1-Q872)*($G$7-$E$7)*($G$7-$F$7))))</f>
        <v>0.963678402511277</v>
      </c>
      <c r="D872" s="51" t="n">
        <f aca="false">1+IF($G$8=$E$8,$F$8,IF(R872&lt;($F$8-$E$8)/($G$8-$E$8),$E$8+SQRT(R872*($G$8-$E$8)*($F$8-$E$8)),$G$8-SQRT((1-R872)*($G$8-$E$8)*($G$8-$F$8))))</f>
        <v>1.05184480658216</v>
      </c>
      <c r="E872" s="51" t="n">
        <f aca="false">1+IF($G$9=$E$9,$F$9,IF(S872&lt;($F$9-$E$9)/($G$9-$E$9),$E$9+SQRT(S872*($G$9-$E$9)*($F$9-$E$9)),$G$9-SQRT((1-S872)*($G$9-$E$9)*($G$9-$F$9))))</f>
        <v>1.07782635805782</v>
      </c>
      <c r="F872" s="51" t="n">
        <f aca="false">1+IF($G$10=$E$10,$F$10,IF(T872&lt;($F$10-$E$10)/($G$10-$E$10),$E$10+SQRT(T872*($G$10-$E$10)*($F$10-$E$10)),$G$10-SQRT((1-T872)*($G$10-$E$10)*($G$10-$F$10))))</f>
        <v>1.03480515522969</v>
      </c>
      <c r="G872" s="52" t="n">
        <f aca="false">IF($G$11=$E$11,$F$11,IF(U872&lt;($F$11-$E$11)/($G$11-$E$11),$E$11+SQRT(U872*($G$11-$E$11)*($F$11-$E$11)),$G$11-SQRT((1-U872)*($G$11-$E$11)*($G$11-$F$11))))</f>
        <v>0.101093840659432</v>
      </c>
      <c r="H872" s="53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-2069610310.45938</v>
      </c>
      <c r="I872" s="53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-32168199.067827</v>
      </c>
      <c r="J872" s="53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242646287.414241</v>
      </c>
      <c r="K872" s="53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569201031.657793</v>
      </c>
      <c r="L872" s="53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694296035.092551</v>
      </c>
      <c r="M872" s="53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878491995.433265</v>
      </c>
      <c r="N872" s="53" t="n">
        <f aca="false">IF(COUNT('Business Case'!B11:G11)=0,"",H872+NPV(G872,I872:M872))</f>
        <v>-457210889.466617</v>
      </c>
      <c r="P872" s="54" t="n">
        <f aca="true">RAND()</f>
        <v>0.753011363990711</v>
      </c>
      <c r="Q872" s="54" t="n">
        <f aca="true">RAND()</f>
        <v>0.382723134980623</v>
      </c>
      <c r="R872" s="54" t="n">
        <f aca="true">RAND()</f>
        <v>0.923777411885019</v>
      </c>
      <c r="S872" s="54" t="n">
        <f aca="true">RAND()</f>
        <v>0.967221973534664</v>
      </c>
      <c r="T872" s="54" t="n">
        <f aca="true">RAND()</f>
        <v>0.454213265226267</v>
      </c>
      <c r="U872" s="54" t="n">
        <f aca="true">RAND()</f>
        <v>0.404261898315075</v>
      </c>
    </row>
    <row r="873" customFormat="false" ht="15" hidden="false" customHeight="false" outlineLevel="0" collapsed="false">
      <c r="A873" s="50" t="n">
        <v>793</v>
      </c>
      <c r="B873" s="51" t="n">
        <f aca="false">1+IF($G$6=$E$6,$F$6,IF(P873&lt;($F$6-$E$6)/($G$6-$E$6),$E$6+SQRT(P873*($G$6-$E$6)*($F$6-$E$6)),$G$6-SQRT((1-P873)*($G$6-$E$6)*($G$6-$F$6))))</f>
        <v>1.01716149090425</v>
      </c>
      <c r="C873" s="51" t="n">
        <f aca="false">1+IF($G$7=$E$7,$F$7,IF(Q873&lt;($F$7-$E$7)/($G$7-$E$7),$E$7+SQRT(Q873*($G$7-$E$7)*($F$7-$E$7)),$G$7-SQRT((1-Q873)*($G$7-$E$7)*($G$7-$F$7))))</f>
        <v>0.846720117009028</v>
      </c>
      <c r="D873" s="51" t="n">
        <f aca="false">1+IF($G$8=$E$8,$F$8,IF(R873&lt;($F$8-$E$8)/($G$8-$E$8),$E$8+SQRT(R873*($G$8-$E$8)*($F$8-$E$8)),$G$8-SQRT((1-R873)*($G$8-$E$8)*($G$8-$F$8))))</f>
        <v>0.966379237447572</v>
      </c>
      <c r="E873" s="51" t="n">
        <f aca="false">1+IF($G$9=$E$9,$F$9,IF(S873&lt;($F$9-$E$9)/($G$9-$E$9),$E$9+SQRT(S873*($G$9-$E$9)*($F$9-$E$9)),$G$9-SQRT((1-S873)*($G$9-$E$9)*($G$9-$F$9))))</f>
        <v>1.04925731470855</v>
      </c>
      <c r="F873" s="51" t="n">
        <f aca="false">1+IF($G$10=$E$10,$F$10,IF(T873&lt;($F$10-$E$10)/($G$10-$E$10),$E$10+SQRT(T873*($G$10-$E$10)*($F$10-$E$10)),$G$10-SQRT((1-T873)*($G$10-$E$10)*($G$10-$F$10))))</f>
        <v>1.09733214548002</v>
      </c>
      <c r="G873" s="52" t="n">
        <f aca="false">IF($G$11=$E$11,$F$11,IF(U873&lt;($F$11-$E$11)/($G$11-$E$11),$E$11+SQRT(U873*($G$11-$E$11)*($F$11-$E$11)),$G$11-SQRT((1-U873)*($G$11-$E$11)*($G$11-$F$11))))</f>
        <v>0.0993660382257008</v>
      </c>
      <c r="H873" s="53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-2194664290.96004</v>
      </c>
      <c r="I873" s="53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-17038146.5325337</v>
      </c>
      <c r="J873" s="53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269508568.482003</v>
      </c>
      <c r="K873" s="53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610921890.77054</v>
      </c>
      <c r="L873" s="53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736202300.340394</v>
      </c>
      <c r="M873" s="53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899908908.78127</v>
      </c>
      <c r="N873" s="53" t="n">
        <f aca="false">IF(COUNT('Business Case'!B11:G11)=0,"",H873+NPV(G873,I873:M873))</f>
        <v>-462999417.407198</v>
      </c>
      <c r="P873" s="54" t="n">
        <f aca="true">RAND()</f>
        <v>0.891333854642347</v>
      </c>
      <c r="Q873" s="54" t="n">
        <f aca="true">RAND()</f>
        <v>0.031182419047675</v>
      </c>
      <c r="R873" s="54" t="n">
        <f aca="true">RAND()</f>
        <v>0.0412737568252196</v>
      </c>
      <c r="S873" s="54" t="n">
        <f aca="true">RAND()</f>
        <v>0.828345325960881</v>
      </c>
      <c r="T873" s="54" t="n">
        <f aca="true">RAND()</f>
        <v>0.789186232965276</v>
      </c>
      <c r="U873" s="54" t="n">
        <f aca="true">RAND()</f>
        <v>0.292408906817626</v>
      </c>
    </row>
    <row r="874" customFormat="false" ht="15" hidden="false" customHeight="false" outlineLevel="0" collapsed="false">
      <c r="A874" s="50" t="n">
        <v>794</v>
      </c>
      <c r="B874" s="51" t="n">
        <f aca="false">1+IF($G$6=$E$6,$F$6,IF(P874&lt;($F$6-$E$6)/($G$6-$E$6),$E$6+SQRT(P874*($G$6-$E$6)*($F$6-$E$6)),$G$6-SQRT((1-P874)*($G$6-$E$6)*($G$6-$F$6))))</f>
        <v>0.976351362198768</v>
      </c>
      <c r="C874" s="51" t="n">
        <f aca="false">1+IF($G$7=$E$7,$F$7,IF(Q874&lt;($F$7-$E$7)/($G$7-$E$7),$E$7+SQRT(Q874*($G$7-$E$7)*($F$7-$E$7)),$G$7-SQRT((1-Q874)*($G$7-$E$7)*($G$7-$F$7))))</f>
        <v>0.900838658382215</v>
      </c>
      <c r="D874" s="51" t="n">
        <f aca="false">1+IF($G$8=$E$8,$F$8,IF(R874&lt;($F$8-$E$8)/($G$8-$E$8),$E$8+SQRT(R874*($G$8-$E$8)*($F$8-$E$8)),$G$8-SQRT((1-R874)*($G$8-$E$8)*($G$8-$F$8))))</f>
        <v>1.03071542522429</v>
      </c>
      <c r="E874" s="51" t="n">
        <f aca="false">1+IF($G$9=$E$9,$F$9,IF(S874&lt;($F$9-$E$9)/($G$9-$E$9),$E$9+SQRT(S874*($G$9-$E$9)*($F$9-$E$9)),$G$9-SQRT((1-S874)*($G$9-$E$9)*($G$9-$F$9))))</f>
        <v>1.02656875741707</v>
      </c>
      <c r="F874" s="51" t="n">
        <f aca="false">1+IF($G$10=$E$10,$F$10,IF(T874&lt;($F$10-$E$10)/($G$10-$E$10),$E$10+SQRT(T874*($G$10-$E$10)*($F$10-$E$10)),$G$10-SQRT((1-T874)*($G$10-$E$10)*($G$10-$F$10))))</f>
        <v>1.00334815776542</v>
      </c>
      <c r="G874" s="52" t="n">
        <f aca="false">IF($G$11=$E$11,$F$11,IF(U874&lt;($F$11-$E$11)/($G$11-$E$11),$E$11+SQRT(U874*($G$11-$E$11)*($F$11-$E$11)),$G$11-SQRT((1-U874)*($G$11-$E$11)*($G$11-$F$11))))</f>
        <v>0.104291230591426</v>
      </c>
      <c r="H874" s="53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-2006696315.53084</v>
      </c>
      <c r="I874" s="53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-46827426.016198</v>
      </c>
      <c r="J874" s="53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198253138.104761</v>
      </c>
      <c r="K874" s="53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493501110.113992</v>
      </c>
      <c r="L874" s="53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605591362.85825</v>
      </c>
      <c r="M874" s="53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772773385.396578</v>
      </c>
      <c r="N874" s="53" t="n">
        <f aca="false">IF(COUNT('Business Case'!B11:G11)=0,"",H874+NPV(G874,I874:M874))</f>
        <v>-642241910.464154</v>
      </c>
      <c r="P874" s="54" t="n">
        <f aca="true">RAND()</f>
        <v>0.330778752255913</v>
      </c>
      <c r="Q874" s="54" t="n">
        <f aca="true">RAND()</f>
        <v>0.145263357490358</v>
      </c>
      <c r="R874" s="54" t="n">
        <f aca="true">RAND()</f>
        <v>0.766445258574783</v>
      </c>
      <c r="S874" s="54" t="n">
        <f aca="true">RAND()</f>
        <v>0.640523507515163</v>
      </c>
      <c r="T874" s="54" t="n">
        <f aca="true">RAND()</f>
        <v>0.226561058914901</v>
      </c>
      <c r="U874" s="54" t="n">
        <f aca="true">RAND()</f>
        <v>0.588724272780428</v>
      </c>
    </row>
    <row r="875" customFormat="false" ht="15" hidden="false" customHeight="false" outlineLevel="0" collapsed="false">
      <c r="A875" s="50" t="n">
        <v>795</v>
      </c>
      <c r="B875" s="51" t="n">
        <f aca="false">1+IF($G$6=$E$6,$F$6,IF(P875&lt;($F$6-$E$6)/($G$6-$E$6),$E$6+SQRT(P875*($G$6-$E$6)*($F$6-$E$6)),$G$6-SQRT((1-P875)*($G$6-$E$6)*($G$6-$F$6))))</f>
        <v>1.0016513460218</v>
      </c>
      <c r="C875" s="51" t="n">
        <f aca="false">1+IF($G$7=$E$7,$F$7,IF(Q875&lt;($F$7-$E$7)/($G$7-$E$7),$E$7+SQRT(Q875*($G$7-$E$7)*($F$7-$E$7)),$G$7-SQRT((1-Q875)*($G$7-$E$7)*($G$7-$F$7))))</f>
        <v>0.995446541596787</v>
      </c>
      <c r="D875" s="51" t="n">
        <f aca="false">1+IF($G$8=$E$8,$F$8,IF(R875&lt;($F$8-$E$8)/($G$8-$E$8),$E$8+SQRT(R875*($G$8-$E$8)*($F$8-$E$8)),$G$8-SQRT((1-R875)*($G$8-$E$8)*($G$8-$F$8))))</f>
        <v>1.03396676997256</v>
      </c>
      <c r="E875" s="51" t="n">
        <f aca="false">1+IF($G$9=$E$9,$F$9,IF(S875&lt;($F$9-$E$9)/($G$9-$E$9),$E$9+SQRT(S875*($G$9-$E$9)*($F$9-$E$9)),$G$9-SQRT((1-S875)*($G$9-$E$9)*($G$9-$F$9))))</f>
        <v>1.05347931891369</v>
      </c>
      <c r="F875" s="51" t="n">
        <f aca="false">1+IF($G$10=$E$10,$F$10,IF(T875&lt;($F$10-$E$10)/($G$10-$E$10),$E$10+SQRT(T875*($G$10-$E$10)*($F$10-$E$10)),$G$10-SQRT((1-T875)*($G$10-$E$10)*($G$10-$F$10))))</f>
        <v>1.15780739112688</v>
      </c>
      <c r="G875" s="52" t="n">
        <f aca="false">IF($G$11=$E$11,$F$11,IF(U875&lt;($F$11-$E$11)/($G$11-$E$11),$E$11+SQRT(U875*($G$11-$E$11)*($F$11-$E$11)),$G$11-SQRT((1-U875)*($G$11-$E$11)*($G$11-$F$11))))</f>
        <v>0.109250548694922</v>
      </c>
      <c r="H875" s="53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-2315614782.25376</v>
      </c>
      <c r="I875" s="53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-27483946.5230944</v>
      </c>
      <c r="J875" s="53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262306769.907825</v>
      </c>
      <c r="K875" s="53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609987855.895089</v>
      </c>
      <c r="L875" s="53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741044204.499929</v>
      </c>
      <c r="M875" s="53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930571141.703194</v>
      </c>
      <c r="N875" s="53" t="n">
        <f aca="false">IF(COUNT('Business Case'!B11:G11)=0,"",H875+NPV(G875,I875:M875))</f>
        <v>-636701318.809583</v>
      </c>
      <c r="P875" s="54" t="n">
        <f aca="true">RAND()</f>
        <v>0.693620987095912</v>
      </c>
      <c r="Q875" s="54" t="n">
        <f aca="true">RAND()</f>
        <v>0.545705008887779</v>
      </c>
      <c r="R875" s="54" t="n">
        <f aca="true">RAND()</f>
        <v>0.796244397427005</v>
      </c>
      <c r="S875" s="54" t="n">
        <f aca="true">RAND()</f>
        <v>0.855721748751053</v>
      </c>
      <c r="T875" s="54" t="n">
        <f aca="true">RAND()</f>
        <v>0.9643956751296</v>
      </c>
      <c r="U875" s="54" t="n">
        <f aca="true">RAND()</f>
        <v>0.807415494399583</v>
      </c>
    </row>
    <row r="876" customFormat="false" ht="15" hidden="false" customHeight="false" outlineLevel="0" collapsed="false">
      <c r="A876" s="50" t="n">
        <v>796</v>
      </c>
      <c r="B876" s="51" t="n">
        <f aca="false">1+IF($G$6=$E$6,$F$6,IF(P876&lt;($F$6-$E$6)/($G$6-$E$6),$E$6+SQRT(P876*($G$6-$E$6)*($F$6-$E$6)),$G$6-SQRT((1-P876)*($G$6-$E$6)*($G$6-$F$6))))</f>
        <v>0.996330650554946</v>
      </c>
      <c r="C876" s="51" t="n">
        <f aca="false">1+IF($G$7=$E$7,$F$7,IF(Q876&lt;($F$7-$E$7)/($G$7-$E$7),$E$7+SQRT(Q876*($G$7-$E$7)*($F$7-$E$7)),$G$7-SQRT((1-Q876)*($G$7-$E$7)*($G$7-$F$7))))</f>
        <v>0.942250118687054</v>
      </c>
      <c r="D876" s="51" t="n">
        <f aca="false">1+IF($G$8=$E$8,$F$8,IF(R876&lt;($F$8-$E$8)/($G$8-$E$8),$E$8+SQRT(R876*($G$8-$E$8)*($F$8-$E$8)),$G$8-SQRT((1-R876)*($G$8-$E$8)*($G$8-$F$8))))</f>
        <v>1.0353592304898</v>
      </c>
      <c r="E876" s="51" t="n">
        <f aca="false">1+IF($G$9=$E$9,$F$9,IF(S876&lt;($F$9-$E$9)/($G$9-$E$9),$E$9+SQRT(S876*($G$9-$E$9)*($F$9-$E$9)),$G$9-SQRT((1-S876)*($G$9-$E$9)*($G$9-$F$9))))</f>
        <v>1.04748837092719</v>
      </c>
      <c r="F876" s="51" t="n">
        <f aca="false">1+IF($G$10=$E$10,$F$10,IF(T876&lt;($F$10-$E$10)/($G$10-$E$10),$E$10+SQRT(T876*($G$10-$E$10)*($F$10-$E$10)),$G$10-SQRT((1-T876)*($G$10-$E$10)*($G$10-$F$10))))</f>
        <v>1.07057565409558</v>
      </c>
      <c r="G876" s="52" t="n">
        <f aca="false">IF($G$11=$E$11,$F$11,IF(U876&lt;($F$11-$E$11)/($G$11-$E$11),$E$11+SQRT(U876*($G$11-$E$11)*($F$11-$E$11)),$G$11-SQRT((1-U876)*($G$11-$E$11)*($G$11-$F$11))))</f>
        <v>0.0955991848399988</v>
      </c>
      <c r="H876" s="53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-2141151308.19117</v>
      </c>
      <c r="I876" s="53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-35151072.9103638</v>
      </c>
      <c r="J876" s="53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234375278.1412</v>
      </c>
      <c r="K876" s="53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557430411.897544</v>
      </c>
      <c r="L876" s="53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679717203.719081</v>
      </c>
      <c r="M876" s="53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858162915.143</v>
      </c>
      <c r="N876" s="53" t="n">
        <f aca="false">IF(COUNT('Business Case'!B11:G11)=0,"",H876+NPV(G876,I876:M876))</f>
        <v>-538704405.042526</v>
      </c>
      <c r="P876" s="54" t="n">
        <f aca="true">RAND()</f>
        <v>0.606913355639717</v>
      </c>
      <c r="Q876" s="54" t="n">
        <f aca="true">RAND()</f>
        <v>0.28907280380687</v>
      </c>
      <c r="R876" s="54" t="n">
        <f aca="true">RAND()</f>
        <v>0.808384778609369</v>
      </c>
      <c r="S876" s="54" t="n">
        <f aca="true">RAND()</f>
        <v>0.816168587474637</v>
      </c>
      <c r="T876" s="54" t="n">
        <f aca="true">RAND()</f>
        <v>0.664986773744274</v>
      </c>
      <c r="U876" s="54" t="n">
        <f aca="true">RAND()</f>
        <v>0.104502902908243</v>
      </c>
    </row>
    <row r="877" customFormat="false" ht="15" hidden="false" customHeight="false" outlineLevel="0" collapsed="false">
      <c r="A877" s="50" t="n">
        <v>797</v>
      </c>
      <c r="B877" s="51" t="n">
        <f aca="false">1+IF($G$6=$E$6,$F$6,IF(P877&lt;($F$6-$E$6)/($G$6-$E$6),$E$6+SQRT(P877*($G$6-$E$6)*($F$6-$E$6)),$G$6-SQRT((1-P877)*($G$6-$E$6)*($G$6-$F$6))))</f>
        <v>0.97122037919348</v>
      </c>
      <c r="C877" s="51" t="n">
        <f aca="false">1+IF($G$7=$E$7,$F$7,IF(Q877&lt;($F$7-$E$7)/($G$7-$E$7),$E$7+SQRT(Q877*($G$7-$E$7)*($F$7-$E$7)),$G$7-SQRT((1-Q877)*($G$7-$E$7)*($G$7-$F$7))))</f>
        <v>1.05064070966952</v>
      </c>
      <c r="D877" s="51" t="n">
        <f aca="false">1+IF($G$8=$E$8,$F$8,IF(R877&lt;($F$8-$E$8)/($G$8-$E$8),$E$8+SQRT(R877*($G$8-$E$8)*($F$8-$E$8)),$G$8-SQRT((1-R877)*($G$8-$E$8)*($G$8-$F$8))))</f>
        <v>1.05025783054107</v>
      </c>
      <c r="E877" s="51" t="n">
        <f aca="false">1+IF($G$9=$E$9,$F$9,IF(S877&lt;($F$9-$E$9)/($G$9-$E$9),$E$9+SQRT(S877*($G$9-$E$9)*($F$9-$E$9)),$G$9-SQRT((1-S877)*($G$9-$E$9)*($G$9-$F$9))))</f>
        <v>1.00447002801701</v>
      </c>
      <c r="F877" s="51" t="n">
        <f aca="false">1+IF($G$10=$E$10,$F$10,IF(T877&lt;($F$10-$E$10)/($G$10-$E$10),$E$10+SQRT(T877*($G$10-$E$10)*($F$10-$E$10)),$G$10-SQRT((1-T877)*($G$10-$E$10)*($G$10-$F$10))))</f>
        <v>1.0358743893186</v>
      </c>
      <c r="G877" s="52" t="n">
        <f aca="false">IF($G$11=$E$11,$F$11,IF(U877&lt;($F$11-$E$11)/($G$11-$E$11),$E$11+SQRT(U877*($G$11-$E$11)*($F$11-$E$11)),$G$11-SQRT((1-U877)*($G$11-$E$11)*($G$11-$F$11))))</f>
        <v>0.118560786966577</v>
      </c>
      <c r="H877" s="53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-2071748778.6372</v>
      </c>
      <c r="I877" s="53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-28411593.8765102</v>
      </c>
      <c r="J877" s="53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242497615.334857</v>
      </c>
      <c r="K877" s="53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565200544.012154</v>
      </c>
      <c r="L877" s="53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690768764.530609</v>
      </c>
      <c r="M877" s="53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884727093.827939</v>
      </c>
      <c r="N877" s="53" t="n">
        <f aca="false">IF(COUNT('Business Case'!B11:G11)=0,"",H877+NPV(G877,I877:M877))</f>
        <v>-552964410.974391</v>
      </c>
      <c r="P877" s="54" t="n">
        <f aca="true">RAND()</f>
        <v>0.273284087992074</v>
      </c>
      <c r="Q877" s="54" t="n">
        <f aca="true">RAND()</f>
        <v>0.811956789048063</v>
      </c>
      <c r="R877" s="54" t="n">
        <f aca="true">RAND()</f>
        <v>0.914942630372744</v>
      </c>
      <c r="S877" s="54" t="n">
        <f aca="true">RAND()</f>
        <v>0.391601630195223</v>
      </c>
      <c r="T877" s="54" t="n">
        <f aca="true">RAND()</f>
        <v>0.461255678369147</v>
      </c>
      <c r="U877" s="54" t="n">
        <f aca="true">RAND()</f>
        <v>0.996547776407375</v>
      </c>
    </row>
    <row r="878" customFormat="false" ht="15" hidden="false" customHeight="false" outlineLevel="0" collapsed="false">
      <c r="A878" s="50" t="n">
        <v>798</v>
      </c>
      <c r="B878" s="51" t="n">
        <f aca="false">1+IF($G$6=$E$6,$F$6,IF(P878&lt;($F$6-$E$6)/($G$6-$E$6),$E$6+SQRT(P878*($G$6-$E$6)*($F$6-$E$6)),$G$6-SQRT((1-P878)*($G$6-$E$6)*($G$6-$F$6))))</f>
        <v>1.01859056542805</v>
      </c>
      <c r="C878" s="51" t="n">
        <f aca="false">1+IF($G$7=$E$7,$F$7,IF(Q878&lt;($F$7-$E$7)/($G$7-$E$7),$E$7+SQRT(Q878*($G$7-$E$7)*($F$7-$E$7)),$G$7-SQRT((1-Q878)*($G$7-$E$7)*($G$7-$F$7))))</f>
        <v>0.916799863985796</v>
      </c>
      <c r="D878" s="51" t="n">
        <f aca="false">1+IF($G$8=$E$8,$F$8,IF(R878&lt;($F$8-$E$8)/($G$8-$E$8),$E$8+SQRT(R878*($G$8-$E$8)*($F$8-$E$8)),$G$8-SQRT((1-R878)*($G$8-$E$8)*($G$8-$F$8))))</f>
        <v>1.01304581496419</v>
      </c>
      <c r="E878" s="51" t="n">
        <f aca="false">1+IF($G$9=$E$9,$F$9,IF(S878&lt;($F$9-$E$9)/($G$9-$E$9),$E$9+SQRT(S878*($G$9-$E$9)*($F$9-$E$9)),$G$9-SQRT((1-S878)*($G$9-$E$9)*($G$9-$F$9))))</f>
        <v>1.0665401246694</v>
      </c>
      <c r="F878" s="51" t="n">
        <f aca="false">1+IF($G$10=$E$10,$F$10,IF(T878&lt;($F$10-$E$10)/($G$10-$E$10),$E$10+SQRT(T878*($G$10-$E$10)*($F$10-$E$10)),$G$10-SQRT((1-T878)*($G$10-$E$10)*($G$10-$F$10))))</f>
        <v>1.14894588484914</v>
      </c>
      <c r="G878" s="52" t="n">
        <f aca="false">IF($G$11=$E$11,$F$11,IF(U878&lt;($F$11-$E$11)/($G$11-$E$11),$E$11+SQRT(U878*($G$11-$E$11)*($F$11-$E$11)),$G$11-SQRT((1-U878)*($G$11-$E$11)*($G$11-$F$11))))</f>
        <v>0.0965956728077592</v>
      </c>
      <c r="H878" s="53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-2297891769.69828</v>
      </c>
      <c r="I878" s="53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-25532785.8823422</v>
      </c>
      <c r="J878" s="53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263901479.433289</v>
      </c>
      <c r="K878" s="53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610783038.991378</v>
      </c>
      <c r="L878" s="53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739534765.419969</v>
      </c>
      <c r="M878" s="53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917039774.36523</v>
      </c>
      <c r="N878" s="53" t="n">
        <f aca="false">IF(COUNT('Business Case'!B11:G11)=0,"",H878+NPV(G878,I878:M878))</f>
        <v>-548824398.832231</v>
      </c>
      <c r="P878" s="54" t="n">
        <f aca="true">RAND()</f>
        <v>0.904507523189448</v>
      </c>
      <c r="Q878" s="54" t="n">
        <f aca="true">RAND()</f>
        <v>0.194888688958578</v>
      </c>
      <c r="R878" s="54" t="n">
        <f aca="true">RAND()</f>
        <v>0.568955490979887</v>
      </c>
      <c r="S878" s="54" t="n">
        <f aca="true">RAND()</f>
        <v>0.925362449524053</v>
      </c>
      <c r="T878" s="54" t="n">
        <f aca="true">RAND()</f>
        <v>0.94786954652325</v>
      </c>
      <c r="U878" s="54" t="n">
        <f aca="true">RAND()</f>
        <v>0.145009665956712</v>
      </c>
    </row>
    <row r="879" customFormat="false" ht="15" hidden="false" customHeight="false" outlineLevel="0" collapsed="false">
      <c r="A879" s="50" t="n">
        <v>799</v>
      </c>
      <c r="B879" s="51" t="n">
        <f aca="false">1+IF($G$6=$E$6,$F$6,IF(P879&lt;($F$6-$E$6)/($G$6-$E$6),$E$6+SQRT(P879*($G$6-$E$6)*($F$6-$E$6)),$G$6-SQRT((1-P879)*($G$6-$E$6)*($G$6-$F$6))))</f>
        <v>1.00089348080178</v>
      </c>
      <c r="C879" s="51" t="n">
        <f aca="false">1+IF($G$7=$E$7,$F$7,IF(Q879&lt;($F$7-$E$7)/($G$7-$E$7),$E$7+SQRT(Q879*($G$7-$E$7)*($F$7-$E$7)),$G$7-SQRT((1-Q879)*($G$7-$E$7)*($G$7-$F$7))))</f>
        <v>0.918209042175366</v>
      </c>
      <c r="D879" s="51" t="n">
        <f aca="false">1+IF($G$8=$E$8,$F$8,IF(R879&lt;($F$8-$E$8)/($G$8-$E$8),$E$8+SQRT(R879*($G$8-$E$8)*($F$8-$E$8)),$G$8-SQRT((1-R879)*($G$8-$E$8)*($G$8-$F$8))))</f>
        <v>1.02706225361859</v>
      </c>
      <c r="E879" s="51" t="n">
        <f aca="false">1+IF($G$9=$E$9,$F$9,IF(S879&lt;($F$9-$E$9)/($G$9-$E$9),$E$9+SQRT(S879*($G$9-$E$9)*($F$9-$E$9)),$G$9-SQRT((1-S879)*($G$9-$E$9)*($G$9-$F$9))))</f>
        <v>1.05917624643843</v>
      </c>
      <c r="F879" s="51" t="n">
        <f aca="false">1+IF($G$10=$E$10,$F$10,IF(T879&lt;($F$10-$E$10)/($G$10-$E$10),$E$10+SQRT(T879*($G$10-$E$10)*($F$10-$E$10)),$G$10-SQRT((1-T879)*($G$10-$E$10)*($G$10-$F$10))))</f>
        <v>1.06065744171278</v>
      </c>
      <c r="G879" s="52" t="n">
        <f aca="false">IF($G$11=$E$11,$F$11,IF(U879&lt;($F$11-$E$11)/($G$11-$E$11),$E$11+SQRT(U879*($G$11-$E$11)*($F$11-$E$11)),$G$11-SQRT((1-U879)*($G$11-$E$11)*($G$11-$F$11))))</f>
        <v>0.106973110724706</v>
      </c>
      <c r="H879" s="53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-2121314883.42555</v>
      </c>
      <c r="I879" s="53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-34341981.4099978</v>
      </c>
      <c r="J879" s="53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235639129.988716</v>
      </c>
      <c r="K879" s="53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558653113.473069</v>
      </c>
      <c r="L879" s="53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680408474.868566</v>
      </c>
      <c r="M879" s="53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855097591.646161</v>
      </c>
      <c r="N879" s="53" t="n">
        <f aca="false">IF(COUNT('Business Case'!B11:G11)=0,"",H879+NPV(G879,I879:M879))</f>
        <v>-580635178.803208</v>
      </c>
      <c r="P879" s="54" t="n">
        <f aca="true">RAND()</f>
        <v>0.68139169920821</v>
      </c>
      <c r="Q879" s="54" t="n">
        <f aca="true">RAND()</f>
        <v>0.199619680743106</v>
      </c>
      <c r="R879" s="54" t="n">
        <f aca="true">RAND()</f>
        <v>0.730537981543948</v>
      </c>
      <c r="S879" s="54" t="n">
        <f aca="true">RAND()</f>
        <v>0.888894743009604</v>
      </c>
      <c r="T879" s="54" t="n">
        <f aca="true">RAND()</f>
        <v>0.611673028999433</v>
      </c>
      <c r="U879" s="54" t="n">
        <f aca="true">RAND()</f>
        <v>0.717166926348715</v>
      </c>
    </row>
    <row r="880" customFormat="false" ht="15" hidden="false" customHeight="false" outlineLevel="0" collapsed="false">
      <c r="A880" s="50" t="n">
        <v>800</v>
      </c>
      <c r="B880" s="51" t="n">
        <f aca="false">1+IF($G$6=$E$6,$F$6,IF(P880&lt;($F$6-$E$6)/($G$6-$E$6),$E$6+SQRT(P880*($G$6-$E$6)*($F$6-$E$6)),$G$6-SQRT((1-P880)*($G$6-$E$6)*($G$6-$F$6))))</f>
        <v>0.991537295853543</v>
      </c>
      <c r="C880" s="51" t="n">
        <f aca="false">1+IF($G$7=$E$7,$F$7,IF(Q880&lt;($F$7-$E$7)/($G$7-$E$7),$E$7+SQRT(Q880*($G$7-$E$7)*($F$7-$E$7)),$G$7-SQRT((1-Q880)*($G$7-$E$7)*($G$7-$F$7))))</f>
        <v>1.01344391020154</v>
      </c>
      <c r="D880" s="51" t="n">
        <f aca="false">1+IF($G$8=$E$8,$F$8,IF(R880&lt;($F$8-$E$8)/($G$8-$E$8),$E$8+SQRT(R880*($G$8-$E$8)*($F$8-$E$8)),$G$8-SQRT((1-R880)*($G$8-$E$8)*($G$8-$F$8))))</f>
        <v>1.01496613914651</v>
      </c>
      <c r="E880" s="51" t="n">
        <f aca="false">1+IF($G$9=$E$9,$F$9,IF(S880&lt;($F$9-$E$9)/($G$9-$E$9),$E$9+SQRT(S880*($G$9-$E$9)*($F$9-$E$9)),$G$9-SQRT((1-S880)*($G$9-$E$9)*($G$9-$F$9))))</f>
        <v>1.03048415520416</v>
      </c>
      <c r="F880" s="51" t="n">
        <f aca="false">1+IF($G$10=$E$10,$F$10,IF(T880&lt;($F$10-$E$10)/($G$10-$E$10),$E$10+SQRT(T880*($G$10-$E$10)*($F$10-$E$10)),$G$10-SQRT((1-T880)*($G$10-$E$10)*($G$10-$F$10))))</f>
        <v>1.1039624698338</v>
      </c>
      <c r="G880" s="52" t="n">
        <f aca="false">IF($G$11=$E$11,$F$11,IF(U880&lt;($F$11-$E$11)/($G$11-$E$11),$E$11+SQRT(U880*($G$11-$E$11)*($F$11-$E$11)),$G$11-SQRT((1-U880)*($G$11-$E$11)*($G$11-$F$11))))</f>
        <v>0.100059637577982</v>
      </c>
      <c r="H880" s="53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-2207924939.6676</v>
      </c>
      <c r="I880" s="53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-12531315.0840917</v>
      </c>
      <c r="J880" s="53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283960791.475218</v>
      </c>
      <c r="K880" s="53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635651021.526218</v>
      </c>
      <c r="L880" s="53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769209942.239314</v>
      </c>
      <c r="M880" s="53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960215144.135942</v>
      </c>
      <c r="N880" s="53" t="n">
        <f aca="false">IF(COUNT('Business Case'!B11:G11)=0,"",H880+NPV(G880,I880:M880))</f>
        <v>-385843897.382145</v>
      </c>
      <c r="P880" s="54" t="n">
        <f aca="true">RAND()</f>
        <v>0.533081739378888</v>
      </c>
      <c r="Q880" s="54" t="n">
        <f aca="true">RAND()</f>
        <v>0.64480827312293</v>
      </c>
      <c r="R880" s="54" t="n">
        <f aca="true">RAND()</f>
        <v>0.593326629085456</v>
      </c>
      <c r="S880" s="54" t="n">
        <f aca="true">RAND()</f>
        <v>0.677836488154755</v>
      </c>
      <c r="T880" s="54" t="n">
        <f aca="true">RAND()</f>
        <v>0.815535855991528</v>
      </c>
      <c r="U880" s="54" t="n">
        <f aca="true">RAND()</f>
        <v>0.337303244130936</v>
      </c>
    </row>
    <row r="881" customFormat="false" ht="15" hidden="false" customHeight="false" outlineLevel="0" collapsed="false">
      <c r="A881" s="50" t="n">
        <v>801</v>
      </c>
      <c r="B881" s="51" t="n">
        <f aca="false">1+IF($G$6=$E$6,$F$6,IF(P881&lt;($F$6-$E$6)/($G$6-$E$6),$E$6+SQRT(P881*($G$6-$E$6)*($F$6-$E$6)),$G$6-SQRT((1-P881)*($G$6-$E$6)*($G$6-$F$6))))</f>
        <v>1.01133954696607</v>
      </c>
      <c r="C881" s="51" t="n">
        <f aca="false">1+IF($G$7=$E$7,$F$7,IF(Q881&lt;($F$7-$E$7)/($G$7-$E$7),$E$7+SQRT(Q881*($G$7-$E$7)*($F$7-$E$7)),$G$7-SQRT((1-Q881)*($G$7-$E$7)*($G$7-$F$7))))</f>
        <v>1.03197537939806</v>
      </c>
      <c r="D881" s="51" t="n">
        <f aca="false">1+IF($G$8=$E$8,$F$8,IF(R881&lt;($F$8-$E$8)/($G$8-$E$8),$E$8+SQRT(R881*($G$8-$E$8)*($F$8-$E$8)),$G$8-SQRT((1-R881)*($G$8-$E$8)*($G$8-$F$8))))</f>
        <v>1.00057031838607</v>
      </c>
      <c r="E881" s="51" t="n">
        <f aca="false">1+IF($G$9=$E$9,$F$9,IF(S881&lt;($F$9-$E$9)/($G$9-$E$9),$E$9+SQRT(S881*($G$9-$E$9)*($F$9-$E$9)),$G$9-SQRT((1-S881)*($G$9-$E$9)*($G$9-$F$9))))</f>
        <v>1.06016880263221</v>
      </c>
      <c r="F881" s="51" t="n">
        <f aca="false">1+IF($G$10=$E$10,$F$10,IF(T881&lt;($F$10-$E$10)/($G$10-$E$10),$E$10+SQRT(T881*($G$10-$E$10)*($F$10-$E$10)),$G$10-SQRT((1-T881)*($G$10-$E$10)*($G$10-$F$10))))</f>
        <v>1.08316896362499</v>
      </c>
      <c r="G881" s="52" t="n">
        <f aca="false">IF($G$11=$E$11,$F$11,IF(U881&lt;($F$11-$E$11)/($G$11-$E$11),$E$11+SQRT(U881*($G$11-$E$11)*($F$11-$E$11)),$G$11-SQRT((1-U881)*($G$11-$E$11)*($G$11-$F$11))))</f>
        <v>0.101339853785076</v>
      </c>
      <c r="H881" s="53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-2166337927.24999</v>
      </c>
      <c r="I881" s="53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13079756.2542357</v>
      </c>
      <c r="J881" s="53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339336654.862632</v>
      </c>
      <c r="K881" s="53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719752001.652277</v>
      </c>
      <c r="L881" s="53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864573796.02665</v>
      </c>
      <c r="M881" s="53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1062956017.63697</v>
      </c>
      <c r="N881" s="53" t="n">
        <f aca="false">IF(COUNT('Business Case'!B11:G11)=0,"",H881+NPV(G881,I881:M881))</f>
        <v>-92256775.2733643</v>
      </c>
      <c r="P881" s="54" t="n">
        <f aca="true">RAND()</f>
        <v>0.82887050664374</v>
      </c>
      <c r="Q881" s="54" t="n">
        <f aca="true">RAND()</f>
        <v>0.734670265367002</v>
      </c>
      <c r="R881" s="54" t="n">
        <f aca="true">RAND()</f>
        <v>0.393358238337429</v>
      </c>
      <c r="S881" s="54" t="n">
        <f aca="true">RAND()</f>
        <v>0.894231714416533</v>
      </c>
      <c r="T881" s="54" t="n">
        <f aca="true">RAND()</f>
        <v>0.727010178790839</v>
      </c>
      <c r="U881" s="54" t="n">
        <f aca="true">RAND()</f>
        <v>0.419664905396104</v>
      </c>
    </row>
    <row r="882" customFormat="false" ht="15" hidden="false" customHeight="false" outlineLevel="0" collapsed="false">
      <c r="A882" s="50" t="n">
        <v>802</v>
      </c>
      <c r="B882" s="51" t="n">
        <f aca="false">1+IF($G$6=$E$6,$F$6,IF(P882&lt;($F$6-$E$6)/($G$6-$E$6),$E$6+SQRT(P882*($G$6-$E$6)*($F$6-$E$6)),$G$6-SQRT((1-P882)*($G$6-$E$6)*($G$6-$F$6))))</f>
        <v>0.969059104819206</v>
      </c>
      <c r="C882" s="51" t="n">
        <f aca="false">1+IF($G$7=$E$7,$F$7,IF(Q882&lt;($F$7-$E$7)/($G$7-$E$7),$E$7+SQRT(Q882*($G$7-$E$7)*($F$7-$E$7)),$G$7-SQRT((1-Q882)*($G$7-$E$7)*($G$7-$F$7))))</f>
        <v>0.964058458219212</v>
      </c>
      <c r="D882" s="51" t="n">
        <f aca="false">1+IF($G$8=$E$8,$F$8,IF(R882&lt;($F$8-$E$8)/($G$8-$E$8),$E$8+SQRT(R882*($G$8-$E$8)*($F$8-$E$8)),$G$8-SQRT((1-R882)*($G$8-$E$8)*($G$8-$F$8))))</f>
        <v>0.993902075767183</v>
      </c>
      <c r="E882" s="51" t="n">
        <f aca="false">1+IF($G$9=$E$9,$F$9,IF(S882&lt;($F$9-$E$9)/($G$9-$E$9),$E$9+SQRT(S882*($G$9-$E$9)*($F$9-$E$9)),$G$9-SQRT((1-S882)*($G$9-$E$9)*($G$9-$F$9))))</f>
        <v>1.01715571553001</v>
      </c>
      <c r="F882" s="51" t="n">
        <f aca="false">1+IF($G$10=$E$10,$F$10,IF(T882&lt;($F$10-$E$10)/($G$10-$E$10),$E$10+SQRT(T882*($G$10-$E$10)*($F$10-$E$10)),$G$10-SQRT((1-T882)*($G$10-$E$10)*($G$10-$F$10))))</f>
        <v>1.04339766406521</v>
      </c>
      <c r="G882" s="52" t="n">
        <f aca="false">IF($G$11=$E$11,$F$11,IF(U882&lt;($F$11-$E$11)/($G$11-$E$11),$E$11+SQRT(U882*($G$11-$E$11)*($F$11-$E$11)),$G$11-SQRT((1-U882)*($G$11-$E$11)*($G$11-$F$11))))</f>
        <v>0.102320336736004</v>
      </c>
      <c r="H882" s="53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-2086795328.13043</v>
      </c>
      <c r="I882" s="53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-22719797.7939966</v>
      </c>
      <c r="J882" s="53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251970177.405448</v>
      </c>
      <c r="K882" s="53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578830035.808153</v>
      </c>
      <c r="L882" s="53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702680336.767003</v>
      </c>
      <c r="M882" s="53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880258704.17503</v>
      </c>
      <c r="N882" s="53" t="n">
        <f aca="false">IF(COUNT('Business Case'!B11:G11)=0,"",H882+NPV(G882,I882:M882))</f>
        <v>-451144156.692986</v>
      </c>
      <c r="P882" s="54" t="n">
        <f aca="true">RAND()</f>
        <v>0.250707892256439</v>
      </c>
      <c r="Q882" s="54" t="n">
        <f aca="true">RAND()</f>
        <v>0.384502538760926</v>
      </c>
      <c r="R882" s="54" t="n">
        <f aca="true">RAND()</f>
        <v>0.296521885641153</v>
      </c>
      <c r="S882" s="54" t="n">
        <f aca="true">RAND()</f>
        <v>0.542454968710331</v>
      </c>
      <c r="T882" s="54" t="n">
        <f aca="true">RAND()</f>
        <v>0.509514167595367</v>
      </c>
      <c r="U882" s="54" t="n">
        <f aca="true">RAND()</f>
        <v>0.479049178119528</v>
      </c>
    </row>
    <row r="883" customFormat="false" ht="15" hidden="false" customHeight="false" outlineLevel="0" collapsed="false">
      <c r="A883" s="50" t="n">
        <v>803</v>
      </c>
      <c r="B883" s="51" t="n">
        <f aca="false">1+IF($G$6=$E$6,$F$6,IF(P883&lt;($F$6-$E$6)/($G$6-$E$6),$E$6+SQRT(P883*($G$6-$E$6)*($F$6-$E$6)),$G$6-SQRT((1-P883)*($G$6-$E$6)*($G$6-$F$6))))</f>
        <v>0.967618935644263</v>
      </c>
      <c r="C883" s="51" t="n">
        <f aca="false">1+IF($G$7=$E$7,$F$7,IF(Q883&lt;($F$7-$E$7)/($G$7-$E$7),$E$7+SQRT(Q883*($G$7-$E$7)*($F$7-$E$7)),$G$7-SQRT((1-Q883)*($G$7-$E$7)*($G$7-$F$7))))</f>
        <v>1.03407487275788</v>
      </c>
      <c r="D883" s="51" t="n">
        <f aca="false">1+IF($G$8=$E$8,$F$8,IF(R883&lt;($F$8-$E$8)/($G$8-$E$8),$E$8+SQRT(R883*($G$8-$E$8)*($F$8-$E$8)),$G$8-SQRT((1-R883)*($G$8-$E$8)*($G$8-$F$8))))</f>
        <v>1.02172049903449</v>
      </c>
      <c r="E883" s="51" t="n">
        <f aca="false">1+IF($G$9=$E$9,$F$9,IF(S883&lt;($F$9-$E$9)/($G$9-$E$9),$E$9+SQRT(S883*($G$9-$E$9)*($F$9-$E$9)),$G$9-SQRT((1-S883)*($G$9-$E$9)*($G$9-$F$9))))</f>
        <v>1.06502367229288</v>
      </c>
      <c r="F883" s="51" t="n">
        <f aca="false">1+IF($G$10=$E$10,$F$10,IF(T883&lt;($F$10-$E$10)/($G$10-$E$10),$E$10+SQRT(T883*($G$10-$E$10)*($F$10-$E$10)),$G$10-SQRT((1-T883)*($G$10-$E$10)*($G$10-$F$10))))</f>
        <v>1.04296884518271</v>
      </c>
      <c r="G883" s="52" t="n">
        <f aca="false">IF($G$11=$E$11,$F$11,IF(U883&lt;($F$11-$E$11)/($G$11-$E$11),$E$11+SQRT(U883*($G$11-$E$11)*($F$11-$E$11)),$G$11-SQRT((1-U883)*($G$11-$E$11)*($G$11-$F$11))))</f>
        <v>0.0921924748483266</v>
      </c>
      <c r="H883" s="53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-2085937690.36542</v>
      </c>
      <c r="I883" s="53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-28919906.2688098</v>
      </c>
      <c r="J883" s="53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249774045.95549</v>
      </c>
      <c r="K883" s="53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580616440.438925</v>
      </c>
      <c r="L883" s="53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708094829.696885</v>
      </c>
      <c r="M883" s="53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898287058.204452</v>
      </c>
      <c r="N883" s="53" t="n">
        <f aca="false">IF(COUNT('Business Case'!B11:G11)=0,"",H883+NPV(G883,I883:M883))</f>
        <v>-381777018.460691</v>
      </c>
      <c r="P883" s="54" t="n">
        <f aca="true">RAND()</f>
        <v>0.236204482488801</v>
      </c>
      <c r="Q883" s="54" t="n">
        <f aca="true">RAND()</f>
        <v>0.744025997598053</v>
      </c>
      <c r="R883" s="54" t="n">
        <f aca="true">RAND()</f>
        <v>0.673413439154883</v>
      </c>
      <c r="S883" s="54" t="n">
        <f aca="true">RAND()</f>
        <v>0.918443766674929</v>
      </c>
      <c r="T883" s="54" t="n">
        <f aca="true">RAND()</f>
        <v>0.506824328334979</v>
      </c>
      <c r="U883" s="54" t="n">
        <f aca="true">RAND()</f>
        <v>0.0160231532018155</v>
      </c>
    </row>
    <row r="884" customFormat="false" ht="15" hidden="false" customHeight="false" outlineLevel="0" collapsed="false">
      <c r="A884" s="50" t="n">
        <v>804</v>
      </c>
      <c r="B884" s="51" t="n">
        <f aca="false">1+IF($G$6=$E$6,$F$6,IF(P884&lt;($F$6-$E$6)/($G$6-$E$6),$E$6+SQRT(P884*($G$6-$E$6)*($F$6-$E$6)),$G$6-SQRT((1-P884)*($G$6-$E$6)*($G$6-$F$6))))</f>
        <v>0.966041508820026</v>
      </c>
      <c r="C884" s="51" t="n">
        <f aca="false">1+IF($G$7=$E$7,$F$7,IF(Q884&lt;($F$7-$E$7)/($G$7-$E$7),$E$7+SQRT(Q884*($G$7-$E$7)*($F$7-$E$7)),$G$7-SQRT((1-Q884)*($G$7-$E$7)*($G$7-$F$7))))</f>
        <v>0.976314586869481</v>
      </c>
      <c r="D884" s="51" t="n">
        <f aca="false">1+IF($G$8=$E$8,$F$8,IF(R884&lt;($F$8-$E$8)/($G$8-$E$8),$E$8+SQRT(R884*($G$8-$E$8)*($F$8-$E$8)),$G$8-SQRT((1-R884)*($G$8-$E$8)*($G$8-$F$8))))</f>
        <v>1.06222513107311</v>
      </c>
      <c r="E884" s="51" t="n">
        <f aca="false">1+IF($G$9=$E$9,$F$9,IF(S884&lt;($F$9-$E$9)/($G$9-$E$9),$E$9+SQRT(S884*($G$9-$E$9)*($F$9-$E$9)),$G$9-SQRT((1-S884)*($G$9-$E$9)*($G$9-$F$9))))</f>
        <v>1.0307569570816</v>
      </c>
      <c r="F884" s="51" t="n">
        <f aca="false">1+IF($G$10=$E$10,$F$10,IF(T884&lt;($F$10-$E$10)/($G$10-$E$10),$E$10+SQRT(T884*($G$10-$E$10)*($F$10-$E$10)),$G$10-SQRT((1-T884)*($G$10-$E$10)*($G$10-$F$10))))</f>
        <v>0.997696263678649</v>
      </c>
      <c r="G884" s="52" t="n">
        <f aca="false">IF($G$11=$E$11,$F$11,IF(U884&lt;($F$11-$E$11)/($G$11-$E$11),$E$11+SQRT(U884*($G$11-$E$11)*($F$11-$E$11)),$G$11-SQRT((1-U884)*($G$11-$E$11)*($G$11-$F$11))))</f>
        <v>0.0975039580743245</v>
      </c>
      <c r="H884" s="53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-1995392527.3573</v>
      </c>
      <c r="I884" s="53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-53615183.3414088</v>
      </c>
      <c r="J884" s="53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188006334.977682</v>
      </c>
      <c r="K884" s="53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479512666.480705</v>
      </c>
      <c r="L884" s="53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592648796.584157</v>
      </c>
      <c r="M884" s="53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771924728.568138</v>
      </c>
      <c r="N884" s="53" t="n">
        <f aca="false">IF(COUNT('Business Case'!B11:G11)=0,"",H884+NPV(G884,I884:M884))</f>
        <v>-632169315.802108</v>
      </c>
      <c r="P884" s="54" t="n">
        <f aca="true">RAND()</f>
        <v>0.220814639002557</v>
      </c>
      <c r="Q884" s="54" t="n">
        <f aca="true">RAND()</f>
        <v>0.444097622042225</v>
      </c>
      <c r="R884" s="54" t="n">
        <f aca="true">RAND()</f>
        <v>0.969620580253065</v>
      </c>
      <c r="S884" s="54" t="n">
        <f aca="true">RAND()</f>
        <v>0.680360067160035</v>
      </c>
      <c r="T884" s="54" t="n">
        <f aca="true">RAND()</f>
        <v>0.181994685512255</v>
      </c>
      <c r="U884" s="54" t="n">
        <f aca="true">RAND()</f>
        <v>0.187697955937397</v>
      </c>
    </row>
    <row r="885" customFormat="false" ht="15" hidden="false" customHeight="false" outlineLevel="0" collapsed="false">
      <c r="A885" s="50" t="n">
        <v>805</v>
      </c>
      <c r="B885" s="51" t="n">
        <f aca="false">1+IF($G$6=$E$6,$F$6,IF(P885&lt;($F$6-$E$6)/($G$6-$E$6),$E$6+SQRT(P885*($G$6-$E$6)*($F$6-$E$6)),$G$6-SQRT((1-P885)*($G$6-$E$6)*($G$6-$F$6))))</f>
        <v>0.985789239893202</v>
      </c>
      <c r="C885" s="51" t="n">
        <f aca="false">1+IF($G$7=$E$7,$F$7,IF(Q885&lt;($F$7-$E$7)/($G$7-$E$7),$E$7+SQRT(Q885*($G$7-$E$7)*($F$7-$E$7)),$G$7-SQRT((1-Q885)*($G$7-$E$7)*($G$7-$F$7))))</f>
        <v>0.931752223038323</v>
      </c>
      <c r="D885" s="51" t="n">
        <f aca="false">1+IF($G$8=$E$8,$F$8,IF(R885&lt;($F$8-$E$8)/($G$8-$E$8),$E$8+SQRT(R885*($G$8-$E$8)*($F$8-$E$8)),$G$8-SQRT((1-R885)*($G$8-$E$8)*($G$8-$F$8))))</f>
        <v>0.985736899502425</v>
      </c>
      <c r="E885" s="51" t="n">
        <f aca="false">1+IF($G$9=$E$9,$F$9,IF(S885&lt;($F$9-$E$9)/($G$9-$E$9),$E$9+SQRT(S885*($G$9-$E$9)*($F$9-$E$9)),$G$9-SQRT((1-S885)*($G$9-$E$9)*($G$9-$F$9))))</f>
        <v>1.04245109390894</v>
      </c>
      <c r="F885" s="51" t="n">
        <f aca="false">1+IF($G$10=$E$10,$F$10,IF(T885&lt;($F$10-$E$10)/($G$10-$E$10),$E$10+SQRT(T885*($G$10-$E$10)*($F$10-$E$10)),$G$10-SQRT((1-T885)*($G$10-$E$10)*($G$10-$F$10))))</f>
        <v>0.975859011677856</v>
      </c>
      <c r="G885" s="52" t="n">
        <f aca="false">IF($G$11=$E$11,$F$11,IF(U885&lt;($F$11-$E$11)/($G$11-$E$11),$E$11+SQRT(U885*($G$11-$E$11)*($F$11-$E$11)),$G$11-SQRT((1-U885)*($G$11-$E$11)*($G$11-$F$11))))</f>
        <v>0.10413571625338</v>
      </c>
      <c r="H885" s="53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-1951718023.35571</v>
      </c>
      <c r="I885" s="53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-11290520.2275325</v>
      </c>
      <c r="J885" s="53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270857032.87338</v>
      </c>
      <c r="K885" s="53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601797536.558186</v>
      </c>
      <c r="L885" s="53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727590471.996362</v>
      </c>
      <c r="M885" s="53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902181102.887992</v>
      </c>
      <c r="N885" s="53" t="n">
        <f aca="false">IF(COUNT('Business Case'!B11:G11)=0,"",H885+NPV(G885,I885:M885))</f>
        <v>-253370328.695586</v>
      </c>
      <c r="P885" s="54" t="n">
        <f aca="true">RAND()</f>
        <v>0.450856675596389</v>
      </c>
      <c r="Q885" s="54" t="n">
        <f aca="true">RAND()</f>
        <v>0.247980689650573</v>
      </c>
      <c r="R885" s="54" t="n">
        <f aca="true">RAND()</f>
        <v>0.196480920930222</v>
      </c>
      <c r="S885" s="54" t="n">
        <f aca="true">RAND()</f>
        <v>0.779208227181493</v>
      </c>
      <c r="T885" s="54" t="n">
        <f aca="true">RAND()</f>
        <v>0.0534950787964406</v>
      </c>
      <c r="U885" s="54" t="n">
        <f aca="true">RAND()</f>
        <v>0.580540835344557</v>
      </c>
    </row>
    <row r="886" customFormat="false" ht="15" hidden="false" customHeight="false" outlineLevel="0" collapsed="false">
      <c r="A886" s="50" t="n">
        <v>806</v>
      </c>
      <c r="B886" s="51" t="n">
        <f aca="false">1+IF($G$6=$E$6,$F$6,IF(P886&lt;($F$6-$E$6)/($G$6-$E$6),$E$6+SQRT(P886*($G$6-$E$6)*($F$6-$E$6)),$G$6-SQRT((1-P886)*($G$6-$E$6)*($G$6-$F$6))))</f>
        <v>1.01543238097152</v>
      </c>
      <c r="C886" s="51" t="n">
        <f aca="false">1+IF($G$7=$E$7,$F$7,IF(Q886&lt;($F$7-$E$7)/($G$7-$E$7),$E$7+SQRT(Q886*($G$7-$E$7)*($F$7-$E$7)),$G$7-SQRT((1-Q886)*($G$7-$E$7)*($G$7-$F$7))))</f>
        <v>0.888408543399138</v>
      </c>
      <c r="D886" s="51" t="n">
        <f aca="false">1+IF($G$8=$E$8,$F$8,IF(R886&lt;($F$8-$E$8)/($G$8-$E$8),$E$8+SQRT(R886*($G$8-$E$8)*($F$8-$E$8)),$G$8-SQRT((1-R886)*($G$8-$E$8)*($G$8-$F$8))))</f>
        <v>0.980672254461535</v>
      </c>
      <c r="E886" s="51" t="n">
        <f aca="false">1+IF($G$9=$E$9,$F$9,IF(S886&lt;($F$9-$E$9)/($G$9-$E$9),$E$9+SQRT(S886*($G$9-$E$9)*($F$9-$E$9)),$G$9-SQRT((1-S886)*($G$9-$E$9)*($G$9-$F$9))))</f>
        <v>1.00927254072814</v>
      </c>
      <c r="F886" s="51" t="n">
        <f aca="false">1+IF($G$10=$E$10,$F$10,IF(T886&lt;($F$10-$E$10)/($G$10-$E$10),$E$10+SQRT(T886*($G$10-$E$10)*($F$10-$E$10)),$G$10-SQRT((1-T886)*($G$10-$E$10)*($G$10-$F$10))))</f>
        <v>0.99043998018384</v>
      </c>
      <c r="G886" s="52" t="n">
        <f aca="false">IF($G$11=$E$11,$F$11,IF(U886&lt;($F$11-$E$11)/($G$11-$E$11),$E$11+SQRT(U886*($G$11-$E$11)*($F$11-$E$11)),$G$11-SQRT((1-U886)*($G$11-$E$11)*($G$11-$F$11))))</f>
        <v>0.111103010038243</v>
      </c>
      <c r="H886" s="53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-1980879960.36768</v>
      </c>
      <c r="I886" s="53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3567902.89917618</v>
      </c>
      <c r="J886" s="53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296464197.829838</v>
      </c>
      <c r="K886" s="53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638882491.769691</v>
      </c>
      <c r="L886" s="53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767691815.894285</v>
      </c>
      <c r="M886" s="53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939166557.873338</v>
      </c>
      <c r="N886" s="53" t="n">
        <f aca="false">IF(COUNT('Business Case'!B11:G11)=0,"",H886+NPV(G886,I886:M886))</f>
        <v>-213487830.666104</v>
      </c>
      <c r="P886" s="54" t="n">
        <f aca="true">RAND()</f>
        <v>0.874256686514913</v>
      </c>
      <c r="Q886" s="54" t="n">
        <f aca="true">RAND()</f>
        <v>0.111658150656531</v>
      </c>
      <c r="R886" s="54" t="n">
        <f aca="true">RAND()</f>
        <v>0.144736491346637</v>
      </c>
      <c r="S886" s="54" t="n">
        <f aca="true">RAND()</f>
        <v>0.451235208938177</v>
      </c>
      <c r="T886" s="54" t="n">
        <f aca="true">RAND()</f>
        <v>0.130831359781547</v>
      </c>
      <c r="U886" s="54" t="n">
        <f aca="true">RAND()</f>
        <v>0.868072616034005</v>
      </c>
    </row>
    <row r="887" customFormat="false" ht="15" hidden="false" customHeight="false" outlineLevel="0" collapsed="false">
      <c r="A887" s="50" t="n">
        <v>807</v>
      </c>
      <c r="B887" s="51" t="n">
        <f aca="false">1+IF($G$6=$E$6,$F$6,IF(P887&lt;($F$6-$E$6)/($G$6-$E$6),$E$6+SQRT(P887*($G$6-$E$6)*($F$6-$E$6)),$G$6-SQRT((1-P887)*($G$6-$E$6)*($G$6-$F$6))))</f>
        <v>0.971141435372939</v>
      </c>
      <c r="C887" s="51" t="n">
        <f aca="false">1+IF($G$7=$E$7,$F$7,IF(Q887&lt;($F$7-$E$7)/($G$7-$E$7),$E$7+SQRT(Q887*($G$7-$E$7)*($F$7-$E$7)),$G$7-SQRT((1-Q887)*($G$7-$E$7)*($G$7-$F$7))))</f>
        <v>0.995208938349853</v>
      </c>
      <c r="D887" s="51" t="n">
        <f aca="false">1+IF($G$8=$E$8,$F$8,IF(R887&lt;($F$8-$E$8)/($G$8-$E$8),$E$8+SQRT(R887*($G$8-$E$8)*($F$8-$E$8)),$G$8-SQRT((1-R887)*($G$8-$E$8)*($G$8-$F$8))))</f>
        <v>0.98826777319152</v>
      </c>
      <c r="E887" s="51" t="n">
        <f aca="false">1+IF($G$9=$E$9,$F$9,IF(S887&lt;($F$9-$E$9)/($G$9-$E$9),$E$9+SQRT(S887*($G$9-$E$9)*($F$9-$E$9)),$G$9-SQRT((1-S887)*($G$9-$E$9)*($G$9-$F$9))))</f>
        <v>1.04739208351828</v>
      </c>
      <c r="F887" s="51" t="n">
        <f aca="false">1+IF($G$10=$E$10,$F$10,IF(T887&lt;($F$10-$E$10)/($G$10-$E$10),$E$10+SQRT(T887*($G$10-$E$10)*($F$10-$E$10)),$G$10-SQRT((1-T887)*($G$10-$E$10)*($G$10-$F$10))))</f>
        <v>1.01382069506921</v>
      </c>
      <c r="G887" s="52" t="n">
        <f aca="false">IF($G$11=$E$11,$F$11,IF(U887&lt;($F$11-$E$11)/($G$11-$E$11),$E$11+SQRT(U887*($G$11-$E$11)*($F$11-$E$11)),$G$11-SQRT((1-U887)*($G$11-$E$11)*($G$11-$F$11))))</f>
        <v>0.103486550360773</v>
      </c>
      <c r="H887" s="53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-2027641390.13841</v>
      </c>
      <c r="I887" s="53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-12290387.0329289</v>
      </c>
      <c r="J887" s="53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275843220.653483</v>
      </c>
      <c r="K887" s="53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614667863.093355</v>
      </c>
      <c r="L887" s="53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744114246.279573</v>
      </c>
      <c r="M887" s="53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927824406.378685</v>
      </c>
      <c r="N887" s="53" t="n">
        <f aca="false">IF(COUNT('Business Case'!B11:G11)=0,"",H887+NPV(G887,I887:M887))</f>
        <v>-285893185.169707</v>
      </c>
      <c r="P887" s="54" t="n">
        <f aca="true">RAND()</f>
        <v>0.272442334583801</v>
      </c>
      <c r="Q887" s="54" t="n">
        <f aca="true">RAND()</f>
        <v>0.544378994452524</v>
      </c>
      <c r="R887" s="54" t="n">
        <f aca="true">RAND()</f>
        <v>0.225295763851944</v>
      </c>
      <c r="S887" s="54" t="n">
        <f aca="true">RAND()</f>
        <v>0.815493808230145</v>
      </c>
      <c r="T887" s="54" t="n">
        <f aca="true">RAND()</f>
        <v>0.306745328309721</v>
      </c>
      <c r="U887" s="54" t="n">
        <f aca="true">RAND()</f>
        <v>0.545509968354549</v>
      </c>
    </row>
    <row r="888" customFormat="false" ht="15" hidden="false" customHeight="false" outlineLevel="0" collapsed="false">
      <c r="A888" s="50" t="n">
        <v>808</v>
      </c>
      <c r="B888" s="51" t="n">
        <f aca="false">1+IF($G$6=$E$6,$F$6,IF(P888&lt;($F$6-$E$6)/($G$6-$E$6),$E$6+SQRT(P888*($G$6-$E$6)*($F$6-$E$6)),$G$6-SQRT((1-P888)*($G$6-$E$6)*($G$6-$F$6))))</f>
        <v>0.972684732567923</v>
      </c>
      <c r="C888" s="51" t="n">
        <f aca="false">1+IF($G$7=$E$7,$F$7,IF(Q888&lt;($F$7-$E$7)/($G$7-$E$7),$E$7+SQRT(Q888*($G$7-$E$7)*($F$7-$E$7)),$G$7-SQRT((1-Q888)*($G$7-$E$7)*($G$7-$F$7))))</f>
        <v>1.0264948344886</v>
      </c>
      <c r="D888" s="51" t="n">
        <f aca="false">1+IF($G$8=$E$8,$F$8,IF(R888&lt;($F$8-$E$8)/($G$8-$E$8),$E$8+SQRT(R888*($G$8-$E$8)*($F$8-$E$8)),$G$8-SQRT((1-R888)*($G$8-$E$8)*($G$8-$F$8))))</f>
        <v>1.00085495409699</v>
      </c>
      <c r="E888" s="51" t="n">
        <f aca="false">1+IF($G$9=$E$9,$F$9,IF(S888&lt;($F$9-$E$9)/($G$9-$E$9),$E$9+SQRT(S888*($G$9-$E$9)*($F$9-$E$9)),$G$9-SQRT((1-S888)*($G$9-$E$9)*($G$9-$F$9))))</f>
        <v>1.04599586045765</v>
      </c>
      <c r="F888" s="51" t="n">
        <f aca="false">1+IF($G$10=$E$10,$F$10,IF(T888&lt;($F$10-$E$10)/($G$10-$E$10),$E$10+SQRT(T888*($G$10-$E$10)*($F$10-$E$10)),$G$10-SQRT((1-T888)*($G$10-$E$10)*($G$10-$F$10))))</f>
        <v>1.05305741229549</v>
      </c>
      <c r="G888" s="52" t="n">
        <f aca="false">IF($G$11=$E$11,$F$11,IF(U888&lt;($F$11-$E$11)/($G$11-$E$11),$E$11+SQRT(U888*($G$11-$E$11)*($F$11-$E$11)),$G$11-SQRT((1-U888)*($G$11-$E$11)*($G$11-$F$11))))</f>
        <v>0.103774300095056</v>
      </c>
      <c r="H888" s="53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-2106114824.59098</v>
      </c>
      <c r="I888" s="53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-13931570.8594288</v>
      </c>
      <c r="J888" s="53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277943162.316677</v>
      </c>
      <c r="K888" s="53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622470766.107557</v>
      </c>
      <c r="L888" s="53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754268978.132198</v>
      </c>
      <c r="M888" s="53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944055466.778194</v>
      </c>
      <c r="N888" s="53" t="n">
        <f aca="false">IF(COUNT('Business Case'!B11:G11)=0,"",H888+NPV(G888,I888:M888))</f>
        <v>-343313591.664162</v>
      </c>
      <c r="P888" s="54" t="n">
        <f aca="true">RAND()</f>
        <v>0.289133442266</v>
      </c>
      <c r="Q888" s="54" t="n">
        <f aca="true">RAND()</f>
        <v>0.709456649371451</v>
      </c>
      <c r="R888" s="54" t="n">
        <f aca="true">RAND()</f>
        <v>0.397698241250988</v>
      </c>
      <c r="S888" s="54" t="n">
        <f aca="true">RAND()</f>
        <v>0.805570194152701</v>
      </c>
      <c r="T888" s="54" t="n">
        <f aca="true">RAND()</f>
        <v>0.568157518374041</v>
      </c>
      <c r="U888" s="54" t="n">
        <f aca="true">RAND()</f>
        <v>0.561211104324524</v>
      </c>
    </row>
    <row r="889" customFormat="false" ht="15" hidden="false" customHeight="false" outlineLevel="0" collapsed="false">
      <c r="A889" s="50" t="n">
        <v>809</v>
      </c>
      <c r="B889" s="51" t="n">
        <f aca="false">1+IF($G$6=$E$6,$F$6,IF(P889&lt;($F$6-$E$6)/($G$6-$E$6),$E$6+SQRT(P889*($G$6-$E$6)*($F$6-$E$6)),$G$6-SQRT((1-P889)*($G$6-$E$6)*($G$6-$F$6))))</f>
        <v>1.02893120568518</v>
      </c>
      <c r="C889" s="51" t="n">
        <f aca="false">1+IF($G$7=$E$7,$F$7,IF(Q889&lt;($F$7-$E$7)/($G$7-$E$7),$E$7+SQRT(Q889*($G$7-$E$7)*($F$7-$E$7)),$G$7-SQRT((1-Q889)*($G$7-$E$7)*($G$7-$F$7))))</f>
        <v>1.04066753828104</v>
      </c>
      <c r="D889" s="51" t="n">
        <f aca="false">1+IF($G$8=$E$8,$F$8,IF(R889&lt;($F$8-$E$8)/($G$8-$E$8),$E$8+SQRT(R889*($G$8-$E$8)*($F$8-$E$8)),$G$8-SQRT((1-R889)*($G$8-$E$8)*($G$8-$F$8))))</f>
        <v>1.03530801402205</v>
      </c>
      <c r="E889" s="51" t="n">
        <f aca="false">1+IF($G$9=$E$9,$F$9,IF(S889&lt;($F$9-$E$9)/($G$9-$E$9),$E$9+SQRT(S889*($G$9-$E$9)*($F$9-$E$9)),$G$9-SQRT((1-S889)*($G$9-$E$9)*($G$9-$F$9))))</f>
        <v>1.03997995877429</v>
      </c>
      <c r="F889" s="51" t="n">
        <f aca="false">1+IF($G$10=$E$10,$F$10,IF(T889&lt;($F$10-$E$10)/($G$10-$E$10),$E$10+SQRT(T889*($G$10-$E$10)*($F$10-$E$10)),$G$10-SQRT((1-T889)*($G$10-$E$10)*($G$10-$F$10))))</f>
        <v>0.99011786863705</v>
      </c>
      <c r="G889" s="52" t="n">
        <f aca="false">IF($G$11=$E$11,$F$11,IF(U889&lt;($F$11-$E$11)/($G$11-$E$11),$E$11+SQRT(U889*($G$11-$E$11)*($F$11-$E$11)),$G$11-SQRT((1-U889)*($G$11-$E$11)*($G$11-$F$11))))</f>
        <v>0.102353133367373</v>
      </c>
      <c r="H889" s="53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-1980235737.2741</v>
      </c>
      <c r="I889" s="53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23087676.1631322</v>
      </c>
      <c r="J889" s="53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348581281.132701</v>
      </c>
      <c r="K889" s="53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723580779.534123</v>
      </c>
      <c r="L889" s="53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869084642.393999</v>
      </c>
      <c r="M889" s="53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1072617612.34577</v>
      </c>
      <c r="N889" s="53" t="n">
        <f aca="false">IF(COUNT('Business Case'!B11:G11)=0,"",H889+NPV(G889,I889:M889))</f>
        <v>115203496.341156</v>
      </c>
      <c r="P889" s="54" t="n">
        <f aca="true">RAND()</f>
        <v>0.974475373420061</v>
      </c>
      <c r="Q889" s="54" t="n">
        <f aca="true">RAND()</f>
        <v>0.772312625037559</v>
      </c>
      <c r="R889" s="54" t="n">
        <f aca="true">RAND()</f>
        <v>0.807944845129489</v>
      </c>
      <c r="S889" s="54" t="n">
        <f aca="true">RAND()</f>
        <v>0.759839643417609</v>
      </c>
      <c r="T889" s="54" t="n">
        <f aca="true">RAND()</f>
        <v>0.128755470718366</v>
      </c>
      <c r="U889" s="54" t="n">
        <f aca="true">RAND()</f>
        <v>0.480980163417151</v>
      </c>
    </row>
    <row r="890" customFormat="false" ht="15" hidden="false" customHeight="false" outlineLevel="0" collapsed="false">
      <c r="A890" s="50" t="n">
        <v>810</v>
      </c>
      <c r="B890" s="51" t="n">
        <f aca="false">1+IF($G$6=$E$6,$F$6,IF(P890&lt;($F$6-$E$6)/($G$6-$E$6),$E$6+SQRT(P890*($G$6-$E$6)*($F$6-$E$6)),$G$6-SQRT((1-P890)*($G$6-$E$6)*($G$6-$F$6))))</f>
        <v>0.992383891834838</v>
      </c>
      <c r="C890" s="51" t="n">
        <f aca="false">1+IF($G$7=$E$7,$F$7,IF(Q890&lt;($F$7-$E$7)/($G$7-$E$7),$E$7+SQRT(Q890*($G$7-$E$7)*($F$7-$E$7)),$G$7-SQRT((1-Q890)*($G$7-$E$7)*($G$7-$F$7))))</f>
        <v>1.0832851916304</v>
      </c>
      <c r="D890" s="51" t="n">
        <f aca="false">1+IF($G$8=$E$8,$F$8,IF(R890&lt;($F$8-$E$8)/($G$8-$E$8),$E$8+SQRT(R890*($G$8-$E$8)*($F$8-$E$8)),$G$8-SQRT((1-R890)*($G$8-$E$8)*($G$8-$F$8))))</f>
        <v>0.988404710191496</v>
      </c>
      <c r="E890" s="51" t="n">
        <f aca="false">1+IF($G$9=$E$9,$F$9,IF(S890&lt;($F$9-$E$9)/($G$9-$E$9),$E$9+SQRT(S890*($G$9-$E$9)*($F$9-$E$9)),$G$9-SQRT((1-S890)*($G$9-$E$9)*($G$9-$F$9))))</f>
        <v>1.01224550863114</v>
      </c>
      <c r="F890" s="51" t="n">
        <f aca="false">1+IF($G$10=$E$10,$F$10,IF(T890&lt;($F$10-$E$10)/($G$10-$E$10),$E$10+SQRT(T890*($G$10-$E$10)*($F$10-$E$10)),$G$10-SQRT((1-T890)*($G$10-$E$10)*($G$10-$F$10))))</f>
        <v>1.03079961671625</v>
      </c>
      <c r="G890" s="52" t="n">
        <f aca="false">IF($G$11=$E$11,$F$11,IF(U890&lt;($F$11-$E$11)/($G$11-$E$11),$E$11+SQRT(U890*($G$11-$E$11)*($F$11-$E$11)),$G$11-SQRT((1-U890)*($G$11-$E$11)*($G$11-$F$11))))</f>
        <v>0.0954787659171707</v>
      </c>
      <c r="H890" s="53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-2061599233.4325</v>
      </c>
      <c r="I890" s="53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29654681.8221696</v>
      </c>
      <c r="J890" s="53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362060439.350138</v>
      </c>
      <c r="K890" s="53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746006177.713918</v>
      </c>
      <c r="L890" s="53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893961298.694458</v>
      </c>
      <c r="M890" s="53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1098303908.61949</v>
      </c>
      <c r="N890" s="53" t="n">
        <f aca="false">IF(COUNT('Business Case'!B11:G11)=0,"",H890+NPV(G890,I890:M890))</f>
        <v>151503152.116778</v>
      </c>
      <c r="P890" s="54" t="n">
        <f aca="true">RAND()</f>
        <v>0.545773728870578</v>
      </c>
      <c r="Q890" s="54" t="n">
        <f aca="true">RAND()</f>
        <v>0.91522160655634</v>
      </c>
      <c r="R890" s="54" t="n">
        <f aca="true">RAND()</f>
        <v>0.226911040752732</v>
      </c>
      <c r="S890" s="54" t="n">
        <f aca="true">RAND()</f>
        <v>0.48660994963948</v>
      </c>
      <c r="T890" s="54" t="n">
        <f aca="true">RAND()</f>
        <v>0.42742460593263</v>
      </c>
      <c r="U890" s="54" t="n">
        <f aca="true">RAND()</f>
        <v>0.100056253250504</v>
      </c>
    </row>
    <row r="891" customFormat="false" ht="15" hidden="false" customHeight="false" outlineLevel="0" collapsed="false">
      <c r="A891" s="50" t="n">
        <v>811</v>
      </c>
      <c r="B891" s="51" t="n">
        <f aca="false">1+IF($G$6=$E$6,$F$6,IF(P891&lt;($F$6-$E$6)/($G$6-$E$6),$E$6+SQRT(P891*($G$6-$E$6)*($F$6-$E$6)),$G$6-SQRT((1-P891)*($G$6-$E$6)*($G$6-$F$6))))</f>
        <v>1.03259061400775</v>
      </c>
      <c r="C891" s="51" t="n">
        <f aca="false">1+IF($G$7=$E$7,$F$7,IF(Q891&lt;($F$7-$E$7)/($G$7-$E$7),$E$7+SQRT(Q891*($G$7-$E$7)*($F$7-$E$7)),$G$7-SQRT((1-Q891)*($G$7-$E$7)*($G$7-$F$7))))</f>
        <v>1.12047652763726</v>
      </c>
      <c r="D891" s="51" t="n">
        <f aca="false">1+IF($G$8=$E$8,$F$8,IF(R891&lt;($F$8-$E$8)/($G$8-$E$8),$E$8+SQRT(R891*($G$8-$E$8)*($F$8-$E$8)),$G$8-SQRT((1-R891)*($G$8-$E$8)*($G$8-$F$8))))</f>
        <v>1.02991203060239</v>
      </c>
      <c r="E891" s="51" t="n">
        <f aca="false">1+IF($G$9=$E$9,$F$9,IF(S891&lt;($F$9-$E$9)/($G$9-$E$9),$E$9+SQRT(S891*($G$9-$E$9)*($F$9-$E$9)),$G$9-SQRT((1-S891)*($G$9-$E$9)*($G$9-$F$9))))</f>
        <v>1.00271525366082</v>
      </c>
      <c r="F891" s="51" t="n">
        <f aca="false">1+IF($G$10=$E$10,$F$10,IF(T891&lt;($F$10-$E$10)/($G$10-$E$10),$E$10+SQRT(T891*($G$10-$E$10)*($F$10-$E$10)),$G$10-SQRT((1-T891)*($G$10-$E$10)*($G$10-$F$10))))</f>
        <v>1.04685348825891</v>
      </c>
      <c r="G891" s="52" t="n">
        <f aca="false">IF($G$11=$E$11,$F$11,IF(U891&lt;($F$11-$E$11)/($G$11-$E$11),$E$11+SQRT(U891*($G$11-$E$11)*($F$11-$E$11)),$G$11-SQRT((1-U891)*($G$11-$E$11)*($G$11-$F$11))))</f>
        <v>0.109414028851341</v>
      </c>
      <c r="H891" s="53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-2093706976.51783</v>
      </c>
      <c r="I891" s="53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49659298.5229371</v>
      </c>
      <c r="J891" s="53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406568600.349049</v>
      </c>
      <c r="K891" s="53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815820576.588107</v>
      </c>
      <c r="L891" s="53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974776040.801287</v>
      </c>
      <c r="M891" s="53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1194697373.95924</v>
      </c>
      <c r="N891" s="53" t="n">
        <f aca="false">IF(COUNT('Business Case'!B11:G11)=0,"",H891+NPV(G891,I891:M891))</f>
        <v>233192280.262151</v>
      </c>
      <c r="P891" s="54" t="n">
        <f aca="true">RAND()</f>
        <v>0.988562708170387</v>
      </c>
      <c r="Q891" s="54" t="n">
        <f aca="true">RAND()</f>
        <v>0.983397420564691</v>
      </c>
      <c r="R891" s="54" t="n">
        <f aca="true">RAND()</f>
        <v>0.758768780925346</v>
      </c>
      <c r="S891" s="54" t="n">
        <f aca="true">RAND()</f>
        <v>0.369045208648078</v>
      </c>
      <c r="T891" s="54" t="n">
        <f aca="true">RAND()</f>
        <v>0.530922918830741</v>
      </c>
      <c r="U891" s="54" t="n">
        <f aca="true">RAND()</f>
        <v>0.813228691399597</v>
      </c>
    </row>
    <row r="892" customFormat="false" ht="15" hidden="false" customHeight="false" outlineLevel="0" collapsed="false">
      <c r="A892" s="50" t="n">
        <v>812</v>
      </c>
      <c r="B892" s="51" t="n">
        <f aca="false">1+IF($G$6=$E$6,$F$6,IF(P892&lt;($F$6-$E$6)/($G$6-$E$6),$E$6+SQRT(P892*($G$6-$E$6)*($F$6-$E$6)),$G$6-SQRT((1-P892)*($G$6-$E$6)*($G$6-$F$6))))</f>
        <v>0.966321978736844</v>
      </c>
      <c r="C892" s="51" t="n">
        <f aca="false">1+IF($G$7=$E$7,$F$7,IF(Q892&lt;($F$7-$E$7)/($G$7-$E$7),$E$7+SQRT(Q892*($G$7-$E$7)*($F$7-$E$7)),$G$7-SQRT((1-Q892)*($G$7-$E$7)*($G$7-$F$7))))</f>
        <v>0.93709821060605</v>
      </c>
      <c r="D892" s="51" t="n">
        <f aca="false">1+IF($G$8=$E$8,$F$8,IF(R892&lt;($F$8-$E$8)/($G$8-$E$8),$E$8+SQRT(R892*($G$8-$E$8)*($F$8-$E$8)),$G$8-SQRT((1-R892)*($G$8-$E$8)*($G$8-$F$8))))</f>
        <v>1.05544490370636</v>
      </c>
      <c r="E892" s="51" t="n">
        <f aca="false">1+IF($G$9=$E$9,$F$9,IF(S892&lt;($F$9-$E$9)/($G$9-$E$9),$E$9+SQRT(S892*($G$9-$E$9)*($F$9-$E$9)),$G$9-SQRT((1-S892)*($G$9-$E$9)*($G$9-$F$9))))</f>
        <v>1.020984722394</v>
      </c>
      <c r="F892" s="51" t="n">
        <f aca="false">1+IF($G$10=$E$10,$F$10,IF(T892&lt;($F$10-$E$10)/($G$10-$E$10),$E$10+SQRT(T892*($G$10-$E$10)*($F$10-$E$10)),$G$10-SQRT((1-T892)*($G$10-$E$10)*($G$10-$F$10))))</f>
        <v>1.06730655202718</v>
      </c>
      <c r="G892" s="52" t="n">
        <f aca="false">IF($G$11=$E$11,$F$11,IF(U892&lt;($F$11-$E$11)/($G$11-$E$11),$E$11+SQRT(U892*($G$11-$E$11)*($F$11-$E$11)),$G$11-SQRT((1-U892)*($G$11-$E$11)*($G$11-$F$11))))</f>
        <v>0.0989636929029452</v>
      </c>
      <c r="H892" s="53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-2134613104.05436</v>
      </c>
      <c r="I892" s="53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-63473801.0171488</v>
      </c>
      <c r="J892" s="53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171910201.568771</v>
      </c>
      <c r="K892" s="53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460659531.756051</v>
      </c>
      <c r="L892" s="53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570416279.86864</v>
      </c>
      <c r="M892" s="53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742541056.413695</v>
      </c>
      <c r="N892" s="53" t="n">
        <f aca="false">IF(COUNT('Business Case'!B11:G11)=0,"",H892+NPV(G892,I892:M892))</f>
        <v>-848636827.754355</v>
      </c>
      <c r="P892" s="54" t="n">
        <f aca="true">RAND()</f>
        <v>0.223513095218395</v>
      </c>
      <c r="Q892" s="54" t="n">
        <f aca="true">RAND()</f>
        <v>0.268513133591155</v>
      </c>
      <c r="R892" s="54" t="n">
        <f aca="true">RAND()</f>
        <v>0.942023773654809</v>
      </c>
      <c r="S892" s="54" t="n">
        <f aca="true">RAND()</f>
        <v>0.583772393656467</v>
      </c>
      <c r="T892" s="54" t="n">
        <f aca="true">RAND()</f>
        <v>0.647848977301693</v>
      </c>
      <c r="U892" s="54" t="n">
        <f aca="true">RAND()</f>
        <v>0.267825968194367</v>
      </c>
    </row>
    <row r="893" customFormat="false" ht="15" hidden="false" customHeight="false" outlineLevel="0" collapsed="false">
      <c r="A893" s="50" t="n">
        <v>813</v>
      </c>
      <c r="B893" s="51" t="n">
        <f aca="false">1+IF($G$6=$E$6,$F$6,IF(P893&lt;($F$6-$E$6)/($G$6-$E$6),$E$6+SQRT(P893*($G$6-$E$6)*($F$6-$E$6)),$G$6-SQRT((1-P893)*($G$6-$E$6)*($G$6-$F$6))))</f>
        <v>0.993099382040794</v>
      </c>
      <c r="C893" s="51" t="n">
        <f aca="false">1+IF($G$7=$E$7,$F$7,IF(Q893&lt;($F$7-$E$7)/($G$7-$E$7),$E$7+SQRT(Q893*($G$7-$E$7)*($F$7-$E$7)),$G$7-SQRT((1-Q893)*($G$7-$E$7)*($G$7-$F$7))))</f>
        <v>1.03514632891101</v>
      </c>
      <c r="D893" s="51" t="n">
        <f aca="false">1+IF($G$8=$E$8,$F$8,IF(R893&lt;($F$8-$E$8)/($G$8-$E$8),$E$8+SQRT(R893*($G$8-$E$8)*($F$8-$E$8)),$G$8-SQRT((1-R893)*($G$8-$E$8)*($G$8-$F$8))))</f>
        <v>0.978117897191639</v>
      </c>
      <c r="E893" s="51" t="n">
        <f aca="false">1+IF($G$9=$E$9,$F$9,IF(S893&lt;($F$9-$E$9)/($G$9-$E$9),$E$9+SQRT(S893*($G$9-$E$9)*($F$9-$E$9)),$G$9-SQRT((1-S893)*($G$9-$E$9)*($G$9-$F$9))))</f>
        <v>1.01237062610992</v>
      </c>
      <c r="F893" s="51" t="n">
        <f aca="false">1+IF($G$10=$E$10,$F$10,IF(T893&lt;($F$10-$E$10)/($G$10-$E$10),$E$10+SQRT(T893*($G$10-$E$10)*($F$10-$E$10)),$G$10-SQRT((1-T893)*($G$10-$E$10)*($G$10-$F$10))))</f>
        <v>0.999450395142894</v>
      </c>
      <c r="G893" s="52" t="n">
        <f aca="false">IF($G$11=$E$11,$F$11,IF(U893&lt;($F$11-$E$11)/($G$11-$E$11),$E$11+SQRT(U893*($G$11-$E$11)*($F$11-$E$11)),$G$11-SQRT((1-U893)*($G$11-$E$11)*($G$11-$F$11))))</f>
        <v>0.104884348225588</v>
      </c>
      <c r="H893" s="53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-1998900790.28579</v>
      </c>
      <c r="I893" s="53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26496275.4613651</v>
      </c>
      <c r="J893" s="53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350188378.298412</v>
      </c>
      <c r="K893" s="53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723853000.892604</v>
      </c>
      <c r="L893" s="53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867278158.390662</v>
      </c>
      <c r="M893" s="53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1062681002.76206</v>
      </c>
      <c r="N893" s="53" t="n">
        <f aca="false">IF(COUNT('Business Case'!B11:G11)=0,"",H893+NPV(G893,I893:M893))</f>
        <v>75942059.2355726</v>
      </c>
      <c r="P893" s="54" t="n">
        <f aca="true">RAND()</f>
        <v>0.55661663070271</v>
      </c>
      <c r="Q893" s="54" t="n">
        <f aca="true">RAND()</f>
        <v>0.748735890235837</v>
      </c>
      <c r="R893" s="54" t="n">
        <f aca="true">RAND()</f>
        <v>0.121633252689165</v>
      </c>
      <c r="S893" s="54" t="n">
        <f aca="true">RAND()</f>
        <v>0.488072855442149</v>
      </c>
      <c r="T893" s="54" t="n">
        <f aca="true">RAND()</f>
        <v>0.195627326383066</v>
      </c>
      <c r="U893" s="54" t="n">
        <f aca="true">RAND()</f>
        <v>0.619195119057851</v>
      </c>
    </row>
    <row r="894" customFormat="false" ht="15" hidden="false" customHeight="false" outlineLevel="0" collapsed="false">
      <c r="A894" s="50" t="n">
        <v>814</v>
      </c>
      <c r="B894" s="51" t="n">
        <f aca="false">1+IF($G$6=$E$6,$F$6,IF(P894&lt;($F$6-$E$6)/($G$6-$E$6),$E$6+SQRT(P894*($G$6-$E$6)*($F$6-$E$6)),$G$6-SQRT((1-P894)*($G$6-$E$6)*($G$6-$F$6))))</f>
        <v>0.999029565782297</v>
      </c>
      <c r="C894" s="51" t="n">
        <f aca="false">1+IF($G$7=$E$7,$F$7,IF(Q894&lt;($F$7-$E$7)/($G$7-$E$7),$E$7+SQRT(Q894*($G$7-$E$7)*($F$7-$E$7)),$G$7-SQRT((1-Q894)*($G$7-$E$7)*($G$7-$F$7))))</f>
        <v>1.10916007940808</v>
      </c>
      <c r="D894" s="51" t="n">
        <f aca="false">1+IF($G$8=$E$8,$F$8,IF(R894&lt;($F$8-$E$8)/($G$8-$E$8),$E$8+SQRT(R894*($G$8-$E$8)*($F$8-$E$8)),$G$8-SQRT((1-R894)*($G$8-$E$8)*($G$8-$F$8))))</f>
        <v>1.01766571691913</v>
      </c>
      <c r="E894" s="51" t="n">
        <f aca="false">1+IF($G$9=$E$9,$F$9,IF(S894&lt;($F$9-$E$9)/($G$9-$E$9),$E$9+SQRT(S894*($G$9-$E$9)*($F$9-$E$9)),$G$9-SQRT((1-S894)*($G$9-$E$9)*($G$9-$F$9))))</f>
        <v>0.996192428710741</v>
      </c>
      <c r="F894" s="51" t="n">
        <f aca="false">1+IF($G$10=$E$10,$F$10,IF(T894&lt;($F$10-$E$10)/($G$10-$E$10),$E$10+SQRT(T894*($G$10-$E$10)*($F$10-$E$10)),$G$10-SQRT((1-T894)*($G$10-$E$10)*($G$10-$F$10))))</f>
        <v>0.995373354525008</v>
      </c>
      <c r="G894" s="52" t="n">
        <f aca="false">IF($G$11=$E$11,$F$11,IF(U894&lt;($F$11-$E$11)/($G$11-$E$11),$E$11+SQRT(U894*($G$11-$E$11)*($F$11-$E$11)),$G$11-SQRT((1-U894)*($G$11-$E$11)*($G$11-$F$11))))</f>
        <v>0.0924242602502382</v>
      </c>
      <c r="H894" s="53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-1990746709.05002</v>
      </c>
      <c r="I894" s="53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31129540.4963295</v>
      </c>
      <c r="J894" s="53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360898039.464559</v>
      </c>
      <c r="K894" s="53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740435206.159037</v>
      </c>
      <c r="L894" s="53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888653412.252935</v>
      </c>
      <c r="M894" s="53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1099277964.32762</v>
      </c>
      <c r="N894" s="53" t="n">
        <f aca="false">IF(COUNT('Business Case'!B11:G11)=0,"",H894+NPV(G894,I894:M894))</f>
        <v>238654693.43391</v>
      </c>
      <c r="P894" s="54" t="n">
        <f aca="true">RAND()</f>
        <v>0.650590861222753</v>
      </c>
      <c r="Q894" s="54" t="n">
        <f aca="true">RAND()</f>
        <v>0.968230493067534</v>
      </c>
      <c r="R894" s="54" t="n">
        <f aca="true">RAND()</f>
        <v>0.626388187768703</v>
      </c>
      <c r="S894" s="54" t="n">
        <f aca="true">RAND()</f>
        <v>0.284498729359581</v>
      </c>
      <c r="T894" s="54" t="n">
        <f aca="true">RAND()</f>
        <v>0.164699304068165</v>
      </c>
      <c r="U894" s="54" t="n">
        <f aca="true">RAND()</f>
        <v>0.0195901258696164</v>
      </c>
    </row>
    <row r="895" customFormat="false" ht="15" hidden="false" customHeight="false" outlineLevel="0" collapsed="false">
      <c r="A895" s="50" t="n">
        <v>815</v>
      </c>
      <c r="B895" s="51" t="n">
        <f aca="false">1+IF($G$6=$E$6,$F$6,IF(P895&lt;($F$6-$E$6)/($G$6-$E$6),$E$6+SQRT(P895*($G$6-$E$6)*($F$6-$E$6)),$G$6-SQRT((1-P895)*($G$6-$E$6)*($G$6-$F$6))))</f>
        <v>0.946296663179632</v>
      </c>
      <c r="C895" s="51" t="n">
        <f aca="false">1+IF($G$7=$E$7,$F$7,IF(Q895&lt;($F$7-$E$7)/($G$7-$E$7),$E$7+SQRT(Q895*($G$7-$E$7)*($F$7-$E$7)),$G$7-SQRT((1-Q895)*($G$7-$E$7)*($G$7-$F$7))))</f>
        <v>1.01280041936259</v>
      </c>
      <c r="D895" s="51" t="n">
        <f aca="false">1+IF($G$8=$E$8,$F$8,IF(R895&lt;($F$8-$E$8)/($G$8-$E$8),$E$8+SQRT(R895*($G$8-$E$8)*($F$8-$E$8)),$G$8-SQRT((1-R895)*($G$8-$E$8)*($G$8-$F$8))))</f>
        <v>1.04088763542374</v>
      </c>
      <c r="E895" s="51" t="n">
        <f aca="false">1+IF($G$9=$E$9,$F$9,IF(S895&lt;($F$9-$E$9)/($G$9-$E$9),$E$9+SQRT(S895*($G$9-$E$9)*($F$9-$E$9)),$G$9-SQRT((1-S895)*($G$9-$E$9)*($G$9-$F$9))))</f>
        <v>0.974446241609276</v>
      </c>
      <c r="F895" s="51" t="n">
        <f aca="false">1+IF($G$10=$E$10,$F$10,IF(T895&lt;($F$10-$E$10)/($G$10-$E$10),$E$10+SQRT(T895*($G$10-$E$10)*($F$10-$E$10)),$G$10-SQRT((1-T895)*($G$10-$E$10)*($G$10-$F$10))))</f>
        <v>0.998334365771267</v>
      </c>
      <c r="G895" s="52" t="n">
        <f aca="false">IF($G$11=$E$11,$F$11,IF(U895&lt;($F$11-$E$11)/($G$11-$E$11),$E$11+SQRT(U895*($G$11-$E$11)*($F$11-$E$11)),$G$11-SQRT((1-U895)*($G$11-$E$11)*($G$11-$F$11))))</f>
        <v>0.0954970508545672</v>
      </c>
      <c r="H895" s="53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-1996668731.54253</v>
      </c>
      <c r="I895" s="53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-42749051.0594471</v>
      </c>
      <c r="J895" s="53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202585546.650009</v>
      </c>
      <c r="K895" s="53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497836862.648028</v>
      </c>
      <c r="L895" s="53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612737699.641139</v>
      </c>
      <c r="M895" s="53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794912207.302575</v>
      </c>
      <c r="N895" s="53" t="n">
        <f aca="false">IF(COUNT('Business Case'!B11:G11)=0,"",H895+NPV(G895,I895:M895))</f>
        <v>-558985157.494377</v>
      </c>
      <c r="P895" s="54" t="n">
        <f aca="true">RAND()</f>
        <v>0.0720327598315647</v>
      </c>
      <c r="Q895" s="54" t="n">
        <f aca="true">RAND()</f>
        <v>0.641452858531763</v>
      </c>
      <c r="R895" s="54" t="n">
        <f aca="true">RAND()</f>
        <v>0.852906051659031</v>
      </c>
      <c r="S895" s="54" t="n">
        <f aca="true">RAND()</f>
        <v>0.0796824971758809</v>
      </c>
      <c r="T895" s="54" t="n">
        <f aca="true">RAND()</f>
        <v>0.18689687316085</v>
      </c>
      <c r="U895" s="54" t="n">
        <f aca="true">RAND()</f>
        <v>0.100725226992325</v>
      </c>
    </row>
    <row r="896" customFormat="false" ht="15" hidden="false" customHeight="false" outlineLevel="0" collapsed="false">
      <c r="A896" s="50" t="n">
        <v>816</v>
      </c>
      <c r="B896" s="51" t="n">
        <f aca="false">1+IF($G$6=$E$6,$F$6,IF(P896&lt;($F$6-$E$6)/($G$6-$E$6),$E$6+SQRT(P896*($G$6-$E$6)*($F$6-$E$6)),$G$6-SQRT((1-P896)*($G$6-$E$6)*($G$6-$F$6))))</f>
        <v>0.993304935870784</v>
      </c>
      <c r="C896" s="51" t="n">
        <f aca="false">1+IF($G$7=$E$7,$F$7,IF(Q896&lt;($F$7-$E$7)/($G$7-$E$7),$E$7+SQRT(Q896*($G$7-$E$7)*($F$7-$E$7)),$G$7-SQRT((1-Q896)*($G$7-$E$7)*($G$7-$F$7))))</f>
        <v>1.09854214195296</v>
      </c>
      <c r="D896" s="51" t="n">
        <f aca="false">1+IF($G$8=$E$8,$F$8,IF(R896&lt;($F$8-$E$8)/($G$8-$E$8),$E$8+SQRT(R896*($G$8-$E$8)*($F$8-$E$8)),$G$8-SQRT((1-R896)*($G$8-$E$8)*($G$8-$F$8))))</f>
        <v>1.0288228876467</v>
      </c>
      <c r="E896" s="51" t="n">
        <f aca="false">1+IF($G$9=$E$9,$F$9,IF(S896&lt;($F$9-$E$9)/($G$9-$E$9),$E$9+SQRT(S896*($G$9-$E$9)*($F$9-$E$9)),$G$9-SQRT((1-S896)*($G$9-$E$9)*($G$9-$F$9))))</f>
        <v>1.01860650017545</v>
      </c>
      <c r="F896" s="51" t="n">
        <f aca="false">1+IF($G$10=$E$10,$F$10,IF(T896&lt;($F$10-$E$10)/($G$10-$E$10),$E$10+SQRT(T896*($G$10-$E$10)*($F$10-$E$10)),$G$10-SQRT((1-T896)*($G$10-$E$10)*($G$10-$F$10))))</f>
        <v>1.0689272371372</v>
      </c>
      <c r="G896" s="52" t="n">
        <f aca="false">IF($G$11=$E$11,$F$11,IF(U896&lt;($F$11-$E$11)/($G$11-$E$11),$E$11+SQRT(U896*($G$11-$E$11)*($F$11-$E$11)),$G$11-SQRT((1-U896)*($G$11-$E$11)*($G$11-$F$11))))</f>
        <v>0.0925736568950096</v>
      </c>
      <c r="H896" s="53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-2137854474.2744</v>
      </c>
      <c r="I896" s="53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6880574.45881334</v>
      </c>
      <c r="J896" s="53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322066868.240123</v>
      </c>
      <c r="K896" s="53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690699523.878292</v>
      </c>
      <c r="L896" s="53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833473055.994613</v>
      </c>
      <c r="M896" s="53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1040885944.03531</v>
      </c>
      <c r="N896" s="53" t="n">
        <f aca="false">IF(COUNT('Business Case'!B11:G11)=0,"",H896+NPV(G896,I896:M896))</f>
        <v>-78685107.7092235</v>
      </c>
      <c r="P896" s="54" t="n">
        <f aca="true">RAND()</f>
        <v>0.559751419064552</v>
      </c>
      <c r="Q896" s="54" t="n">
        <f aca="true">RAND()</f>
        <v>0.949563597051639</v>
      </c>
      <c r="R896" s="54" t="n">
        <f aca="true">RAND()</f>
        <v>0.74816376645941</v>
      </c>
      <c r="S896" s="54" t="n">
        <f aca="true">RAND()</f>
        <v>0.558339879087432</v>
      </c>
      <c r="T896" s="54" t="n">
        <f aca="true">RAND()</f>
        <v>0.656398616710233</v>
      </c>
      <c r="U896" s="54" t="n">
        <f aca="true">RAND()</f>
        <v>0.0220790327107684</v>
      </c>
    </row>
    <row r="897" customFormat="false" ht="15" hidden="false" customHeight="false" outlineLevel="0" collapsed="false">
      <c r="A897" s="50" t="n">
        <v>817</v>
      </c>
      <c r="B897" s="51" t="n">
        <f aca="false">1+IF($G$6=$E$6,$F$6,IF(P897&lt;($F$6-$E$6)/($G$6-$E$6),$E$6+SQRT(P897*($G$6-$E$6)*($F$6-$E$6)),$G$6-SQRT((1-P897)*($G$6-$E$6)*($G$6-$F$6))))</f>
        <v>0.996152324984007</v>
      </c>
      <c r="C897" s="51" t="n">
        <f aca="false">1+IF($G$7=$E$7,$F$7,IF(Q897&lt;($F$7-$E$7)/($G$7-$E$7),$E$7+SQRT(Q897*($G$7-$E$7)*($F$7-$E$7)),$G$7-SQRT((1-Q897)*($G$7-$E$7)*($G$7-$F$7))))</f>
        <v>1.03817731413689</v>
      </c>
      <c r="D897" s="51" t="n">
        <f aca="false">1+IF($G$8=$E$8,$F$8,IF(R897&lt;($F$8-$E$8)/($G$8-$E$8),$E$8+SQRT(R897*($G$8-$E$8)*($F$8-$E$8)),$G$8-SQRT((1-R897)*($G$8-$E$8)*($G$8-$F$8))))</f>
        <v>1.01242572330651</v>
      </c>
      <c r="E897" s="51" t="n">
        <f aca="false">1+IF($G$9=$E$9,$F$9,IF(S897&lt;($F$9-$E$9)/($G$9-$E$9),$E$9+SQRT(S897*($G$9-$E$9)*($F$9-$E$9)),$G$9-SQRT((1-S897)*($G$9-$E$9)*($G$9-$F$9))))</f>
        <v>1.09165883894509</v>
      </c>
      <c r="F897" s="51" t="n">
        <f aca="false">1+IF($G$10=$E$10,$F$10,IF(T897&lt;($F$10-$E$10)/($G$10-$E$10),$E$10+SQRT(T897*($G$10-$E$10)*($F$10-$E$10)),$G$10-SQRT((1-T897)*($G$10-$E$10)*($G$10-$F$10))))</f>
        <v>1.06897094172205</v>
      </c>
      <c r="G897" s="52" t="n">
        <f aca="false">IF($G$11=$E$11,$F$11,IF(U897&lt;($F$11-$E$11)/($G$11-$E$11),$E$11+SQRT(U897*($G$11-$E$11)*($F$11-$E$11)),$G$11-SQRT((1-U897)*($G$11-$E$11)*($G$11-$F$11))))</f>
        <v>0.101549393443729</v>
      </c>
      <c r="H897" s="53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-2137941883.44409</v>
      </c>
      <c r="I897" s="53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-6740437.00467397</v>
      </c>
      <c r="J897" s="53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302262140.573215</v>
      </c>
      <c r="K897" s="53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664713265.237207</v>
      </c>
      <c r="L897" s="53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803455480.104748</v>
      </c>
      <c r="M897" s="53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1000032936.31676</v>
      </c>
      <c r="N897" s="53" t="n">
        <f aca="false">IF(COUNT('Business Case'!B11:G11)=0,"",H897+NPV(G897,I897:M897))</f>
        <v>-235378224.494056</v>
      </c>
      <c r="P897" s="54" t="n">
        <f aca="true">RAND()</f>
        <v>0.604080895882272</v>
      </c>
      <c r="Q897" s="54" t="n">
        <f aca="true">RAND()</f>
        <v>0.761822608121144</v>
      </c>
      <c r="R897" s="54" t="n">
        <f aca="true">RAND()</f>
        <v>0.560934339360771</v>
      </c>
      <c r="S897" s="54" t="n">
        <f aca="true">RAND()</f>
        <v>0.995361668817074</v>
      </c>
      <c r="T897" s="54" t="n">
        <f aca="true">RAND()</f>
        <v>0.656627717735857</v>
      </c>
      <c r="U897" s="54" t="n">
        <f aca="true">RAND()</f>
        <v>0.432625196176141</v>
      </c>
    </row>
    <row r="898" customFormat="false" ht="15" hidden="false" customHeight="false" outlineLevel="0" collapsed="false">
      <c r="A898" s="50" t="n">
        <v>818</v>
      </c>
      <c r="B898" s="51" t="n">
        <f aca="false">1+IF($G$6=$E$6,$F$6,IF(P898&lt;($F$6-$E$6)/($G$6-$E$6),$E$6+SQRT(P898*($G$6-$E$6)*($F$6-$E$6)),$G$6-SQRT((1-P898)*($G$6-$E$6)*($G$6-$F$6))))</f>
        <v>1.02046278181444</v>
      </c>
      <c r="C898" s="51" t="n">
        <f aca="false">1+IF($G$7=$E$7,$F$7,IF(Q898&lt;($F$7-$E$7)/($G$7-$E$7),$E$7+SQRT(Q898*($G$7-$E$7)*($F$7-$E$7)),$G$7-SQRT((1-Q898)*($G$7-$E$7)*($G$7-$F$7))))</f>
        <v>0.944820561313988</v>
      </c>
      <c r="D898" s="51" t="n">
        <f aca="false">1+IF($G$8=$E$8,$F$8,IF(R898&lt;($F$8-$E$8)/($G$8-$E$8),$E$8+SQRT(R898*($G$8-$E$8)*($F$8-$E$8)),$G$8-SQRT((1-R898)*($G$8-$E$8)*($G$8-$F$8))))</f>
        <v>1.04417371104571</v>
      </c>
      <c r="E898" s="51" t="n">
        <f aca="false">1+IF($G$9=$E$9,$F$9,IF(S898&lt;($F$9-$E$9)/($G$9-$E$9),$E$9+SQRT(S898*($G$9-$E$9)*($F$9-$E$9)),$G$9-SQRT((1-S898)*($G$9-$E$9)*($G$9-$F$9))))</f>
        <v>1.05271956799895</v>
      </c>
      <c r="F898" s="51" t="n">
        <f aca="false">1+IF($G$10=$E$10,$F$10,IF(T898&lt;($F$10-$E$10)/($G$10-$E$10),$E$10+SQRT(T898*($G$10-$E$10)*($F$10-$E$10)),$G$10-SQRT((1-T898)*($G$10-$E$10)*($G$10-$F$10))))</f>
        <v>1.10776336236203</v>
      </c>
      <c r="G898" s="52" t="n">
        <f aca="false">IF($G$11=$E$11,$F$11,IF(U898&lt;($F$11-$E$11)/($G$11-$E$11),$E$11+SQRT(U898*($G$11-$E$11)*($F$11-$E$11)),$G$11-SQRT((1-U898)*($G$11-$E$11)*($G$11-$F$11))))</f>
        <v>0.104918988621244</v>
      </c>
      <c r="H898" s="53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-2215526724.72406</v>
      </c>
      <c r="I898" s="53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-25781242.4279782</v>
      </c>
      <c r="J898" s="53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258892328.627093</v>
      </c>
      <c r="K898" s="53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598954067.800265</v>
      </c>
      <c r="L898" s="53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727166427.936885</v>
      </c>
      <c r="M898" s="53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910432861.754</v>
      </c>
      <c r="N898" s="53" t="n">
        <f aca="false">IF(COUNT('Business Case'!B11:G11)=0,"",H898+NPV(G898,I898:M898))</f>
        <v>-542066223.774547</v>
      </c>
      <c r="P898" s="54" t="n">
        <f aca="true">RAND()</f>
        <v>0.920478563660342</v>
      </c>
      <c r="Q898" s="54" t="n">
        <f aca="true">RAND()</f>
        <v>0.29961421398998</v>
      </c>
      <c r="R898" s="54" t="n">
        <f aca="true">RAND()</f>
        <v>0.87658432882345</v>
      </c>
      <c r="S898" s="54" t="n">
        <f aca="true">RAND()</f>
        <v>0.850970716652939</v>
      </c>
      <c r="T898" s="54" t="n">
        <f aca="true">RAND()</f>
        <v>0.829848053544839</v>
      </c>
      <c r="U898" s="54" t="n">
        <f aca="true">RAND()</f>
        <v>0.620938492989719</v>
      </c>
    </row>
    <row r="899" customFormat="false" ht="15" hidden="false" customHeight="false" outlineLevel="0" collapsed="false">
      <c r="A899" s="50" t="n">
        <v>819</v>
      </c>
      <c r="B899" s="51" t="n">
        <f aca="false">1+IF($G$6=$E$6,$F$6,IF(P899&lt;($F$6-$E$6)/($G$6-$E$6),$E$6+SQRT(P899*($G$6-$E$6)*($F$6-$E$6)),$G$6-SQRT((1-P899)*($G$6-$E$6)*($G$6-$F$6))))</f>
        <v>1.02345541970834</v>
      </c>
      <c r="C899" s="51" t="n">
        <f aca="false">1+IF($G$7=$E$7,$F$7,IF(Q899&lt;($F$7-$E$7)/($G$7-$E$7),$E$7+SQRT(Q899*($G$7-$E$7)*($F$7-$E$7)),$G$7-SQRT((1-Q899)*($G$7-$E$7)*($G$7-$F$7))))</f>
        <v>1.08670981804545</v>
      </c>
      <c r="D899" s="51" t="n">
        <f aca="false">1+IF($G$8=$E$8,$F$8,IF(R899&lt;($F$8-$E$8)/($G$8-$E$8),$E$8+SQRT(R899*($G$8-$E$8)*($F$8-$E$8)),$G$8-SQRT((1-R899)*($G$8-$E$8)*($G$8-$F$8))))</f>
        <v>1.00285080579555</v>
      </c>
      <c r="E899" s="51" t="n">
        <f aca="false">1+IF($G$9=$E$9,$F$9,IF(S899&lt;($F$9-$E$9)/($G$9-$E$9),$E$9+SQRT(S899*($G$9-$E$9)*($F$9-$E$9)),$G$9-SQRT((1-S899)*($G$9-$E$9)*($G$9-$F$9))))</f>
        <v>0.991202279499061</v>
      </c>
      <c r="F899" s="51" t="n">
        <f aca="false">1+IF($G$10=$E$10,$F$10,IF(T899&lt;($F$10-$E$10)/($G$10-$E$10),$E$10+SQRT(T899*($G$10-$E$10)*($F$10-$E$10)),$G$10-SQRT((1-T899)*($G$10-$E$10)*($G$10-$F$10))))</f>
        <v>0.990237041676795</v>
      </c>
      <c r="G899" s="52" t="n">
        <f aca="false">IF($G$11=$E$11,$F$11,IF(U899&lt;($F$11-$E$11)/($G$11-$E$11),$E$11+SQRT(U899*($G$11-$E$11)*($F$11-$E$11)),$G$11-SQRT((1-U899)*($G$11-$E$11)*($G$11-$F$11))))</f>
        <v>0.114423343167808</v>
      </c>
      <c r="H899" s="53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-1980474083.35359</v>
      </c>
      <c r="I899" s="53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55447617.9428957</v>
      </c>
      <c r="J899" s="53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408524303.10207</v>
      </c>
      <c r="K899" s="53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811112840.345085</v>
      </c>
      <c r="L899" s="53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967242668.000699</v>
      </c>
      <c r="M899" s="53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1178649463.98142</v>
      </c>
      <c r="N899" s="53" t="n">
        <f aca="false">IF(COUNT('Business Case'!B11:G11)=0,"",H899+NPV(G899,I899:M899))</f>
        <v>297061791.111059</v>
      </c>
      <c r="P899" s="54" t="n">
        <f aca="true">RAND()</f>
        <v>0.94297434645264</v>
      </c>
      <c r="Q899" s="54" t="n">
        <f aca="true">RAND()</f>
        <v>0.923701959393534</v>
      </c>
      <c r="R899" s="54" t="n">
        <f aca="true">RAND()</f>
        <v>0.427692484000401</v>
      </c>
      <c r="S899" s="54" t="n">
        <f aca="true">RAND()</f>
        <v>0.226350378122499</v>
      </c>
      <c r="T899" s="54" t="n">
        <f aca="true">RAND()</f>
        <v>0.129521561832012</v>
      </c>
      <c r="U899" s="54" t="n">
        <f aca="true">RAND()</f>
        <v>0.948168164293283</v>
      </c>
    </row>
    <row r="900" customFormat="false" ht="15" hidden="false" customHeight="false" outlineLevel="0" collapsed="false">
      <c r="A900" s="50" t="n">
        <v>820</v>
      </c>
      <c r="B900" s="51" t="n">
        <f aca="false">1+IF($G$6=$E$6,$F$6,IF(P900&lt;($F$6-$E$6)/($G$6-$E$6),$E$6+SQRT(P900*($G$6-$E$6)*($F$6-$E$6)),$G$6-SQRT((1-P900)*($G$6-$E$6)*($G$6-$F$6))))</f>
        <v>0.980167073213975</v>
      </c>
      <c r="C900" s="51" t="n">
        <f aca="false">1+IF($G$7=$E$7,$F$7,IF(Q900&lt;($F$7-$E$7)/($G$7-$E$7),$E$7+SQRT(Q900*($G$7-$E$7)*($F$7-$E$7)),$G$7-SQRT((1-Q900)*($G$7-$E$7)*($G$7-$F$7))))</f>
        <v>1.03021229687807</v>
      </c>
      <c r="D900" s="51" t="n">
        <f aca="false">1+IF($G$8=$E$8,$F$8,IF(R900&lt;($F$8-$E$8)/($G$8-$E$8),$E$8+SQRT(R900*($G$8-$E$8)*($F$8-$E$8)),$G$8-SQRT((1-R900)*($G$8-$E$8)*($G$8-$F$8))))</f>
        <v>0.976818116416811</v>
      </c>
      <c r="E900" s="51" t="n">
        <f aca="false">1+IF($G$9=$E$9,$F$9,IF(S900&lt;($F$9-$E$9)/($G$9-$E$9),$E$9+SQRT(S900*($G$9-$E$9)*($F$9-$E$9)),$G$9-SQRT((1-S900)*($G$9-$E$9)*($G$9-$F$9))))</f>
        <v>1.02628354763556</v>
      </c>
      <c r="F900" s="51" t="n">
        <f aca="false">1+IF($G$10=$E$10,$F$10,IF(T900&lt;($F$10-$E$10)/($G$10-$E$10),$E$10+SQRT(T900*($G$10-$E$10)*($F$10-$E$10)),$G$10-SQRT((1-T900)*($G$10-$E$10)*($G$10-$F$10))))</f>
        <v>1.05844730542651</v>
      </c>
      <c r="G900" s="52" t="n">
        <f aca="false">IF($G$11=$E$11,$F$11,IF(U900&lt;($F$11-$E$11)/($G$11-$E$11),$E$11+SQRT(U900*($G$11-$E$11)*($F$11-$E$11)),$G$11-SQRT((1-U900)*($G$11-$E$11)*($G$11-$F$11))))</f>
        <v>0.103024773765406</v>
      </c>
      <c r="H900" s="53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-2116894610.85302</v>
      </c>
      <c r="I900" s="53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7792938.07513548</v>
      </c>
      <c r="J900" s="53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319715131.273848</v>
      </c>
      <c r="K900" s="53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684559689.743887</v>
      </c>
      <c r="L900" s="53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823431756.881558</v>
      </c>
      <c r="M900" s="53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1015370771.94111</v>
      </c>
      <c r="N900" s="53" t="n">
        <f aca="false">IF(COUNT('Business Case'!B11:G11)=0,"",H900+NPV(G900,I900:M900))</f>
        <v>-158809779.772057</v>
      </c>
      <c r="P900" s="54" t="n">
        <f aca="true">RAND()</f>
        <v>0.377091322826643</v>
      </c>
      <c r="Q900" s="54" t="n">
        <f aca="true">RAND()</f>
        <v>0.726683927252826</v>
      </c>
      <c r="R900" s="54" t="n">
        <f aca="true">RAND()</f>
        <v>0.110647902791637</v>
      </c>
      <c r="S900" s="54" t="n">
        <f aca="true">RAND()</f>
        <v>0.637725643386718</v>
      </c>
      <c r="T900" s="54" t="n">
        <f aca="true">RAND()</f>
        <v>0.599256693179676</v>
      </c>
      <c r="U900" s="54" t="n">
        <f aca="true">RAND()</f>
        <v>0.519736157140592</v>
      </c>
    </row>
    <row r="901" customFormat="false" ht="15" hidden="false" customHeight="false" outlineLevel="0" collapsed="false">
      <c r="A901" s="50" t="n">
        <v>821</v>
      </c>
      <c r="B901" s="51" t="n">
        <f aca="false">1+IF($G$6=$E$6,$F$6,IF(P901&lt;($F$6-$E$6)/($G$6-$E$6),$E$6+SQRT(P901*($G$6-$E$6)*($F$6-$E$6)),$G$6-SQRT((1-P901)*($G$6-$E$6)*($G$6-$F$6))))</f>
        <v>0.953140653379449</v>
      </c>
      <c r="C901" s="51" t="n">
        <f aca="false">1+IF($G$7=$E$7,$F$7,IF(Q901&lt;($F$7-$E$7)/($G$7-$E$7),$E$7+SQRT(Q901*($G$7-$E$7)*($F$7-$E$7)),$G$7-SQRT((1-Q901)*($G$7-$E$7)*($G$7-$F$7))))</f>
        <v>0.99673066021362</v>
      </c>
      <c r="D901" s="51" t="n">
        <f aca="false">1+IF($G$8=$E$8,$F$8,IF(R901&lt;($F$8-$E$8)/($G$8-$E$8),$E$8+SQRT(R901*($G$8-$E$8)*($F$8-$E$8)),$G$8-SQRT((1-R901)*($G$8-$E$8)*($G$8-$F$8))))</f>
        <v>0.978360009149999</v>
      </c>
      <c r="E901" s="51" t="n">
        <f aca="false">1+IF($G$9=$E$9,$F$9,IF(S901&lt;($F$9-$E$9)/($G$9-$E$9),$E$9+SQRT(S901*($G$9-$E$9)*($F$9-$E$9)),$G$9-SQRT((1-S901)*($G$9-$E$9)*($G$9-$F$9))))</f>
        <v>0.965267494922414</v>
      </c>
      <c r="F901" s="51" t="n">
        <f aca="false">1+IF($G$10=$E$10,$F$10,IF(T901&lt;($F$10-$E$10)/($G$10-$E$10),$E$10+SQRT(T901*($G$10-$E$10)*($F$10-$E$10)),$G$10-SQRT((1-T901)*($G$10-$E$10)*($G$10-$F$10))))</f>
        <v>0.971786946525516</v>
      </c>
      <c r="G901" s="52" t="n">
        <f aca="false">IF($G$11=$E$11,$F$11,IF(U901&lt;($F$11-$E$11)/($G$11-$E$11),$E$11+SQRT(U901*($G$11-$E$11)*($F$11-$E$11)),$G$11-SQRT((1-U901)*($G$11-$E$11)*($G$11-$F$11))))</f>
        <v>0.114975451460781</v>
      </c>
      <c r="H901" s="53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-1943573893.05103</v>
      </c>
      <c r="I901" s="53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-4755158.51190832</v>
      </c>
      <c r="J901" s="53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274178686.146073</v>
      </c>
      <c r="K901" s="53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601701878.13033</v>
      </c>
      <c r="L901" s="53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727512673.509237</v>
      </c>
      <c r="M901" s="53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908093332.886929</v>
      </c>
      <c r="N901" s="53" t="n">
        <f aca="false">IF(COUNT('Business Case'!B11:G11)=0,"",H901+NPV(G901,I901:M901))</f>
        <v>-295465045.576275</v>
      </c>
      <c r="P901" s="54" t="n">
        <f aca="true">RAND()</f>
        <v>0.114406552751747</v>
      </c>
      <c r="Q901" s="54" t="n">
        <f aca="true">RAND()</f>
        <v>0.552899323829814</v>
      </c>
      <c r="R901" s="54" t="n">
        <f aca="true">RAND()</f>
        <v>0.123736941382776</v>
      </c>
      <c r="S901" s="54" t="n">
        <f aca="true">RAND()</f>
        <v>0.0310795201607907</v>
      </c>
      <c r="T901" s="54" t="n">
        <f aca="true">RAND()</f>
        <v>0.0379736831124564</v>
      </c>
      <c r="U901" s="54" t="n">
        <f aca="true">RAND()</f>
        <v>0.95792318662838</v>
      </c>
    </row>
    <row r="902" customFormat="false" ht="15" hidden="false" customHeight="false" outlineLevel="0" collapsed="false">
      <c r="A902" s="50" t="n">
        <v>822</v>
      </c>
      <c r="B902" s="51" t="n">
        <f aca="false">1+IF($G$6=$E$6,$F$6,IF(P902&lt;($F$6-$E$6)/($G$6-$E$6),$E$6+SQRT(P902*($G$6-$E$6)*($F$6-$E$6)),$G$6-SQRT((1-P902)*($G$6-$E$6)*($G$6-$F$6))))</f>
        <v>0.969075793647436</v>
      </c>
      <c r="C902" s="51" t="n">
        <f aca="false">1+IF($G$7=$E$7,$F$7,IF(Q902&lt;($F$7-$E$7)/($G$7-$E$7),$E$7+SQRT(Q902*($G$7-$E$7)*($F$7-$E$7)),$G$7-SQRT((1-Q902)*($G$7-$E$7)*($G$7-$F$7))))</f>
        <v>0.962263385626854</v>
      </c>
      <c r="D902" s="51" t="n">
        <f aca="false">1+IF($G$8=$E$8,$F$8,IF(R902&lt;($F$8-$E$8)/($G$8-$E$8),$E$8+SQRT(R902*($G$8-$E$8)*($F$8-$E$8)),$G$8-SQRT((1-R902)*($G$8-$E$8)*($G$8-$F$8))))</f>
        <v>1.03872271457191</v>
      </c>
      <c r="E902" s="51" t="n">
        <f aca="false">1+IF($G$9=$E$9,$F$9,IF(S902&lt;($F$9-$E$9)/($G$9-$E$9),$E$9+SQRT(S902*($G$9-$E$9)*($F$9-$E$9)),$G$9-SQRT((1-S902)*($G$9-$E$9)*($G$9-$F$9))))</f>
        <v>1.04180018816758</v>
      </c>
      <c r="F902" s="51" t="n">
        <f aca="false">1+IF($G$10=$E$10,$F$10,IF(T902&lt;($F$10-$E$10)/($G$10-$E$10),$E$10+SQRT(T902*($G$10-$E$10)*($F$10-$E$10)),$G$10-SQRT((1-T902)*($G$10-$E$10)*($G$10-$F$10))))</f>
        <v>1.03859870762795</v>
      </c>
      <c r="G902" s="52" t="n">
        <f aca="false">IF($G$11=$E$11,$F$11,IF(U902&lt;($F$11-$E$11)/($G$11-$E$11),$E$11+SQRT(U902*($G$11-$E$11)*($F$11-$E$11)),$G$11-SQRT((1-U902)*($G$11-$E$11)*($G$11-$F$11))))</f>
        <v>0.117789507869366</v>
      </c>
      <c r="H902" s="53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-2077197415.2559</v>
      </c>
      <c r="I902" s="53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-48232049.9506744</v>
      </c>
      <c r="J902" s="53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203880876.648676</v>
      </c>
      <c r="K902" s="53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507923738.629424</v>
      </c>
      <c r="L902" s="53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624188793.51574</v>
      </c>
      <c r="M902" s="53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801439563.29167</v>
      </c>
      <c r="N902" s="53" t="n">
        <f aca="false">IF(COUNT('Business Case'!B11:G11)=0,"",H902+NPV(G902,I902:M902))</f>
        <v>-734388542.717946</v>
      </c>
      <c r="P902" s="54" t="n">
        <f aca="true">RAND()</f>
        <v>0.250878491888093</v>
      </c>
      <c r="Q902" s="54" t="n">
        <f aca="true">RAND()</f>
        <v>0.376134375929847</v>
      </c>
      <c r="R902" s="54" t="n">
        <f aca="true">RAND()</f>
        <v>0.836171702662332</v>
      </c>
      <c r="S902" s="54" t="n">
        <f aca="true">RAND()</f>
        <v>0.774185460178093</v>
      </c>
      <c r="T902" s="54" t="n">
        <f aca="true">RAND()</f>
        <v>0.47899245641264</v>
      </c>
      <c r="U902" s="54" t="n">
        <f aca="true">RAND()</f>
        <v>0.991856207567345</v>
      </c>
    </row>
    <row r="903" customFormat="false" ht="15" hidden="false" customHeight="false" outlineLevel="0" collapsed="false">
      <c r="A903" s="50" t="n">
        <v>823</v>
      </c>
      <c r="B903" s="51" t="n">
        <f aca="false">1+IF($G$6=$E$6,$F$6,IF(P903&lt;($F$6-$E$6)/($G$6-$E$6),$E$6+SQRT(P903*($G$6-$E$6)*($F$6-$E$6)),$G$6-SQRT((1-P903)*($G$6-$E$6)*($G$6-$F$6))))</f>
        <v>0.975279528744207</v>
      </c>
      <c r="C903" s="51" t="n">
        <f aca="false">1+IF($G$7=$E$7,$F$7,IF(Q903&lt;($F$7-$E$7)/($G$7-$E$7),$E$7+SQRT(Q903*($G$7-$E$7)*($F$7-$E$7)),$G$7-SQRT((1-Q903)*($G$7-$E$7)*($G$7-$F$7))))</f>
        <v>1.04337628560806</v>
      </c>
      <c r="D903" s="51" t="n">
        <f aca="false">1+IF($G$8=$E$8,$F$8,IF(R903&lt;($F$8-$E$8)/($G$8-$E$8),$E$8+SQRT(R903*($G$8-$E$8)*($F$8-$E$8)),$G$8-SQRT((1-R903)*($G$8-$E$8)*($G$8-$F$8))))</f>
        <v>0.963769196445535</v>
      </c>
      <c r="E903" s="51" t="n">
        <f aca="false">1+IF($G$9=$E$9,$F$9,IF(S903&lt;($F$9-$E$9)/($G$9-$E$9),$E$9+SQRT(S903*($G$9-$E$9)*($F$9-$E$9)),$G$9-SQRT((1-S903)*($G$9-$E$9)*($G$9-$F$9))))</f>
        <v>0.992440273123964</v>
      </c>
      <c r="F903" s="51" t="n">
        <f aca="false">1+IF($G$10=$E$10,$F$10,IF(T903&lt;($F$10-$E$10)/($G$10-$E$10),$E$10+SQRT(T903*($G$10-$E$10)*($F$10-$E$10)),$G$10-SQRT((1-T903)*($G$10-$E$10)*($G$10-$F$10))))</f>
        <v>1.05501634569665</v>
      </c>
      <c r="G903" s="52" t="n">
        <f aca="false">IF($G$11=$E$11,$F$11,IF(U903&lt;($F$11-$E$11)/($G$11-$E$11),$E$11+SQRT(U903*($G$11-$E$11)*($F$11-$E$11)),$G$11-SQRT((1-U903)*($G$11-$E$11)*($G$11-$F$11))))</f>
        <v>0.0914954552809668</v>
      </c>
      <c r="H903" s="53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-2110032691.3933</v>
      </c>
      <c r="I903" s="53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19322603.7519129</v>
      </c>
      <c r="J903" s="53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338023379.217375</v>
      </c>
      <c r="K903" s="53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709474971.96767</v>
      </c>
      <c r="L903" s="53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850876250.659928</v>
      </c>
      <c r="M903" s="53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1044298528.44733</v>
      </c>
      <c r="N903" s="53" t="n">
        <f aca="false">IF(COUNT('Business Case'!B11:G11)=0,"",H903+NPV(G903,I903:M903))</f>
        <v>10565780.334739</v>
      </c>
      <c r="P903" s="54" t="n">
        <f aca="true">RAND()</f>
        <v>0.318315239393914</v>
      </c>
      <c r="Q903" s="54" t="n">
        <f aca="true">RAND()</f>
        <v>0.783454924366986</v>
      </c>
      <c r="R903" s="54" t="n">
        <f aca="true">RAND()</f>
        <v>0.0291678108854974</v>
      </c>
      <c r="S903" s="54" t="n">
        <f aca="true">RAND()</f>
        <v>0.240156904378224</v>
      </c>
      <c r="T903" s="54" t="n">
        <f aca="true">RAND()</f>
        <v>0.579594799696943</v>
      </c>
      <c r="U903" s="54" t="n">
        <f aca="true">RAND()</f>
        <v>0.00745462165790451</v>
      </c>
    </row>
    <row r="904" customFormat="false" ht="15" hidden="false" customHeight="false" outlineLevel="0" collapsed="false">
      <c r="A904" s="50" t="n">
        <v>824</v>
      </c>
      <c r="B904" s="51" t="n">
        <f aca="false">1+IF($G$6=$E$6,$F$6,IF(P904&lt;($F$6-$E$6)/($G$6-$E$6),$E$6+SQRT(P904*($G$6-$E$6)*($F$6-$E$6)),$G$6-SQRT((1-P904)*($G$6-$E$6)*($G$6-$F$6))))</f>
        <v>1.02231632929583</v>
      </c>
      <c r="C904" s="51" t="n">
        <f aca="false">1+IF($G$7=$E$7,$F$7,IF(Q904&lt;($F$7-$E$7)/($G$7-$E$7),$E$7+SQRT(Q904*($G$7-$E$7)*($F$7-$E$7)),$G$7-SQRT((1-Q904)*($G$7-$E$7)*($G$7-$F$7))))</f>
        <v>0.979114820380587</v>
      </c>
      <c r="D904" s="51" t="n">
        <f aca="false">1+IF($G$8=$E$8,$F$8,IF(R904&lt;($F$8-$E$8)/($G$8-$E$8),$E$8+SQRT(R904*($G$8-$E$8)*($F$8-$E$8)),$G$8-SQRT((1-R904)*($G$8-$E$8)*($G$8-$F$8))))</f>
        <v>1.01559927007745</v>
      </c>
      <c r="E904" s="51" t="n">
        <f aca="false">1+IF($G$9=$E$9,$F$9,IF(S904&lt;($F$9-$E$9)/($G$9-$E$9),$E$9+SQRT(S904*($G$9-$E$9)*($F$9-$E$9)),$G$9-SQRT((1-S904)*($G$9-$E$9)*($G$9-$F$9))))</f>
        <v>1.04681191822567</v>
      </c>
      <c r="F904" s="51" t="n">
        <f aca="false">1+IF($G$10=$E$10,$F$10,IF(T904&lt;($F$10-$E$10)/($G$10-$E$10),$E$10+SQRT(T904*($G$10-$E$10)*($F$10-$E$10)),$G$10-SQRT((1-T904)*($G$10-$E$10)*($G$10-$F$10))))</f>
        <v>0.963820695988407</v>
      </c>
      <c r="G904" s="52" t="n">
        <f aca="false">IF($G$11=$E$11,$F$11,IF(U904&lt;($F$11-$E$11)/($G$11-$E$11),$E$11+SQRT(U904*($G$11-$E$11)*($F$11-$E$11)),$G$11-SQRT((1-U904)*($G$11-$E$11)*($G$11-$F$11))))</f>
        <v>0.107993572691042</v>
      </c>
      <c r="H904" s="53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-1927641391.97681</v>
      </c>
      <c r="I904" s="53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13686450.5993766</v>
      </c>
      <c r="J904" s="53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324501654.753016</v>
      </c>
      <c r="K904" s="53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683507893.706075</v>
      </c>
      <c r="L904" s="53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821706314.546442</v>
      </c>
      <c r="M904" s="53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1011969754.88679</v>
      </c>
      <c r="N904" s="53" t="n">
        <f aca="false">IF(COUNT('Business Case'!B11:G11)=0,"",H904+NPV(G904,I904:M904))</f>
        <v>2760674.13548636</v>
      </c>
      <c r="P904" s="54" t="n">
        <f aca="true">RAND()</f>
        <v>0.934851623005532</v>
      </c>
      <c r="Q904" s="54" t="n">
        <f aca="true">RAND()</f>
        <v>0.458315983999569</v>
      </c>
      <c r="R904" s="54" t="n">
        <f aca="true">RAND()</f>
        <v>0.601206344754127</v>
      </c>
      <c r="S904" s="54" t="n">
        <f aca="true">RAND()</f>
        <v>0.811401863811129</v>
      </c>
      <c r="T904" s="54" t="n">
        <f aca="true">RAND()</f>
        <v>0.0152809310083165</v>
      </c>
      <c r="U904" s="54" t="n">
        <f aca="true">RAND()</f>
        <v>0.759742838791196</v>
      </c>
    </row>
    <row r="905" customFormat="false" ht="15" hidden="false" customHeight="false" outlineLevel="0" collapsed="false">
      <c r="A905" s="50" t="n">
        <v>825</v>
      </c>
      <c r="B905" s="51" t="n">
        <f aca="false">1+IF($G$6=$E$6,$F$6,IF(P905&lt;($F$6-$E$6)/($G$6-$E$6),$E$6+SQRT(P905*($G$6-$E$6)*($F$6-$E$6)),$G$6-SQRT((1-P905)*($G$6-$E$6)*($G$6-$F$6))))</f>
        <v>1.0116924204019</v>
      </c>
      <c r="C905" s="51" t="n">
        <f aca="false">1+IF($G$7=$E$7,$F$7,IF(Q905&lt;($F$7-$E$7)/($G$7-$E$7),$E$7+SQRT(Q905*($G$7-$E$7)*($F$7-$E$7)),$G$7-SQRT((1-Q905)*($G$7-$E$7)*($G$7-$F$7))))</f>
        <v>1.03389017845246</v>
      </c>
      <c r="D905" s="51" t="n">
        <f aca="false">1+IF($G$8=$E$8,$F$8,IF(R905&lt;($F$8-$E$8)/($G$8-$E$8),$E$8+SQRT(R905*($G$8-$E$8)*($F$8-$E$8)),$G$8-SQRT((1-R905)*($G$8-$E$8)*($G$8-$F$8))))</f>
        <v>1.06119929244991</v>
      </c>
      <c r="E905" s="51" t="n">
        <f aca="false">1+IF($G$9=$E$9,$F$9,IF(S905&lt;($F$9-$E$9)/($G$9-$E$9),$E$9+SQRT(S905*($G$9-$E$9)*($F$9-$E$9)),$G$9-SQRT((1-S905)*($G$9-$E$9)*($G$9-$F$9))))</f>
        <v>1.05683465964666</v>
      </c>
      <c r="F905" s="51" t="n">
        <f aca="false">1+IF($G$10=$E$10,$F$10,IF(T905&lt;($F$10-$E$10)/($G$10-$E$10),$E$10+SQRT(T905*($G$10-$E$10)*($F$10-$E$10)),$G$10-SQRT((1-T905)*($G$10-$E$10)*($G$10-$F$10))))</f>
        <v>1.02111987276873</v>
      </c>
      <c r="G905" s="52" t="n">
        <f aca="false">IF($G$11=$E$11,$F$11,IF(U905&lt;($F$11-$E$11)/($G$11-$E$11),$E$11+SQRT(U905*($G$11-$E$11)*($F$11-$E$11)),$G$11-SQRT((1-U905)*($G$11-$E$11)*($G$11-$F$11))))</f>
        <v>0.115459177959556</v>
      </c>
      <c r="H905" s="53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-2042239745.53747</v>
      </c>
      <c r="I905" s="53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-11545377.5627864</v>
      </c>
      <c r="J905" s="53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283526664.703477</v>
      </c>
      <c r="K905" s="53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629654700.608178</v>
      </c>
      <c r="L905" s="53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764161077.330547</v>
      </c>
      <c r="M905" s="53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962980738.482093</v>
      </c>
      <c r="N905" s="53" t="n">
        <f aca="false">IF(COUNT('Business Case'!B11:G11)=0,"",H905+NPV(G905,I905:M905))</f>
        <v>-319820700.91412</v>
      </c>
      <c r="P905" s="54" t="n">
        <f aca="true">RAND()</f>
        <v>0.833058528603593</v>
      </c>
      <c r="Q905" s="54" t="n">
        <f aca="true">RAND()</f>
        <v>0.743209701718059</v>
      </c>
      <c r="R905" s="54" t="n">
        <f aca="true">RAND()</f>
        <v>0.966012826501546</v>
      </c>
      <c r="S905" s="54" t="n">
        <f aca="true">RAND()</f>
        <v>0.875783559478682</v>
      </c>
      <c r="T905" s="54" t="n">
        <f aca="true">RAND()</f>
        <v>0.360038001634524</v>
      </c>
      <c r="U905" s="54" t="n">
        <f aca="true">RAND()</f>
        <v>0.965634891995034</v>
      </c>
    </row>
    <row r="906" customFormat="false" ht="15" hidden="false" customHeight="false" outlineLevel="0" collapsed="false">
      <c r="A906" s="50" t="n">
        <v>826</v>
      </c>
      <c r="B906" s="51" t="n">
        <f aca="false">1+IF($G$6=$E$6,$F$6,IF(P906&lt;($F$6-$E$6)/($G$6-$E$6),$E$6+SQRT(P906*($G$6-$E$6)*($F$6-$E$6)),$G$6-SQRT((1-P906)*($G$6-$E$6)*($G$6-$F$6))))</f>
        <v>0.95369569896892</v>
      </c>
      <c r="C906" s="51" t="n">
        <f aca="false">1+IF($G$7=$E$7,$F$7,IF(Q906&lt;($F$7-$E$7)/($G$7-$E$7),$E$7+SQRT(Q906*($G$7-$E$7)*($F$7-$E$7)),$G$7-SQRT((1-Q906)*($G$7-$E$7)*($G$7-$F$7))))</f>
        <v>1.08054453901463</v>
      </c>
      <c r="D906" s="51" t="n">
        <f aca="false">1+IF($G$8=$E$8,$F$8,IF(R906&lt;($F$8-$E$8)/($G$8-$E$8),$E$8+SQRT(R906*($G$8-$E$8)*($F$8-$E$8)),$G$8-SQRT((1-R906)*($G$8-$E$8)*($G$8-$F$8))))</f>
        <v>0.973432695077549</v>
      </c>
      <c r="E906" s="51" t="n">
        <f aca="false">1+IF($G$9=$E$9,$F$9,IF(S906&lt;($F$9-$E$9)/($G$9-$E$9),$E$9+SQRT(S906*($G$9-$E$9)*($F$9-$E$9)),$G$9-SQRT((1-S906)*($G$9-$E$9)*($G$9-$F$9))))</f>
        <v>0.998859649682846</v>
      </c>
      <c r="F906" s="51" t="n">
        <f aca="false">1+IF($G$10=$E$10,$F$10,IF(T906&lt;($F$10-$E$10)/($G$10-$E$10),$E$10+SQRT(T906*($G$10-$E$10)*($F$10-$E$10)),$G$10-SQRT((1-T906)*($G$10-$E$10)*($G$10-$F$10))))</f>
        <v>1.11432015563496</v>
      </c>
      <c r="G906" s="52" t="n">
        <f aca="false">IF($G$11=$E$11,$F$11,IF(U906&lt;($F$11-$E$11)/($G$11-$E$11),$E$11+SQRT(U906*($G$11-$E$11)*($F$11-$E$11)),$G$11-SQRT((1-U906)*($G$11-$E$11)*($G$11-$F$11))))</f>
        <v>0.108129161504142</v>
      </c>
      <c r="H906" s="53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-2228640311.26992</v>
      </c>
      <c r="I906" s="53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-1285681.15369603</v>
      </c>
      <c r="J906" s="53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304320169.061236</v>
      </c>
      <c r="K906" s="53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665642027.057915</v>
      </c>
      <c r="L906" s="53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803125092.87638</v>
      </c>
      <c r="M906" s="53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999004562.817227</v>
      </c>
      <c r="N906" s="53" t="n">
        <f aca="false">IF(COUNT('Business Case'!B11:G11)=0,"",H906+NPV(G906,I906:M906))</f>
        <v>-362284526.571569</v>
      </c>
      <c r="P906" s="54" t="n">
        <f aca="true">RAND()</f>
        <v>0.118270846771259</v>
      </c>
      <c r="Q906" s="54" t="n">
        <f aca="true">RAND()</f>
        <v>0.908113122653515</v>
      </c>
      <c r="R906" s="54" t="n">
        <f aca="true">RAND()</f>
        <v>0.08447556901498</v>
      </c>
      <c r="S906" s="54" t="n">
        <f aca="true">RAND()</f>
        <v>0.318302048950727</v>
      </c>
      <c r="T906" s="54" t="n">
        <f aca="true">RAND()</f>
        <v>0.853179285391649</v>
      </c>
      <c r="U906" s="54" t="n">
        <f aca="true">RAND()</f>
        <v>0.76513865567544</v>
      </c>
    </row>
    <row r="907" customFormat="false" ht="15" hidden="false" customHeight="false" outlineLevel="0" collapsed="false">
      <c r="A907" s="50" t="n">
        <v>827</v>
      </c>
      <c r="B907" s="51" t="n">
        <f aca="false">1+IF($G$6=$E$6,$F$6,IF(P907&lt;($F$6-$E$6)/($G$6-$E$6),$E$6+SQRT(P907*($G$6-$E$6)*($F$6-$E$6)),$G$6-SQRT((1-P907)*($G$6-$E$6)*($G$6-$F$6))))</f>
        <v>0.999827025478962</v>
      </c>
      <c r="C907" s="51" t="n">
        <f aca="false">1+IF($G$7=$E$7,$F$7,IF(Q907&lt;($F$7-$E$7)/($G$7-$E$7),$E$7+SQRT(Q907*($G$7-$E$7)*($F$7-$E$7)),$G$7-SQRT((1-Q907)*($G$7-$E$7)*($G$7-$F$7))))</f>
        <v>1.03355911813259</v>
      </c>
      <c r="D907" s="51" t="n">
        <f aca="false">1+IF($G$8=$E$8,$F$8,IF(R907&lt;($F$8-$E$8)/($G$8-$E$8),$E$8+SQRT(R907*($G$8-$E$8)*($F$8-$E$8)),$G$8-SQRT((1-R907)*($G$8-$E$8)*($G$8-$F$8))))</f>
        <v>0.997707768393406</v>
      </c>
      <c r="E907" s="51" t="n">
        <f aca="false">1+IF($G$9=$E$9,$F$9,IF(S907&lt;($F$9-$E$9)/($G$9-$E$9),$E$9+SQRT(S907*($G$9-$E$9)*($F$9-$E$9)),$G$9-SQRT((1-S907)*($G$9-$E$9)*($G$9-$F$9))))</f>
        <v>0.992603082628145</v>
      </c>
      <c r="F907" s="51" t="n">
        <f aca="false">1+IF($G$10=$E$10,$F$10,IF(T907&lt;($F$10-$E$10)/($G$10-$E$10),$E$10+SQRT(T907*($G$10-$E$10)*($F$10-$E$10)),$G$10-SQRT((1-T907)*($G$10-$E$10)*($G$10-$F$10))))</f>
        <v>1.0269354472861</v>
      </c>
      <c r="G907" s="52" t="n">
        <f aca="false">IF($G$11=$E$11,$F$11,IF(U907&lt;($F$11-$E$11)/($G$11-$E$11),$E$11+SQRT(U907*($G$11-$E$11)*($F$11-$E$11)),$G$11-SQRT((1-U907)*($G$11-$E$11)*($G$11-$F$11))))</f>
        <v>0.100428616031205</v>
      </c>
      <c r="H907" s="53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-2053870894.5722</v>
      </c>
      <c r="I907" s="53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21113996.0076792</v>
      </c>
      <c r="J907" s="53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339640131.853929</v>
      </c>
      <c r="K907" s="53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709513040.064484</v>
      </c>
      <c r="L907" s="53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851402043.186727</v>
      </c>
      <c r="M907" s="53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1047826977.97427</v>
      </c>
      <c r="N907" s="53" t="n">
        <f aca="false">IF(COUNT('Business Case'!B11:G11)=0,"",H907+NPV(G907,I907:M907))</f>
        <v>8202479.77448249</v>
      </c>
      <c r="P907" s="54" t="n">
        <f aca="true">RAND()</f>
        <v>0.663786874668634</v>
      </c>
      <c r="Q907" s="54" t="n">
        <f aca="true">RAND()</f>
        <v>0.741743257713156</v>
      </c>
      <c r="R907" s="54" t="n">
        <f aca="true">RAND()</f>
        <v>0.350158640781368</v>
      </c>
      <c r="S907" s="54" t="n">
        <f aca="true">RAND()</f>
        <v>0.242003019922743</v>
      </c>
      <c r="T907" s="54" t="n">
        <f aca="true">RAND()</f>
        <v>0.400973211878745</v>
      </c>
      <c r="U907" s="54" t="n">
        <f aca="true">RAND()</f>
        <v>0.361601549243299</v>
      </c>
    </row>
    <row r="908" customFormat="false" ht="15" hidden="false" customHeight="false" outlineLevel="0" collapsed="false">
      <c r="A908" s="50" t="n">
        <v>828</v>
      </c>
      <c r="B908" s="51" t="n">
        <f aca="false">1+IF($G$6=$E$6,$F$6,IF(P908&lt;($F$6-$E$6)/($G$6-$E$6),$E$6+SQRT(P908*($G$6-$E$6)*($F$6-$E$6)),$G$6-SQRT((1-P908)*($G$6-$E$6)*($G$6-$F$6))))</f>
        <v>0.932631151095056</v>
      </c>
      <c r="C908" s="51" t="n">
        <f aca="false">1+IF($G$7=$E$7,$F$7,IF(Q908&lt;($F$7-$E$7)/($G$7-$E$7),$E$7+SQRT(Q908*($G$7-$E$7)*($F$7-$E$7)),$G$7-SQRT((1-Q908)*($G$7-$E$7)*($G$7-$F$7))))</f>
        <v>1.00284614600958</v>
      </c>
      <c r="D908" s="51" t="n">
        <f aca="false">1+IF($G$8=$E$8,$F$8,IF(R908&lt;($F$8-$E$8)/($G$8-$E$8),$E$8+SQRT(R908*($G$8-$E$8)*($F$8-$E$8)),$G$8-SQRT((1-R908)*($G$8-$E$8)*($G$8-$F$8))))</f>
        <v>0.986716299311436</v>
      </c>
      <c r="E908" s="51" t="n">
        <f aca="false">1+IF($G$9=$E$9,$F$9,IF(S908&lt;($F$9-$E$9)/($G$9-$E$9),$E$9+SQRT(S908*($G$9-$E$9)*($F$9-$E$9)),$G$9-SQRT((1-S908)*($G$9-$E$9)*($G$9-$F$9))))</f>
        <v>1.06439128199569</v>
      </c>
      <c r="F908" s="51" t="n">
        <f aca="false">1+IF($G$10=$E$10,$F$10,IF(T908&lt;($F$10-$E$10)/($G$10-$E$10),$E$10+SQRT(T908*($G$10-$E$10)*($F$10-$E$10)),$G$10-SQRT((1-T908)*($G$10-$E$10)*($G$10-$F$10))))</f>
        <v>1.09587408890268</v>
      </c>
      <c r="G908" s="52" t="n">
        <f aca="false">IF($G$11=$E$11,$F$11,IF(U908&lt;($F$11-$E$11)/($G$11-$E$11),$E$11+SQRT(U908*($G$11-$E$11)*($F$11-$E$11)),$G$11-SQRT((1-U908)*($G$11-$E$11)*($G$11-$F$11))))</f>
        <v>0.104195710519777</v>
      </c>
      <c r="H908" s="53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-2191748177.80536</v>
      </c>
      <c r="I908" s="53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-49920294.5233939</v>
      </c>
      <c r="J908" s="53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209588463.341639</v>
      </c>
      <c r="K908" s="53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523890925.651807</v>
      </c>
      <c r="L908" s="53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642717313.739067</v>
      </c>
      <c r="M908" s="53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820496392.133099</v>
      </c>
      <c r="N908" s="53" t="n">
        <f aca="false">IF(COUNT('Business Case'!B11:G11)=0,"",H908+NPV(G908,I908:M908))</f>
        <v>-743712877.055535</v>
      </c>
      <c r="P908" s="54" t="n">
        <f aca="true">RAND()</f>
        <v>0.0166193727068896</v>
      </c>
      <c r="Q908" s="54" t="n">
        <f aca="true">RAND()</f>
        <v>0.587537966776516</v>
      </c>
      <c r="R908" s="54" t="n">
        <f aca="true">RAND()</f>
        <v>0.207397943865683</v>
      </c>
      <c r="S908" s="54" t="n">
        <f aca="true">RAND()</f>
        <v>0.915467946805961</v>
      </c>
      <c r="T908" s="54" t="n">
        <f aca="true">RAND()</f>
        <v>0.783155892763063</v>
      </c>
      <c r="U908" s="54" t="n">
        <f aca="true">RAND()</f>
        <v>0.583707390042189</v>
      </c>
    </row>
    <row r="909" customFormat="false" ht="15" hidden="false" customHeight="false" outlineLevel="0" collapsed="false">
      <c r="A909" s="50" t="n">
        <v>829</v>
      </c>
      <c r="B909" s="51" t="n">
        <f aca="false">1+IF($G$6=$E$6,$F$6,IF(P909&lt;($F$6-$E$6)/($G$6-$E$6),$E$6+SQRT(P909*($G$6-$E$6)*($F$6-$E$6)),$G$6-SQRT((1-P909)*($G$6-$E$6)*($G$6-$F$6))))</f>
        <v>0.979648476584196</v>
      </c>
      <c r="C909" s="51" t="n">
        <f aca="false">1+IF($G$7=$E$7,$F$7,IF(Q909&lt;($F$7-$E$7)/($G$7-$E$7),$E$7+SQRT(Q909*($G$7-$E$7)*($F$7-$E$7)),$G$7-SQRT((1-Q909)*($G$7-$E$7)*($G$7-$F$7))))</f>
        <v>0.991924684402589</v>
      </c>
      <c r="D909" s="51" t="n">
        <f aca="false">1+IF($G$8=$E$8,$F$8,IF(R909&lt;($F$8-$E$8)/($G$8-$E$8),$E$8+SQRT(R909*($G$8-$E$8)*($F$8-$E$8)),$G$8-SQRT((1-R909)*($G$8-$E$8)*($G$8-$F$8))))</f>
        <v>1.06370738263211</v>
      </c>
      <c r="E909" s="51" t="n">
        <f aca="false">1+IF($G$9=$E$9,$F$9,IF(S909&lt;($F$9-$E$9)/($G$9-$E$9),$E$9+SQRT(S909*($G$9-$E$9)*($F$9-$E$9)),$G$9-SQRT((1-S909)*($G$9-$E$9)*($G$9-$F$9))))</f>
        <v>1.02821321404543</v>
      </c>
      <c r="F909" s="51" t="n">
        <f aca="false">1+IF($G$10=$E$10,$F$10,IF(T909&lt;($F$10-$E$10)/($G$10-$E$10),$E$10+SQRT(T909*($G$10-$E$10)*($F$10-$E$10)),$G$10-SQRT((1-T909)*($G$10-$E$10)*($G$10-$F$10))))</f>
        <v>1.08317758385192</v>
      </c>
      <c r="G909" s="52" t="n">
        <f aca="false">IF($G$11=$E$11,$F$11,IF(U909&lt;($F$11-$E$11)/($G$11-$E$11),$E$11+SQRT(U909*($G$11-$E$11)*($F$11-$E$11)),$G$11-SQRT((1-U909)*($G$11-$E$11)*($G$11-$F$11))))</f>
        <v>0.10288184198115</v>
      </c>
      <c r="H909" s="53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-2166355167.70384</v>
      </c>
      <c r="I909" s="53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-49117374.0647978</v>
      </c>
      <c r="J909" s="53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206669801.601888</v>
      </c>
      <c r="K909" s="53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516615856.46117</v>
      </c>
      <c r="L909" s="53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635461496.556087</v>
      </c>
      <c r="M909" s="53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820169361.689202</v>
      </c>
      <c r="N909" s="53" t="n">
        <f aca="false">IF(COUNT('Business Case'!B11:G11)=0,"",H909+NPV(G909,I909:M909))</f>
        <v>-723722350.464425</v>
      </c>
      <c r="P909" s="54" t="n">
        <f aca="true">RAND()</f>
        <v>0.370618829043263</v>
      </c>
      <c r="Q909" s="54" t="n">
        <f aca="true">RAND()</f>
        <v>0.526215492614761</v>
      </c>
      <c r="R909" s="54" t="n">
        <f aca="true">RAND()</f>
        <v>0.974476021086864</v>
      </c>
      <c r="S909" s="54" t="n">
        <f aca="true">RAND()</f>
        <v>0.656443824154197</v>
      </c>
      <c r="T909" s="54" t="n">
        <f aca="true">RAND()</f>
        <v>0.72705046170649</v>
      </c>
      <c r="U909" s="54" t="n">
        <f aca="true">RAND()</f>
        <v>0.511614443402785</v>
      </c>
    </row>
    <row r="910" customFormat="false" ht="15" hidden="false" customHeight="false" outlineLevel="0" collapsed="false">
      <c r="A910" s="50" t="n">
        <v>830</v>
      </c>
      <c r="B910" s="51" t="n">
        <f aca="false">1+IF($G$6=$E$6,$F$6,IF(P910&lt;($F$6-$E$6)/($G$6-$E$6),$E$6+SQRT(P910*($G$6-$E$6)*($F$6-$E$6)),$G$6-SQRT((1-P910)*($G$6-$E$6)*($G$6-$F$6))))</f>
        <v>0.991340915644213</v>
      </c>
      <c r="C910" s="51" t="n">
        <f aca="false">1+IF($G$7=$E$7,$F$7,IF(Q910&lt;($F$7-$E$7)/($G$7-$E$7),$E$7+SQRT(Q910*($G$7-$E$7)*($F$7-$E$7)),$G$7-SQRT((1-Q910)*($G$7-$E$7)*($G$7-$F$7))))</f>
        <v>0.935300547382245</v>
      </c>
      <c r="D910" s="51" t="n">
        <f aca="false">1+IF($G$8=$E$8,$F$8,IF(R910&lt;($F$8-$E$8)/($G$8-$E$8),$E$8+SQRT(R910*($G$8-$E$8)*($F$8-$E$8)),$G$8-SQRT((1-R910)*($G$8-$E$8)*($G$8-$F$8))))</f>
        <v>1.02304740504634</v>
      </c>
      <c r="E910" s="51" t="n">
        <f aca="false">1+IF($G$9=$E$9,$F$9,IF(S910&lt;($F$9-$E$9)/($G$9-$E$9),$E$9+SQRT(S910*($G$9-$E$9)*($F$9-$E$9)),$G$9-SQRT((1-S910)*($G$9-$E$9)*($G$9-$F$9))))</f>
        <v>1.01965010831553</v>
      </c>
      <c r="F910" s="51" t="n">
        <f aca="false">1+IF($G$10=$E$10,$F$10,IF(T910&lt;($F$10-$E$10)/($G$10-$E$10),$E$10+SQRT(T910*($G$10-$E$10)*($F$10-$E$10)),$G$10-SQRT((1-T910)*($G$10-$E$10)*($G$10-$F$10))))</f>
        <v>1.05811596367815</v>
      </c>
      <c r="G910" s="52" t="n">
        <f aca="false">IF($G$11=$E$11,$F$11,IF(U910&lt;($F$11-$E$11)/($G$11-$E$11),$E$11+SQRT(U910*($G$11-$E$11)*($F$11-$E$11)),$G$11-SQRT((1-U910)*($G$11-$E$11)*($G$11-$F$11))))</f>
        <v>0.111352841316521</v>
      </c>
      <c r="H910" s="53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-2116231927.3563</v>
      </c>
      <c r="I910" s="53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-29261158.2748792</v>
      </c>
      <c r="J910" s="53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240349661.402668</v>
      </c>
      <c r="K910" s="53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562866279.264123</v>
      </c>
      <c r="L910" s="53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684780643.278068</v>
      </c>
      <c r="M910" s="53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861023142.612597</v>
      </c>
      <c r="N910" s="53" t="n">
        <f aca="false">IF(COUNT('Business Case'!B11:G11)=0,"",H910+NPV(G910,I910:M910))</f>
        <v>-581134203.743453</v>
      </c>
      <c r="P910" s="54" t="n">
        <f aca="true">RAND()</f>
        <v>0.53015898384945</v>
      </c>
      <c r="Q910" s="54" t="n">
        <f aca="true">RAND()</f>
        <v>0.261517687456217</v>
      </c>
      <c r="R910" s="54" t="n">
        <f aca="true">RAND()</f>
        <v>0.688115570004233</v>
      </c>
      <c r="S910" s="54" t="n">
        <f aca="true">RAND()</f>
        <v>0.569592993752876</v>
      </c>
      <c r="T910" s="54" t="n">
        <f aca="true">RAND()</f>
        <v>0.597378404740386</v>
      </c>
      <c r="U910" s="54" t="n">
        <f aca="true">RAND()</f>
        <v>0.875377744504543</v>
      </c>
    </row>
    <row r="911" customFormat="false" ht="15" hidden="false" customHeight="false" outlineLevel="0" collapsed="false">
      <c r="A911" s="50" t="n">
        <v>831</v>
      </c>
      <c r="B911" s="51" t="n">
        <f aca="false">1+IF($G$6=$E$6,$F$6,IF(P911&lt;($F$6-$E$6)/($G$6-$E$6),$E$6+SQRT(P911*($G$6-$E$6)*($F$6-$E$6)),$G$6-SQRT((1-P911)*($G$6-$E$6)*($G$6-$F$6))))</f>
        <v>0.998523602321492</v>
      </c>
      <c r="C911" s="51" t="n">
        <f aca="false">1+IF($G$7=$E$7,$F$7,IF(Q911&lt;($F$7-$E$7)/($G$7-$E$7),$E$7+SQRT(Q911*($G$7-$E$7)*($F$7-$E$7)),$G$7-SQRT((1-Q911)*($G$7-$E$7)*($G$7-$F$7))))</f>
        <v>0.986266119617794</v>
      </c>
      <c r="D911" s="51" t="n">
        <f aca="false">1+IF($G$8=$E$8,$F$8,IF(R911&lt;($F$8-$E$8)/($G$8-$E$8),$E$8+SQRT(R911*($G$8-$E$8)*($F$8-$E$8)),$G$8-SQRT((1-R911)*($G$8-$E$8)*($G$8-$F$8))))</f>
        <v>0.988527706958456</v>
      </c>
      <c r="E911" s="51" t="n">
        <f aca="false">1+IF($G$9=$E$9,$F$9,IF(S911&lt;($F$9-$E$9)/($G$9-$E$9),$E$9+SQRT(S911*($G$9-$E$9)*($F$9-$E$9)),$G$9-SQRT((1-S911)*($G$9-$E$9)*($G$9-$F$9))))</f>
        <v>1.05786363529831</v>
      </c>
      <c r="F911" s="51" t="n">
        <f aca="false">1+IF($G$10=$E$10,$F$10,IF(T911&lt;($F$10-$E$10)/($G$10-$E$10),$E$10+SQRT(T911*($G$10-$E$10)*($F$10-$E$10)),$G$10-SQRT((1-T911)*($G$10-$E$10)*($G$10-$F$10))))</f>
        <v>1.06994432376328</v>
      </c>
      <c r="G911" s="52" t="n">
        <f aca="false">IF($G$11=$E$11,$F$11,IF(U911&lt;($F$11-$E$11)/($G$11-$E$11),$E$11+SQRT(U911*($G$11-$E$11)*($F$11-$E$11)),$G$11-SQRT((1-U911)*($G$11-$E$11)*($G$11-$F$11))))</f>
        <v>0.118765286715778</v>
      </c>
      <c r="H911" s="53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-2139888647.52656</v>
      </c>
      <c r="I911" s="53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-942009.818989098</v>
      </c>
      <c r="J911" s="53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306591172.005629</v>
      </c>
      <c r="K911" s="53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667621570.01841</v>
      </c>
      <c r="L911" s="53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804167664.178523</v>
      </c>
      <c r="M911" s="53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991360348.714007</v>
      </c>
      <c r="N911" s="53" t="n">
        <f aca="false">IF(COUNT('Business Case'!B11:G11)=0,"",H911+NPV(G911,I911:M911))</f>
        <v>-340044926.394991</v>
      </c>
      <c r="P911" s="54" t="n">
        <f aca="true">RAND()</f>
        <v>0.642287095994148</v>
      </c>
      <c r="Q911" s="54" t="n">
        <f aca="true">RAND()</f>
        <v>0.495643818821002</v>
      </c>
      <c r="R911" s="54" t="n">
        <f aca="true">RAND()</f>
        <v>0.228366800534866</v>
      </c>
      <c r="S911" s="54" t="n">
        <f aca="true">RAND()</f>
        <v>0.881635117981734</v>
      </c>
      <c r="T911" s="54" t="n">
        <f aca="true">RAND()</f>
        <v>0.661710421572188</v>
      </c>
      <c r="U911" s="54" t="n">
        <f aca="true">RAND()</f>
        <v>0.997459138509609</v>
      </c>
    </row>
    <row r="912" customFormat="false" ht="15" hidden="false" customHeight="false" outlineLevel="0" collapsed="false">
      <c r="A912" s="50" t="n">
        <v>832</v>
      </c>
      <c r="B912" s="51" t="n">
        <f aca="false">1+IF($G$6=$E$6,$F$6,IF(P912&lt;($F$6-$E$6)/($G$6-$E$6),$E$6+SQRT(P912*($G$6-$E$6)*($F$6-$E$6)),$G$6-SQRT((1-P912)*($G$6-$E$6)*($G$6-$F$6))))</f>
        <v>1.00997157230238</v>
      </c>
      <c r="C912" s="51" t="n">
        <f aca="false">1+IF($G$7=$E$7,$F$7,IF(Q912&lt;($F$7-$E$7)/($G$7-$E$7),$E$7+SQRT(Q912*($G$7-$E$7)*($F$7-$E$7)),$G$7-SQRT((1-Q912)*($G$7-$E$7)*($G$7-$F$7))))</f>
        <v>1.04663853279176</v>
      </c>
      <c r="D912" s="51" t="n">
        <f aca="false">1+IF($G$8=$E$8,$F$8,IF(R912&lt;($F$8-$E$8)/($G$8-$E$8),$E$8+SQRT(R912*($G$8-$E$8)*($F$8-$E$8)),$G$8-SQRT((1-R912)*($G$8-$E$8)*($G$8-$F$8))))</f>
        <v>0.986952374910183</v>
      </c>
      <c r="E912" s="51" t="n">
        <f aca="false">1+IF($G$9=$E$9,$F$9,IF(S912&lt;($F$9-$E$9)/($G$9-$E$9),$E$9+SQRT(S912*($G$9-$E$9)*($F$9-$E$9)),$G$9-SQRT((1-S912)*($G$9-$E$9)*($G$9-$F$9))))</f>
        <v>0.983766170458019</v>
      </c>
      <c r="F912" s="51" t="n">
        <f aca="false">1+IF($G$10=$E$10,$F$10,IF(T912&lt;($F$10-$E$10)/($G$10-$E$10),$E$10+SQRT(T912*($G$10-$E$10)*($F$10-$E$10)),$G$10-SQRT((1-T912)*($G$10-$E$10)*($G$10-$F$10))))</f>
        <v>1.07246802123548</v>
      </c>
      <c r="G912" s="52" t="n">
        <f aca="false">IF($G$11=$E$11,$F$11,IF(U912&lt;($F$11-$E$11)/($G$11-$E$11),$E$11+SQRT(U912*($G$11-$E$11)*($F$11-$E$11)),$G$11-SQRT((1-U912)*($G$11-$E$11)*($G$11-$F$11))))</f>
        <v>0.101754278087065</v>
      </c>
      <c r="H912" s="53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-2144936042.47096</v>
      </c>
      <c r="I912" s="53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35079198.2784463</v>
      </c>
      <c r="J912" s="53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372095524.652225</v>
      </c>
      <c r="K912" s="53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762735252.087777</v>
      </c>
      <c r="L912" s="53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911606545.234139</v>
      </c>
      <c r="M912" s="53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1112535392.52054</v>
      </c>
      <c r="N912" s="53" t="n">
        <f aca="false">IF(COUNT('Business Case'!B11:G11)=0,"",H912+NPV(G912,I912:M912))</f>
        <v>67761277.1727998</v>
      </c>
      <c r="P912" s="54" t="n">
        <f aca="true">RAND()</f>
        <v>0.812144485418494</v>
      </c>
      <c r="Q912" s="54" t="n">
        <f aca="true">RAND()</f>
        <v>0.796502992315433</v>
      </c>
      <c r="R912" s="54" t="n">
        <f aca="true">RAND()</f>
        <v>0.210073540231184</v>
      </c>
      <c r="S912" s="54" t="n">
        <f aca="true">RAND()</f>
        <v>0.152020568986661</v>
      </c>
      <c r="T912" s="54" t="n">
        <f aca="true">RAND()</f>
        <v>0.674711887848111</v>
      </c>
      <c r="U912" s="54" t="n">
        <f aca="true">RAND()</f>
        <v>0.445156053126415</v>
      </c>
    </row>
    <row r="913" customFormat="false" ht="15" hidden="false" customHeight="false" outlineLevel="0" collapsed="false">
      <c r="A913" s="50" t="n">
        <v>833</v>
      </c>
      <c r="B913" s="51" t="n">
        <f aca="false">1+IF($G$6=$E$6,$F$6,IF(P913&lt;($F$6-$E$6)/($G$6-$E$6),$E$6+SQRT(P913*($G$6-$E$6)*($F$6-$E$6)),$G$6-SQRT((1-P913)*($G$6-$E$6)*($G$6-$F$6))))</f>
        <v>0.980541980157383</v>
      </c>
      <c r="C913" s="51" t="n">
        <f aca="false">1+IF($G$7=$E$7,$F$7,IF(Q913&lt;($F$7-$E$7)/($G$7-$E$7),$E$7+SQRT(Q913*($G$7-$E$7)*($F$7-$E$7)),$G$7-SQRT((1-Q913)*($G$7-$E$7)*($G$7-$F$7))))</f>
        <v>0.973707382050521</v>
      </c>
      <c r="D913" s="51" t="n">
        <f aca="false">1+IF($G$8=$E$8,$F$8,IF(R913&lt;($F$8-$E$8)/($G$8-$E$8),$E$8+SQRT(R913*($G$8-$E$8)*($F$8-$E$8)),$G$8-SQRT((1-R913)*($G$8-$E$8)*($G$8-$F$8))))</f>
        <v>1.00434298994671</v>
      </c>
      <c r="E913" s="51" t="n">
        <f aca="false">1+IF($G$9=$E$9,$F$9,IF(S913&lt;($F$9-$E$9)/($G$9-$E$9),$E$9+SQRT(S913*($G$9-$E$9)*($F$9-$E$9)),$G$9-SQRT((1-S913)*($G$9-$E$9)*($G$9-$F$9))))</f>
        <v>1.04529983846833</v>
      </c>
      <c r="F913" s="51" t="n">
        <f aca="false">1+IF($G$10=$E$10,$F$10,IF(T913&lt;($F$10-$E$10)/($G$10-$E$10),$E$10+SQRT(T913*($G$10-$E$10)*($F$10-$E$10)),$G$10-SQRT((1-T913)*($G$10-$E$10)*($G$10-$F$10))))</f>
        <v>1.11291966900264</v>
      </c>
      <c r="G913" s="52" t="n">
        <f aca="false">IF($G$11=$E$11,$F$11,IF(U913&lt;($F$11-$E$11)/($G$11-$E$11),$E$11+SQRT(U913*($G$11-$E$11)*($F$11-$E$11)),$G$11-SQRT((1-U913)*($G$11-$E$11)*($G$11-$F$11))))</f>
        <v>0.107894712559389</v>
      </c>
      <c r="H913" s="53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-2225839338.00527</v>
      </c>
      <c r="I913" s="53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-28035530.6404062</v>
      </c>
      <c r="J913" s="53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253357351.048793</v>
      </c>
      <c r="K913" s="53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590396216.188124</v>
      </c>
      <c r="L913" s="53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717190382.350621</v>
      </c>
      <c r="M913" s="53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898671346.480819</v>
      </c>
      <c r="N913" s="53" t="n">
        <f aca="false">IF(COUNT('Business Case'!B11:G11)=0,"",H913+NPV(G913,I913:M913))</f>
        <v>-596132547.770243</v>
      </c>
      <c r="P913" s="54" t="n">
        <f aca="true">RAND()</f>
        <v>0.381805350143438</v>
      </c>
      <c r="Q913" s="54" t="n">
        <f aca="true">RAND()</f>
        <v>0.431060779697793</v>
      </c>
      <c r="R913" s="54" t="n">
        <f aca="true">RAND()</f>
        <v>0.449617002865087</v>
      </c>
      <c r="S913" s="54" t="n">
        <f aca="true">RAND()</f>
        <v>0.800526155227291</v>
      </c>
      <c r="T913" s="54" t="n">
        <f aca="true">RAND()</f>
        <v>0.848340319067794</v>
      </c>
      <c r="U913" s="54" t="n">
        <f aca="true">RAND()</f>
        <v>0.755770026633645</v>
      </c>
    </row>
    <row r="914" customFormat="false" ht="15" hidden="false" customHeight="false" outlineLevel="0" collapsed="false">
      <c r="A914" s="50" t="n">
        <v>834</v>
      </c>
      <c r="B914" s="51" t="n">
        <f aca="false">1+IF($G$6=$E$6,$F$6,IF(P914&lt;($F$6-$E$6)/($G$6-$E$6),$E$6+SQRT(P914*($G$6-$E$6)*($F$6-$E$6)),$G$6-SQRT((1-P914)*($G$6-$E$6)*($G$6-$F$6))))</f>
        <v>1.00109319976619</v>
      </c>
      <c r="C914" s="51" t="n">
        <f aca="false">1+IF($G$7=$E$7,$F$7,IF(Q914&lt;($F$7-$E$7)/($G$7-$E$7),$E$7+SQRT(Q914*($G$7-$E$7)*($F$7-$E$7)),$G$7-SQRT((1-Q914)*($G$7-$E$7)*($G$7-$F$7))))</f>
        <v>1.01851369417204</v>
      </c>
      <c r="D914" s="51" t="n">
        <f aca="false">1+IF($G$8=$E$8,$F$8,IF(R914&lt;($F$8-$E$8)/($G$8-$E$8),$E$8+SQRT(R914*($G$8-$E$8)*($F$8-$E$8)),$G$8-SQRT((1-R914)*($G$8-$E$8)*($G$8-$F$8))))</f>
        <v>1.0493492900693</v>
      </c>
      <c r="E914" s="51" t="n">
        <f aca="false">1+IF($G$9=$E$9,$F$9,IF(S914&lt;($F$9-$E$9)/($G$9-$E$9),$E$9+SQRT(S914*($G$9-$E$9)*($F$9-$E$9)),$G$9-SQRT((1-S914)*($G$9-$E$9)*($G$9-$F$9))))</f>
        <v>1.07495153465174</v>
      </c>
      <c r="F914" s="51" t="n">
        <f aca="false">1+IF($G$10=$E$10,$F$10,IF(T914&lt;($F$10-$E$10)/($G$10-$E$10),$E$10+SQRT(T914*($G$10-$E$10)*($F$10-$E$10)),$G$10-SQRT((1-T914)*($G$10-$E$10)*($G$10-$F$10))))</f>
        <v>1.01064962510499</v>
      </c>
      <c r="G914" s="52" t="n">
        <f aca="false">IF($G$11=$E$11,$F$11,IF(U914&lt;($F$11-$E$11)/($G$11-$E$11),$E$11+SQRT(U914*($G$11-$E$11)*($F$11-$E$11)),$G$11-SQRT((1-U914)*($G$11-$E$11)*($G$11-$F$11))))</f>
        <v>0.0997226316492595</v>
      </c>
      <c r="H914" s="53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-2021299250.20998</v>
      </c>
      <c r="I914" s="53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-18760634.4378001</v>
      </c>
      <c r="J914" s="53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269259272.442507</v>
      </c>
      <c r="K914" s="53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607811660.578063</v>
      </c>
      <c r="L914" s="53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739056609.924919</v>
      </c>
      <c r="M914" s="53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932867335.385398</v>
      </c>
      <c r="N914" s="53" t="n">
        <f aca="false">IF(COUNT('Business Case'!B11:G11)=0,"",H914+NPV(G914,I914:M914))</f>
        <v>-273451452.846447</v>
      </c>
      <c r="P914" s="54" t="n">
        <f aca="true">RAND()</f>
        <v>0.684637686576283</v>
      </c>
      <c r="Q914" s="54" t="n">
        <f aca="true">RAND()</f>
        <v>0.670692407232711</v>
      </c>
      <c r="R914" s="54" t="n">
        <f aca="true">RAND()</f>
        <v>0.909666728917681</v>
      </c>
      <c r="S914" s="54" t="n">
        <f aca="true">RAND()</f>
        <v>0.958171625579803</v>
      </c>
      <c r="T914" s="54" t="n">
        <f aca="true">RAND()</f>
        <v>0.28292871054237</v>
      </c>
      <c r="U914" s="54" t="n">
        <f aca="true">RAND()</f>
        <v>0.315098553957273</v>
      </c>
    </row>
    <row r="915" customFormat="false" ht="15" hidden="false" customHeight="false" outlineLevel="0" collapsed="false">
      <c r="A915" s="50" t="n">
        <v>835</v>
      </c>
      <c r="B915" s="51" t="n">
        <f aca="false">1+IF($G$6=$E$6,$F$6,IF(P915&lt;($F$6-$E$6)/($G$6-$E$6),$E$6+SQRT(P915*($G$6-$E$6)*($F$6-$E$6)),$G$6-SQRT((1-P915)*($G$6-$E$6)*($G$6-$F$6))))</f>
        <v>0.949880797324975</v>
      </c>
      <c r="C915" s="51" t="n">
        <f aca="false">1+IF($G$7=$E$7,$F$7,IF(Q915&lt;($F$7-$E$7)/($G$7-$E$7),$E$7+SQRT(Q915*($G$7-$E$7)*($F$7-$E$7)),$G$7-SQRT((1-Q915)*($G$7-$E$7)*($G$7-$F$7))))</f>
        <v>0.876101368429177</v>
      </c>
      <c r="D915" s="51" t="n">
        <f aca="false">1+IF($G$8=$E$8,$F$8,IF(R915&lt;($F$8-$E$8)/($G$8-$E$8),$E$8+SQRT(R915*($G$8-$E$8)*($F$8-$E$8)),$G$8-SQRT((1-R915)*($G$8-$E$8)*($G$8-$F$8))))</f>
        <v>1.00080485081803</v>
      </c>
      <c r="E915" s="51" t="n">
        <f aca="false">1+IF($G$9=$E$9,$F$9,IF(S915&lt;($F$9-$E$9)/($G$9-$E$9),$E$9+SQRT(S915*($G$9-$E$9)*($F$9-$E$9)),$G$9-SQRT((1-S915)*($G$9-$E$9)*($G$9-$F$9))))</f>
        <v>1.04977491031513</v>
      </c>
      <c r="F915" s="51" t="n">
        <f aca="false">1+IF($G$10=$E$10,$F$10,IF(T915&lt;($F$10-$E$10)/($G$10-$E$10),$E$10+SQRT(T915*($G$10-$E$10)*($F$10-$E$10)),$G$10-SQRT((1-T915)*($G$10-$E$10)*($G$10-$F$10))))</f>
        <v>1.06129795594321</v>
      </c>
      <c r="G915" s="52" t="n">
        <f aca="false">IF($G$11=$E$11,$F$11,IF(U915&lt;($F$11-$E$11)/($G$11-$E$11),$E$11+SQRT(U915*($G$11-$E$11)*($F$11-$E$11)),$G$11-SQRT((1-U915)*($G$11-$E$11)*($G$11-$F$11))))</f>
        <v>0.0965414387238024</v>
      </c>
      <c r="H915" s="53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-2122595911.88642</v>
      </c>
      <c r="I915" s="53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-65778340.9520538</v>
      </c>
      <c r="J915" s="53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166991932.290217</v>
      </c>
      <c r="K915" s="53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452827103.329647</v>
      </c>
      <c r="L915" s="53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559177745.312532</v>
      </c>
      <c r="M915" s="53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717360775.274234</v>
      </c>
      <c r="N915" s="53" t="n">
        <f aca="false">IF(COUNT('Business Case'!B11:G11)=0,"",H915+NPV(G915,I915:M915))</f>
        <v>-860995355.573396</v>
      </c>
      <c r="P915" s="54" t="n">
        <f aca="true">RAND()</f>
        <v>0.0930064634141938</v>
      </c>
      <c r="Q915" s="54" t="n">
        <f aca="true">RAND()</f>
        <v>0.0827345468113337</v>
      </c>
      <c r="R915" s="54" t="n">
        <f aca="true">RAND()</f>
        <v>0.396935417888913</v>
      </c>
      <c r="S915" s="54" t="n">
        <f aca="true">RAND()</f>
        <v>0.831829357743135</v>
      </c>
      <c r="T915" s="54" t="n">
        <f aca="true">RAND()</f>
        <v>0.615234859489356</v>
      </c>
      <c r="U915" s="54" t="n">
        <f aca="true">RAND()</f>
        <v>0.142634735257538</v>
      </c>
    </row>
    <row r="916" customFormat="false" ht="15" hidden="false" customHeight="false" outlineLevel="0" collapsed="false">
      <c r="A916" s="50" t="n">
        <v>836</v>
      </c>
      <c r="B916" s="51" t="n">
        <f aca="false">1+IF($G$6=$E$6,$F$6,IF(P916&lt;($F$6-$E$6)/($G$6-$E$6),$E$6+SQRT(P916*($G$6-$E$6)*($F$6-$E$6)),$G$6-SQRT((1-P916)*($G$6-$E$6)*($G$6-$F$6))))</f>
        <v>0.994522222567851</v>
      </c>
      <c r="C916" s="51" t="n">
        <f aca="false">1+IF($G$7=$E$7,$F$7,IF(Q916&lt;($F$7-$E$7)/($G$7-$E$7),$E$7+SQRT(Q916*($G$7-$E$7)*($F$7-$E$7)),$G$7-SQRT((1-Q916)*($G$7-$E$7)*($G$7-$F$7))))</f>
        <v>1.05874237536053</v>
      </c>
      <c r="D916" s="51" t="n">
        <f aca="false">1+IF($G$8=$E$8,$F$8,IF(R916&lt;($F$8-$E$8)/($G$8-$E$8),$E$8+SQRT(R916*($G$8-$E$8)*($F$8-$E$8)),$G$8-SQRT((1-R916)*($G$8-$E$8)*($G$8-$F$8))))</f>
        <v>1.00748557120726</v>
      </c>
      <c r="E916" s="51" t="n">
        <f aca="false">1+IF($G$9=$E$9,$F$9,IF(S916&lt;($F$9-$E$9)/($G$9-$E$9),$E$9+SQRT(S916*($G$9-$E$9)*($F$9-$E$9)),$G$9-SQRT((1-S916)*($G$9-$E$9)*($G$9-$F$9))))</f>
        <v>1.03610043230779</v>
      </c>
      <c r="F916" s="51" t="n">
        <f aca="false">1+IF($G$10=$E$10,$F$10,IF(T916&lt;($F$10-$E$10)/($G$10-$E$10),$E$10+SQRT(T916*($G$10-$E$10)*($F$10-$E$10)),$G$10-SQRT((1-T916)*($G$10-$E$10)*($G$10-$F$10))))</f>
        <v>1.06685552784562</v>
      </c>
      <c r="G916" s="52" t="n">
        <f aca="false">IF($G$11=$E$11,$F$11,IF(U916&lt;($F$11-$E$11)/($G$11-$E$11),$E$11+SQRT(U916*($G$11-$E$11)*($F$11-$E$11)),$G$11-SQRT((1-U916)*($G$11-$E$11)*($G$11-$F$11))))</f>
        <v>0.105934650924123</v>
      </c>
      <c r="H916" s="53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-2133711055.69125</v>
      </c>
      <c r="I916" s="53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7783879.63391763</v>
      </c>
      <c r="J916" s="53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324171349.329379</v>
      </c>
      <c r="K916" s="53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693901595.417122</v>
      </c>
      <c r="L916" s="53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835753789.184152</v>
      </c>
      <c r="M916" s="53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1035897160.46113</v>
      </c>
      <c r="N916" s="53" t="n">
        <f aca="false">IF(COUNT('Business Case'!B11:G11)=0,"",H916+NPV(G916,I916:M916))</f>
        <v>-163825930.365579</v>
      </c>
      <c r="P916" s="54" t="n">
        <f aca="true">RAND()</f>
        <v>0.578496005880452</v>
      </c>
      <c r="Q916" s="54" t="n">
        <f aca="true">RAND()</f>
        <v>0.84137230371736</v>
      </c>
      <c r="R916" s="54" t="n">
        <f aca="true">RAND()</f>
        <v>0.494390155467546</v>
      </c>
      <c r="S916" s="54" t="n">
        <f aca="true">RAND()</f>
        <v>0.727789683249942</v>
      </c>
      <c r="T916" s="54" t="n">
        <f aca="true">RAND()</f>
        <v>0.645450990694649</v>
      </c>
      <c r="U916" s="54" t="n">
        <f aca="true">RAND()</f>
        <v>0.670276592289524</v>
      </c>
    </row>
    <row r="917" customFormat="false" ht="15" hidden="false" customHeight="false" outlineLevel="0" collapsed="false">
      <c r="A917" s="50" t="n">
        <v>837</v>
      </c>
      <c r="B917" s="51" t="n">
        <f aca="false">1+IF($G$6=$E$6,$F$6,IF(P917&lt;($F$6-$E$6)/($G$6-$E$6),$E$6+SQRT(P917*($G$6-$E$6)*($F$6-$E$6)),$G$6-SQRT((1-P917)*($G$6-$E$6)*($G$6-$F$6))))</f>
        <v>1.00071058031564</v>
      </c>
      <c r="C917" s="51" t="n">
        <f aca="false">1+IF($G$7=$E$7,$F$7,IF(Q917&lt;($F$7-$E$7)/($G$7-$E$7),$E$7+SQRT(Q917*($G$7-$E$7)*($F$7-$E$7)),$G$7-SQRT((1-Q917)*($G$7-$E$7)*($G$7-$F$7))))</f>
        <v>1.07617321946415</v>
      </c>
      <c r="D917" s="51" t="n">
        <f aca="false">1+IF($G$8=$E$8,$F$8,IF(R917&lt;($F$8-$E$8)/($G$8-$E$8),$E$8+SQRT(R917*($G$8-$E$8)*($F$8-$E$8)),$G$8-SQRT((1-R917)*($G$8-$E$8)*($G$8-$F$8))))</f>
        <v>0.990085968012475</v>
      </c>
      <c r="E917" s="51" t="n">
        <f aca="false">1+IF($G$9=$E$9,$F$9,IF(S917&lt;($F$9-$E$9)/($G$9-$E$9),$E$9+SQRT(S917*($G$9-$E$9)*($F$9-$E$9)),$G$9-SQRT((1-S917)*($G$9-$E$9)*($G$9-$F$9))))</f>
        <v>1.01249350008624</v>
      </c>
      <c r="F917" s="51" t="n">
        <f aca="false">1+IF($G$10=$E$10,$F$10,IF(T917&lt;($F$10-$E$10)/($G$10-$E$10),$E$10+SQRT(T917*($G$10-$E$10)*($F$10-$E$10)),$G$10-SQRT((1-T917)*($G$10-$E$10)*($G$10-$F$10))))</f>
        <v>1.09329787968185</v>
      </c>
      <c r="G917" s="52" t="n">
        <f aca="false">IF($G$11=$E$11,$F$11,IF(U917&lt;($F$11-$E$11)/($G$11-$E$11),$E$11+SQRT(U917*($G$11-$E$11)*($F$11-$E$11)),$G$11-SQRT((1-U917)*($G$11-$E$11)*($G$11-$F$11))))</f>
        <v>0.118073641749602</v>
      </c>
      <c r="H917" s="53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-2186595759.36371</v>
      </c>
      <c r="I917" s="53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27502066.3089473</v>
      </c>
      <c r="J917" s="53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364138958.432474</v>
      </c>
      <c r="K917" s="53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755440744.540094</v>
      </c>
      <c r="L917" s="53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904872016.670691</v>
      </c>
      <c r="M917" s="53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1109576377.82917</v>
      </c>
      <c r="N917" s="53" t="n">
        <f aca="false">IF(COUNT('Business Case'!B11:G11)=0,"",H917+NPV(G917,I917:M917))</f>
        <v>-116133749.385337</v>
      </c>
      <c r="P917" s="54" t="n">
        <f aca="true">RAND()</f>
        <v>0.67840447934709</v>
      </c>
      <c r="Q917" s="54" t="n">
        <f aca="true">RAND()</f>
        <v>0.896182980489735</v>
      </c>
      <c r="R917" s="54" t="n">
        <f aca="true">RAND()</f>
        <v>0.247213050999564</v>
      </c>
      <c r="S917" s="54" t="n">
        <f aca="true">RAND()</f>
        <v>0.489507498189582</v>
      </c>
      <c r="T917" s="54" t="n">
        <f aca="true">RAND()</f>
        <v>0.772293150392233</v>
      </c>
      <c r="U917" s="54" t="n">
        <f aca="true">RAND()</f>
        <v>0.993815239818541</v>
      </c>
    </row>
    <row r="918" customFormat="false" ht="15" hidden="false" customHeight="false" outlineLevel="0" collapsed="false">
      <c r="A918" s="50" t="n">
        <v>838</v>
      </c>
      <c r="B918" s="51" t="n">
        <f aca="false">1+IF($G$6=$E$6,$F$6,IF(P918&lt;($F$6-$E$6)/($G$6-$E$6),$E$6+SQRT(P918*($G$6-$E$6)*($F$6-$E$6)),$G$6-SQRT((1-P918)*($G$6-$E$6)*($G$6-$F$6))))</f>
        <v>0.988401484424697</v>
      </c>
      <c r="C918" s="51" t="n">
        <f aca="false">1+IF($G$7=$E$7,$F$7,IF(Q918&lt;($F$7-$E$7)/($G$7-$E$7),$E$7+SQRT(Q918*($G$7-$E$7)*($F$7-$E$7)),$G$7-SQRT((1-Q918)*($G$7-$E$7)*($G$7-$F$7))))</f>
        <v>1.09116337375156</v>
      </c>
      <c r="D918" s="51" t="n">
        <f aca="false">1+IF($G$8=$E$8,$F$8,IF(R918&lt;($F$8-$E$8)/($G$8-$E$8),$E$8+SQRT(R918*($G$8-$E$8)*($F$8-$E$8)),$G$8-SQRT((1-R918)*($G$8-$E$8)*($G$8-$F$8))))</f>
        <v>1.03258671898262</v>
      </c>
      <c r="E918" s="51" t="n">
        <f aca="false">1+IF($G$9=$E$9,$F$9,IF(S918&lt;($F$9-$E$9)/($G$9-$E$9),$E$9+SQRT(S918*($G$9-$E$9)*($F$9-$E$9)),$G$9-SQRT((1-S918)*($G$9-$E$9)*($G$9-$F$9))))</f>
        <v>0.972334616710476</v>
      </c>
      <c r="F918" s="51" t="n">
        <f aca="false">1+IF($G$10=$E$10,$F$10,IF(T918&lt;($F$10-$E$10)/($G$10-$E$10),$E$10+SQRT(T918*($G$10-$E$10)*($F$10-$E$10)),$G$10-SQRT((1-T918)*($G$10-$E$10)*($G$10-$F$10))))</f>
        <v>0.999019100306832</v>
      </c>
      <c r="G918" s="52" t="n">
        <f aca="false">IF($G$11=$E$11,$F$11,IF(U918&lt;($F$11-$E$11)/($G$11-$E$11),$E$11+SQRT(U918*($G$11-$E$11)*($F$11-$E$11)),$G$11-SQRT((1-U918)*($G$11-$E$11)*($G$11-$F$11))))</f>
        <v>0.0995325196234196</v>
      </c>
      <c r="H918" s="53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-1998038200.61366</v>
      </c>
      <c r="I918" s="53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12506656.4402163</v>
      </c>
      <c r="J918" s="53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319091034.122634</v>
      </c>
      <c r="K918" s="53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675626366.820393</v>
      </c>
      <c r="L918" s="53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815094378.524724</v>
      </c>
      <c r="M918" s="53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1020097083.81411</v>
      </c>
      <c r="N918" s="53" t="n">
        <f aca="false">IF(COUNT('Business Case'!B11:G11)=0,"",H918+NPV(G918,I918:M918))</f>
        <v>-22056492.7741487</v>
      </c>
      <c r="P918" s="54" t="n">
        <f aca="true">RAND()</f>
        <v>0.487371153281471</v>
      </c>
      <c r="Q918" s="54" t="n">
        <f aca="true">RAND()</f>
        <v>0.934061931651445</v>
      </c>
      <c r="R918" s="54" t="n">
        <f aca="true">RAND()</f>
        <v>0.78384430607371</v>
      </c>
      <c r="S918" s="54" t="n">
        <f aca="true">RAND()</f>
        <v>0.0665113471471843</v>
      </c>
      <c r="T918" s="54" t="n">
        <f aca="true">RAND()</f>
        <v>0.192229775591299</v>
      </c>
      <c r="U918" s="54" t="n">
        <f aca="true">RAND()</f>
        <v>0.3028964345696</v>
      </c>
    </row>
    <row r="919" customFormat="false" ht="15" hidden="false" customHeight="false" outlineLevel="0" collapsed="false">
      <c r="A919" s="50" t="n">
        <v>839</v>
      </c>
      <c r="B919" s="51" t="n">
        <f aca="false">1+IF($G$6=$E$6,$F$6,IF(P919&lt;($F$6-$E$6)/($G$6-$E$6),$E$6+SQRT(P919*($G$6-$E$6)*($F$6-$E$6)),$G$6-SQRT((1-P919)*($G$6-$E$6)*($G$6-$F$6))))</f>
        <v>0.971322923082397</v>
      </c>
      <c r="C919" s="51" t="n">
        <f aca="false">1+IF($G$7=$E$7,$F$7,IF(Q919&lt;($F$7-$E$7)/($G$7-$E$7),$E$7+SQRT(Q919*($G$7-$E$7)*($F$7-$E$7)),$G$7-SQRT((1-Q919)*($G$7-$E$7)*($G$7-$F$7))))</f>
        <v>0.938962798598913</v>
      </c>
      <c r="D919" s="51" t="n">
        <f aca="false">1+IF($G$8=$E$8,$F$8,IF(R919&lt;($F$8-$E$8)/($G$8-$E$8),$E$8+SQRT(R919*($G$8-$E$8)*($F$8-$E$8)),$G$8-SQRT((1-R919)*($G$8-$E$8)*($G$8-$F$8))))</f>
        <v>0.979169918373004</v>
      </c>
      <c r="E919" s="51" t="n">
        <f aca="false">1+IF($G$9=$E$9,$F$9,IF(S919&lt;($F$9-$E$9)/($G$9-$E$9),$E$9+SQRT(S919*($G$9-$E$9)*($F$9-$E$9)),$G$9-SQRT((1-S919)*($G$9-$E$9)*($G$9-$F$9))))</f>
        <v>0.975652694793647</v>
      </c>
      <c r="F919" s="51" t="n">
        <f aca="false">1+IF($G$10=$E$10,$F$10,IF(T919&lt;($F$10-$E$10)/($G$10-$E$10),$E$10+SQRT(T919*($G$10-$E$10)*($F$10-$E$10)),$G$10-SQRT((1-T919)*($G$10-$E$10)*($G$10-$F$10))))</f>
        <v>0.975424697044092</v>
      </c>
      <c r="G919" s="52" t="n">
        <f aca="false">IF($G$11=$E$11,$F$11,IF(U919&lt;($F$11-$E$11)/($G$11-$E$11),$E$11+SQRT(U919*($G$11-$E$11)*($F$11-$E$11)),$G$11-SQRT((1-U919)*($G$11-$E$11)*($G$11-$F$11))))</f>
        <v>0.105593702266002</v>
      </c>
      <c r="H919" s="53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-1950849394.08818</v>
      </c>
      <c r="I919" s="53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-7198369.96903966</v>
      </c>
      <c r="J919" s="53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269163493.881992</v>
      </c>
      <c r="K919" s="53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594296592.585228</v>
      </c>
      <c r="L919" s="53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717937181.146242</v>
      </c>
      <c r="M919" s="53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891297001.171596</v>
      </c>
      <c r="N919" s="53" t="n">
        <f aca="false">IF(COUNT('Business Case'!B11:G11)=0,"",H919+NPV(G919,I919:M919))</f>
        <v>-277317388.544211</v>
      </c>
      <c r="P919" s="54" t="n">
        <f aca="true">RAND()</f>
        <v>0.27437942017934</v>
      </c>
      <c r="Q919" s="54" t="n">
        <f aca="true">RAND()</f>
        <v>0.275866562777743</v>
      </c>
      <c r="R919" s="54" t="n">
        <f aca="true">RAND()</f>
        <v>0.130905251982722</v>
      </c>
      <c r="S919" s="54" t="n">
        <f aca="true">RAND()</f>
        <v>0.0877414333568024</v>
      </c>
      <c r="T919" s="54" t="n">
        <f aca="true">RAND()</f>
        <v>0.0517132175827076</v>
      </c>
      <c r="U919" s="54" t="n">
        <f aca="true">RAND()</f>
        <v>0.654097642665678</v>
      </c>
    </row>
    <row r="920" customFormat="false" ht="15" hidden="false" customHeight="false" outlineLevel="0" collapsed="false">
      <c r="A920" s="50" t="n">
        <v>840</v>
      </c>
      <c r="B920" s="51" t="n">
        <f aca="false">1+IF($G$6=$E$6,$F$6,IF(P920&lt;($F$6-$E$6)/($G$6-$E$6),$E$6+SQRT(P920*($G$6-$E$6)*($F$6-$E$6)),$G$6-SQRT((1-P920)*($G$6-$E$6)*($G$6-$F$6))))</f>
        <v>0.977975494835431</v>
      </c>
      <c r="C920" s="51" t="n">
        <f aca="false">1+IF($G$7=$E$7,$F$7,IF(Q920&lt;($F$7-$E$7)/($G$7-$E$7),$E$7+SQRT(Q920*($G$7-$E$7)*($F$7-$E$7)),$G$7-SQRT((1-Q920)*($G$7-$E$7)*($G$7-$F$7))))</f>
        <v>0.892065501860016</v>
      </c>
      <c r="D920" s="51" t="n">
        <f aca="false">1+IF($G$8=$E$8,$F$8,IF(R920&lt;($F$8-$E$8)/($G$8-$E$8),$E$8+SQRT(R920*($G$8-$E$8)*($F$8-$E$8)),$G$8-SQRT((1-R920)*($G$8-$E$8)*($G$8-$F$8))))</f>
        <v>1.07443537543351</v>
      </c>
      <c r="E920" s="51" t="n">
        <f aca="false">1+IF($G$9=$E$9,$F$9,IF(S920&lt;($F$9-$E$9)/($G$9-$E$9),$E$9+SQRT(S920*($G$9-$E$9)*($F$9-$E$9)),$G$9-SQRT((1-S920)*($G$9-$E$9)*($G$9-$F$9))))</f>
        <v>0.970881581412787</v>
      </c>
      <c r="F920" s="51" t="n">
        <f aca="false">1+IF($G$10=$E$10,$F$10,IF(T920&lt;($F$10-$E$10)/($G$10-$E$10),$E$10+SQRT(T920*($G$10-$E$10)*($F$10-$E$10)),$G$10-SQRT((1-T920)*($G$10-$E$10)*($G$10-$F$10))))</f>
        <v>1.05587578813834</v>
      </c>
      <c r="G920" s="52" t="n">
        <f aca="false">IF($G$11=$E$11,$F$11,IF(U920&lt;($F$11-$E$11)/($G$11-$E$11),$E$11+SQRT(U920*($G$11-$E$11)*($F$11-$E$11)),$G$11-SQRT((1-U920)*($G$11-$E$11)*($G$11-$F$11))))</f>
        <v>0.109168924397097</v>
      </c>
      <c r="H920" s="53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-2111751576.27668</v>
      </c>
      <c r="I920" s="53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-64958068.4538528</v>
      </c>
      <c r="J920" s="53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158956962.302502</v>
      </c>
      <c r="K920" s="53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435665782.465775</v>
      </c>
      <c r="L920" s="53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540454899.06421</v>
      </c>
      <c r="M920" s="53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706284150.63562</v>
      </c>
      <c r="N920" s="53" t="n">
        <f aca="false">IF(COUNT('Business Case'!B11:G11)=0,"",H920+NPV(G920,I920:M920))</f>
        <v>-944037604.403149</v>
      </c>
      <c r="P920" s="54" t="n">
        <f aca="true">RAND()</f>
        <v>0.350120625147197</v>
      </c>
      <c r="Q920" s="54" t="n">
        <f aca="true">RAND()</f>
        <v>0.121086523324809</v>
      </c>
      <c r="R920" s="54" t="n">
        <f aca="true">RAND()</f>
        <v>0.997022591676344</v>
      </c>
      <c r="S920" s="54" t="n">
        <f aca="true">RAND()</f>
        <v>0.0581387256398472</v>
      </c>
      <c r="T920" s="54" t="n">
        <f aca="true">RAND()</f>
        <v>0.584564231105114</v>
      </c>
      <c r="U920" s="54" t="n">
        <f aca="true">RAND()</f>
        <v>0.804479668806995</v>
      </c>
    </row>
    <row r="921" customFormat="false" ht="15" hidden="false" customHeight="false" outlineLevel="0" collapsed="false">
      <c r="A921" s="50" t="n">
        <v>841</v>
      </c>
      <c r="B921" s="51" t="n">
        <f aca="false">1+IF($G$6=$E$6,$F$6,IF(P921&lt;($F$6-$E$6)/($G$6-$E$6),$E$6+SQRT(P921*($G$6-$E$6)*($F$6-$E$6)),$G$6-SQRT((1-P921)*($G$6-$E$6)*($G$6-$F$6))))</f>
        <v>0.960177336105246</v>
      </c>
      <c r="C921" s="51" t="n">
        <f aca="false">1+IF($G$7=$E$7,$F$7,IF(Q921&lt;($F$7-$E$7)/($G$7-$E$7),$E$7+SQRT(Q921*($G$7-$E$7)*($F$7-$E$7)),$G$7-SQRT((1-Q921)*($G$7-$E$7)*($G$7-$F$7))))</f>
        <v>0.824151121395959</v>
      </c>
      <c r="D921" s="51" t="n">
        <f aca="false">1+IF($G$8=$E$8,$F$8,IF(R921&lt;($F$8-$E$8)/($G$8-$E$8),$E$8+SQRT(R921*($G$8-$E$8)*($F$8-$E$8)),$G$8-SQRT((1-R921)*($G$8-$E$8)*($G$8-$F$8))))</f>
        <v>1.04846209069558</v>
      </c>
      <c r="E921" s="51" t="n">
        <f aca="false">1+IF($G$9=$E$9,$F$9,IF(S921&lt;($F$9-$E$9)/($G$9-$E$9),$E$9+SQRT(S921*($G$9-$E$9)*($F$9-$E$9)),$G$9-SQRT((1-S921)*($G$9-$E$9)*($G$9-$F$9))))</f>
        <v>1.02381117227158</v>
      </c>
      <c r="F921" s="51" t="n">
        <f aca="false">1+IF($G$10=$E$10,$F$10,IF(T921&lt;($F$10-$E$10)/($G$10-$E$10),$E$10+SQRT(T921*($G$10-$E$10)*($F$10-$E$10)),$G$10-SQRT((1-T921)*($G$10-$E$10)*($G$10-$F$10))))</f>
        <v>1.01950185807704</v>
      </c>
      <c r="G921" s="52" t="n">
        <f aca="false">IF($G$11=$E$11,$F$11,IF(U921&lt;($F$11-$E$11)/($G$11-$E$11),$E$11+SQRT(U921*($G$11-$E$11)*($F$11-$E$11)),$G$11-SQRT((1-U921)*($G$11-$E$11)*($G$11-$F$11))))</f>
        <v>0.100500671761904</v>
      </c>
      <c r="H921" s="53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-2039003716.15409</v>
      </c>
      <c r="I921" s="53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-82747064.6520262</v>
      </c>
      <c r="J921" s="53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123064616.075231</v>
      </c>
      <c r="K921" s="53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379851389.706341</v>
      </c>
      <c r="L921" s="53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475803690.5318</v>
      </c>
      <c r="M921" s="53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626219930.405186</v>
      </c>
      <c r="N921" s="53" t="n">
        <f aca="false">IF(COUNT('Business Case'!B11:G11)=0,"",H921+NPV(G921,I921:M921))</f>
        <v>-1015242743.02854</v>
      </c>
      <c r="P921" s="54" t="n">
        <f aca="true">RAND()</f>
        <v>0.168147743386868</v>
      </c>
      <c r="Q921" s="54" t="n">
        <f aca="true">RAND()</f>
        <v>0.00833252378117642</v>
      </c>
      <c r="R921" s="54" t="n">
        <f aca="true">RAND()</f>
        <v>0.90436156506793</v>
      </c>
      <c r="S921" s="54" t="n">
        <f aca="true">RAND()</f>
        <v>0.613017501957953</v>
      </c>
      <c r="T921" s="54" t="n">
        <f aca="true">RAND()</f>
        <v>0.348408415247215</v>
      </c>
      <c r="U921" s="54" t="n">
        <f aca="true">RAND()</f>
        <v>0.366293663771668</v>
      </c>
    </row>
    <row r="922" customFormat="false" ht="15" hidden="false" customHeight="false" outlineLevel="0" collapsed="false">
      <c r="A922" s="50" t="n">
        <v>842</v>
      </c>
      <c r="B922" s="51" t="n">
        <f aca="false">1+IF($G$6=$E$6,$F$6,IF(P922&lt;($F$6-$E$6)/($G$6-$E$6),$E$6+SQRT(P922*($G$6-$E$6)*($F$6-$E$6)),$G$6-SQRT((1-P922)*($G$6-$E$6)*($G$6-$F$6))))</f>
        <v>1.01066840246465</v>
      </c>
      <c r="C922" s="51" t="n">
        <f aca="false">1+IF($G$7=$E$7,$F$7,IF(Q922&lt;($F$7-$E$7)/($G$7-$E$7),$E$7+SQRT(Q922*($G$7-$E$7)*($F$7-$E$7)),$G$7-SQRT((1-Q922)*($G$7-$E$7)*($G$7-$F$7))))</f>
        <v>1.09650947102541</v>
      </c>
      <c r="D922" s="51" t="n">
        <f aca="false">1+IF($G$8=$E$8,$F$8,IF(R922&lt;($F$8-$E$8)/($G$8-$E$8),$E$8+SQRT(R922*($G$8-$E$8)*($F$8-$E$8)),$G$8-SQRT((1-R922)*($G$8-$E$8)*($G$8-$F$8))))</f>
        <v>0.991516795989036</v>
      </c>
      <c r="E922" s="51" t="n">
        <f aca="false">1+IF($G$9=$E$9,$F$9,IF(S922&lt;($F$9-$E$9)/($G$9-$E$9),$E$9+SQRT(S922*($G$9-$E$9)*($F$9-$E$9)),$G$9-SQRT((1-S922)*($G$9-$E$9)*($G$9-$F$9))))</f>
        <v>1.01153976611772</v>
      </c>
      <c r="F922" s="51" t="n">
        <f aca="false">1+IF($G$10=$E$10,$F$10,IF(T922&lt;($F$10-$E$10)/($G$10-$E$10),$E$10+SQRT(T922*($G$10-$E$10)*($F$10-$E$10)),$G$10-SQRT((1-T922)*($G$10-$E$10)*($G$10-$F$10))))</f>
        <v>0.966819991853114</v>
      </c>
      <c r="G922" s="52" t="n">
        <f aca="false">IF($G$11=$E$11,$F$11,IF(U922&lt;($F$11-$E$11)/($G$11-$E$11),$E$11+SQRT(U922*($G$11-$E$11)*($F$11-$E$11)),$G$11-SQRT((1-U922)*($G$11-$E$11)*($G$11-$F$11))))</f>
        <v>0.099865711730617</v>
      </c>
      <c r="H922" s="53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-1933639983.70623</v>
      </c>
      <c r="I922" s="53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53165990.9881925</v>
      </c>
      <c r="J922" s="53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404304411.426744</v>
      </c>
      <c r="K922" s="53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803783831.457952</v>
      </c>
      <c r="L922" s="53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959129621.952875</v>
      </c>
      <c r="M922" s="53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1169777698.87094</v>
      </c>
      <c r="N922" s="53" t="n">
        <f aca="false">IF(COUNT('Business Case'!B11:G11)=0,"",H922+NPV(G922,I922:M922))</f>
        <v>435233896.510013</v>
      </c>
      <c r="P922" s="54" t="n">
        <f aca="true">RAND()</f>
        <v>0.820761955421748</v>
      </c>
      <c r="Q922" s="54" t="n">
        <f aca="true">RAND()</f>
        <v>0.945500253524165</v>
      </c>
      <c r="R922" s="54" t="n">
        <f aca="true">RAND()</f>
        <v>0.26517605372235</v>
      </c>
      <c r="S922" s="54" t="n">
        <f aca="true">RAND()</f>
        <v>0.478319134766111</v>
      </c>
      <c r="T922" s="54" t="n">
        <f aca="true">RAND()</f>
        <v>0.0226329700751055</v>
      </c>
      <c r="U922" s="54" t="n">
        <f aca="true">RAND()</f>
        <v>0.324440893172112</v>
      </c>
    </row>
    <row r="923" customFormat="false" ht="15" hidden="false" customHeight="false" outlineLevel="0" collapsed="false">
      <c r="A923" s="50" t="n">
        <v>843</v>
      </c>
      <c r="B923" s="51" t="n">
        <f aca="false">1+IF($G$6=$E$6,$F$6,IF(P923&lt;($F$6-$E$6)/($G$6-$E$6),$E$6+SQRT(P923*($G$6-$E$6)*($F$6-$E$6)),$G$6-SQRT((1-P923)*($G$6-$E$6)*($G$6-$F$6))))</f>
        <v>0.968257859740671</v>
      </c>
      <c r="C923" s="51" t="n">
        <f aca="false">1+IF($G$7=$E$7,$F$7,IF(Q923&lt;($F$7-$E$7)/($G$7-$E$7),$E$7+SQRT(Q923*($G$7-$E$7)*($F$7-$E$7)),$G$7-SQRT((1-Q923)*($G$7-$E$7)*($G$7-$F$7))))</f>
        <v>1.00737904816981</v>
      </c>
      <c r="D923" s="51" t="n">
        <f aca="false">1+IF($G$8=$E$8,$F$8,IF(R923&lt;($F$8-$E$8)/($G$8-$E$8),$E$8+SQRT(R923*($G$8-$E$8)*($F$8-$E$8)),$G$8-SQRT((1-R923)*($G$8-$E$8)*($G$8-$F$8))))</f>
        <v>0.998913791831545</v>
      </c>
      <c r="E923" s="51" t="n">
        <f aca="false">1+IF($G$9=$E$9,$F$9,IF(S923&lt;($F$9-$E$9)/($G$9-$E$9),$E$9+SQRT(S923*($G$9-$E$9)*($F$9-$E$9)),$G$9-SQRT((1-S923)*($G$9-$E$9)*($G$9-$F$9))))</f>
        <v>1.02174016499981</v>
      </c>
      <c r="F923" s="51" t="n">
        <f aca="false">1+IF($G$10=$E$10,$F$10,IF(T923&lt;($F$10-$E$10)/($G$10-$E$10),$E$10+SQRT(T923*($G$10-$E$10)*($F$10-$E$10)),$G$10-SQRT((1-T923)*($G$10-$E$10)*($G$10-$F$10))))</f>
        <v>1.00817212861911</v>
      </c>
      <c r="G923" s="52" t="n">
        <f aca="false">IF($G$11=$E$11,$F$11,IF(U923&lt;($F$11-$E$11)/($G$11-$E$11),$E$11+SQRT(U923*($G$11-$E$11)*($F$11-$E$11)),$G$11-SQRT((1-U923)*($G$11-$E$11)*($G$11-$F$11))))</f>
        <v>0.0973888610937528</v>
      </c>
      <c r="H923" s="53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-2016344257.23822</v>
      </c>
      <c r="I923" s="53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-12885841.9986263</v>
      </c>
      <c r="J923" s="53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270901855.317332</v>
      </c>
      <c r="K923" s="53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605098159.064246</v>
      </c>
      <c r="L923" s="53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733403974.829366</v>
      </c>
      <c r="M923" s="53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918808516.458271</v>
      </c>
      <c r="N923" s="53" t="n">
        <f aca="false">IF(COUNT('Business Case'!B11:G11)=0,"",H923+NPV(G923,I923:M923))</f>
        <v>-262224904.997305</v>
      </c>
      <c r="P923" s="54" t="n">
        <f aca="true">RAND()</f>
        <v>0.24258552361982</v>
      </c>
      <c r="Q923" s="54" t="n">
        <f aca="true">RAND()</f>
        <v>0.612557411410501</v>
      </c>
      <c r="R923" s="54" t="n">
        <f aca="true">RAND()</f>
        <v>0.36808600482149</v>
      </c>
      <c r="S923" s="54" t="n">
        <f aca="true">RAND()</f>
        <v>0.591693215049485</v>
      </c>
      <c r="T923" s="54" t="n">
        <f aca="true">RAND()</f>
        <v>0.264041355229547</v>
      </c>
      <c r="U923" s="54" t="n">
        <f aca="true">RAND()</f>
        <v>0.181984227542579</v>
      </c>
    </row>
    <row r="924" customFormat="false" ht="15" hidden="false" customHeight="false" outlineLevel="0" collapsed="false">
      <c r="A924" s="50" t="n">
        <v>844</v>
      </c>
      <c r="B924" s="51" t="n">
        <f aca="false">1+IF($G$6=$E$6,$F$6,IF(P924&lt;($F$6-$E$6)/($G$6-$E$6),$E$6+SQRT(P924*($G$6-$E$6)*($F$6-$E$6)),$G$6-SQRT((1-P924)*($G$6-$E$6)*($G$6-$F$6))))</f>
        <v>1.00500163133504</v>
      </c>
      <c r="C924" s="51" t="n">
        <f aca="false">1+IF($G$7=$E$7,$F$7,IF(Q924&lt;($F$7-$E$7)/($G$7-$E$7),$E$7+SQRT(Q924*($G$7-$E$7)*($F$7-$E$7)),$G$7-SQRT((1-Q924)*($G$7-$E$7)*($G$7-$F$7))))</f>
        <v>0.974965673878089</v>
      </c>
      <c r="D924" s="51" t="n">
        <f aca="false">1+IF($G$8=$E$8,$F$8,IF(R924&lt;($F$8-$E$8)/($G$8-$E$8),$E$8+SQRT(R924*($G$8-$E$8)*($F$8-$E$8)),$G$8-SQRT((1-R924)*($G$8-$E$8)*($G$8-$F$8))))</f>
        <v>0.998995767285322</v>
      </c>
      <c r="E924" s="51" t="n">
        <f aca="false">1+IF($G$9=$E$9,$F$9,IF(S924&lt;($F$9-$E$9)/($G$9-$E$9),$E$9+SQRT(S924*($G$9-$E$9)*($F$9-$E$9)),$G$9-SQRT((1-S924)*($G$9-$E$9)*($G$9-$F$9))))</f>
        <v>1.01499605078995</v>
      </c>
      <c r="F924" s="51" t="n">
        <f aca="false">1+IF($G$10=$E$10,$F$10,IF(T924&lt;($F$10-$E$10)/($G$10-$E$10),$E$10+SQRT(T924*($G$10-$E$10)*($F$10-$E$10)),$G$10-SQRT((1-T924)*($G$10-$E$10)*($G$10-$F$10))))</f>
        <v>1.10570913057408</v>
      </c>
      <c r="G924" s="52" t="n">
        <f aca="false">IF($G$11=$E$11,$F$11,IF(U924&lt;($F$11-$E$11)/($G$11-$E$11),$E$11+SQRT(U924*($G$11-$E$11)*($F$11-$E$11)),$G$11-SQRT((1-U924)*($G$11-$E$11)*($G$11-$F$11))))</f>
        <v>0.102577019858444</v>
      </c>
      <c r="H924" s="53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-2211418261.14817</v>
      </c>
      <c r="I924" s="53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-1740353.75748937</v>
      </c>
      <c r="J924" s="53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302217658.052565</v>
      </c>
      <c r="K924" s="53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661461126.391323</v>
      </c>
      <c r="L924" s="53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796643806.386544</v>
      </c>
      <c r="M924" s="53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982892191.375162</v>
      </c>
      <c r="N924" s="53" t="n">
        <f aca="false">IF(COUNT('Business Case'!B11:G11)=0,"",H924+NPV(G924,I924:M924))</f>
        <v>-328658120.318756</v>
      </c>
      <c r="P924" s="54" t="n">
        <f aca="true">RAND()</f>
        <v>0.744815456414945</v>
      </c>
      <c r="Q924" s="54" t="n">
        <f aca="true">RAND()</f>
        <v>0.437328386223054</v>
      </c>
      <c r="R924" s="54" t="n">
        <f aca="true">RAND()</f>
        <v>0.369320801827292</v>
      </c>
      <c r="S924" s="54" t="n">
        <f aca="true">RAND()</f>
        <v>0.518288574579635</v>
      </c>
      <c r="T924" s="54" t="n">
        <f aca="true">RAND()</f>
        <v>0.822184638858093</v>
      </c>
      <c r="U924" s="54" t="n">
        <f aca="true">RAND()</f>
        <v>0.49406627164493</v>
      </c>
    </row>
    <row r="925" customFormat="false" ht="15" hidden="false" customHeight="false" outlineLevel="0" collapsed="false">
      <c r="A925" s="50" t="n">
        <v>845</v>
      </c>
      <c r="B925" s="51" t="n">
        <f aca="false">1+IF($G$6=$E$6,$F$6,IF(P925&lt;($F$6-$E$6)/($G$6-$E$6),$E$6+SQRT(P925*($G$6-$E$6)*($F$6-$E$6)),$G$6-SQRT((1-P925)*($G$6-$E$6)*($G$6-$F$6))))</f>
        <v>0.969857155162332</v>
      </c>
      <c r="C925" s="51" t="n">
        <f aca="false">1+IF($G$7=$E$7,$F$7,IF(Q925&lt;($F$7-$E$7)/($G$7-$E$7),$E$7+SQRT(Q925*($G$7-$E$7)*($F$7-$E$7)),$G$7-SQRT((1-Q925)*($G$7-$E$7)*($G$7-$F$7))))</f>
        <v>0.957904581935962</v>
      </c>
      <c r="D925" s="51" t="n">
        <f aca="false">1+IF($G$8=$E$8,$F$8,IF(R925&lt;($F$8-$E$8)/($G$8-$E$8),$E$8+SQRT(R925*($G$8-$E$8)*($F$8-$E$8)),$G$8-SQRT((1-R925)*($G$8-$E$8)*($G$8-$F$8))))</f>
        <v>1.02461073916922</v>
      </c>
      <c r="E925" s="51" t="n">
        <f aca="false">1+IF($G$9=$E$9,$F$9,IF(S925&lt;($F$9-$E$9)/($G$9-$E$9),$E$9+SQRT(S925*($G$9-$E$9)*($F$9-$E$9)),$G$9-SQRT((1-S925)*($G$9-$E$9)*($G$9-$F$9))))</f>
        <v>1.03094569303446</v>
      </c>
      <c r="F925" s="51" t="n">
        <f aca="false">1+IF($G$10=$E$10,$F$10,IF(T925&lt;($F$10-$E$10)/($G$10-$E$10),$E$10+SQRT(T925*($G$10-$E$10)*($F$10-$E$10)),$G$10-SQRT((1-T925)*($G$10-$E$10)*($G$10-$F$10))))</f>
        <v>0.97112682874967</v>
      </c>
      <c r="G925" s="52" t="n">
        <f aca="false">IF($G$11=$E$11,$F$11,IF(U925&lt;($F$11-$E$11)/($G$11-$E$11),$E$11+SQRT(U925*($G$11-$E$11)*($F$11-$E$11)),$G$11-SQRT((1-U925)*($G$11-$E$11)*($G$11-$F$11))))</f>
        <v>0.103155869206004</v>
      </c>
      <c r="H925" s="53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-1942253657.49934</v>
      </c>
      <c r="I925" s="53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-33370039.7312338</v>
      </c>
      <c r="J925" s="53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225134027.927134</v>
      </c>
      <c r="K925" s="53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532194437.022986</v>
      </c>
      <c r="L925" s="53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650469757.552531</v>
      </c>
      <c r="M925" s="53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827059896.424692</v>
      </c>
      <c r="N925" s="53" t="n">
        <f aca="false">IF(COUNT('Business Case'!B11:G11)=0,"",H925+NPV(G925,I925:M925))</f>
        <v>-445628436.426008</v>
      </c>
      <c r="P925" s="54" t="n">
        <f aca="true">RAND()</f>
        <v>0.25893082509175</v>
      </c>
      <c r="Q925" s="54" t="n">
        <f aca="true">RAND()</f>
        <v>0.356197957091013</v>
      </c>
      <c r="R925" s="54" t="n">
        <f aca="true">RAND()</f>
        <v>0.705002863905707</v>
      </c>
      <c r="S925" s="54" t="n">
        <f aca="true">RAND()</f>
        <v>0.682100179300575</v>
      </c>
      <c r="T925" s="54" t="n">
        <f aca="true">RAND()</f>
        <v>0.0357074314414299</v>
      </c>
      <c r="U925" s="54" t="n">
        <f aca="true">RAND()</f>
        <v>0.527125429657927</v>
      </c>
    </row>
    <row r="926" customFormat="false" ht="15" hidden="false" customHeight="false" outlineLevel="0" collapsed="false">
      <c r="A926" s="50" t="n">
        <v>846</v>
      </c>
      <c r="B926" s="51" t="n">
        <f aca="false">1+IF($G$6=$E$6,$F$6,IF(P926&lt;($F$6-$E$6)/($G$6-$E$6),$E$6+SQRT(P926*($G$6-$E$6)*($F$6-$E$6)),$G$6-SQRT((1-P926)*($G$6-$E$6)*($G$6-$F$6))))</f>
        <v>1.01586324409973</v>
      </c>
      <c r="C926" s="51" t="n">
        <f aca="false">1+IF($G$7=$E$7,$F$7,IF(Q926&lt;($F$7-$E$7)/($G$7-$E$7),$E$7+SQRT(Q926*($G$7-$E$7)*($F$7-$E$7)),$G$7-SQRT((1-Q926)*($G$7-$E$7)*($G$7-$F$7))))</f>
        <v>0.989144968063899</v>
      </c>
      <c r="D926" s="51" t="n">
        <f aca="false">1+IF($G$8=$E$8,$F$8,IF(R926&lt;($F$8-$E$8)/($G$8-$E$8),$E$8+SQRT(R926*($G$8-$E$8)*($F$8-$E$8)),$G$8-SQRT((1-R926)*($G$8-$E$8)*($G$8-$F$8))))</f>
        <v>1.013217818281</v>
      </c>
      <c r="E926" s="51" t="n">
        <f aca="false">1+IF($G$9=$E$9,$F$9,IF(S926&lt;($F$9-$E$9)/($G$9-$E$9),$E$9+SQRT(S926*($G$9-$E$9)*($F$9-$E$9)),$G$9-SQRT((1-S926)*($G$9-$E$9)*($G$9-$F$9))))</f>
        <v>1.05711774544357</v>
      </c>
      <c r="F926" s="51" t="n">
        <f aca="false">1+IF($G$10=$E$10,$F$10,IF(T926&lt;($F$10-$E$10)/($G$10-$E$10),$E$10+SQRT(T926*($G$10-$E$10)*($F$10-$E$10)),$G$10-SQRT((1-T926)*($G$10-$E$10)*($G$10-$F$10))))</f>
        <v>1.00087018164934</v>
      </c>
      <c r="G926" s="52" t="n">
        <f aca="false">IF($G$11=$E$11,$F$11,IF(U926&lt;($F$11-$E$11)/($G$11-$E$11),$E$11+SQRT(U926*($G$11-$E$11)*($F$11-$E$11)),$G$11-SQRT((1-U926)*($G$11-$E$11)*($G$11-$F$11))))</f>
        <v>0.0997840298241181</v>
      </c>
      <c r="H926" s="53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-2001740363.29868</v>
      </c>
      <c r="I926" s="53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7477077.38368315</v>
      </c>
      <c r="J926" s="53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317454015.411194</v>
      </c>
      <c r="K926" s="53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677474462.521172</v>
      </c>
      <c r="L926" s="53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815527241.24822</v>
      </c>
      <c r="M926" s="53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1006526471.19655</v>
      </c>
      <c r="N926" s="53" t="n">
        <f aca="false">IF(COUNT('Business Case'!B11:G11)=0,"",H926+NPV(G926,I926:M926))</f>
        <v>-40142051.0978172</v>
      </c>
      <c r="P926" s="54" t="n">
        <f aca="true">RAND()</f>
        <v>0.878628544710599</v>
      </c>
      <c r="Q926" s="54" t="n">
        <f aca="true">RAND()</f>
        <v>0.511083127769906</v>
      </c>
      <c r="R926" s="54" t="n">
        <f aca="true">RAND()</f>
        <v>0.571167327389468</v>
      </c>
      <c r="S926" s="54" t="n">
        <f aca="true">RAND()</f>
        <v>0.877407482943828</v>
      </c>
      <c r="T926" s="54" t="n">
        <f aca="true">RAND()</f>
        <v>0.206946308872678</v>
      </c>
      <c r="U926" s="54" t="n">
        <f aca="true">RAND()</f>
        <v>0.319090798664108</v>
      </c>
    </row>
    <row r="927" customFormat="false" ht="15" hidden="false" customHeight="false" outlineLevel="0" collapsed="false">
      <c r="A927" s="50" t="n">
        <v>847</v>
      </c>
      <c r="B927" s="51" t="n">
        <f aca="false">1+IF($G$6=$E$6,$F$6,IF(P927&lt;($F$6-$E$6)/($G$6-$E$6),$E$6+SQRT(P927*($G$6-$E$6)*($F$6-$E$6)),$G$6-SQRT((1-P927)*($G$6-$E$6)*($G$6-$F$6))))</f>
        <v>0.996174590521249</v>
      </c>
      <c r="C927" s="51" t="n">
        <f aca="false">1+IF($G$7=$E$7,$F$7,IF(Q927&lt;($F$7-$E$7)/($G$7-$E$7),$E$7+SQRT(Q927*($G$7-$E$7)*($F$7-$E$7)),$G$7-SQRT((1-Q927)*($G$7-$E$7)*($G$7-$F$7))))</f>
        <v>1.01798400410099</v>
      </c>
      <c r="D927" s="51" t="n">
        <f aca="false">1+IF($G$8=$E$8,$F$8,IF(R927&lt;($F$8-$E$8)/($G$8-$E$8),$E$8+SQRT(R927*($G$8-$E$8)*($F$8-$E$8)),$G$8-SQRT((1-R927)*($G$8-$E$8)*($G$8-$F$8))))</f>
        <v>1.06359725876746</v>
      </c>
      <c r="E927" s="51" t="n">
        <f aca="false">1+IF($G$9=$E$9,$F$9,IF(S927&lt;($F$9-$E$9)/($G$9-$E$9),$E$9+SQRT(S927*($G$9-$E$9)*($F$9-$E$9)),$G$9-SQRT((1-S927)*($G$9-$E$9)*($G$9-$F$9))))</f>
        <v>1.00533380200685</v>
      </c>
      <c r="F927" s="51" t="n">
        <f aca="false">1+IF($G$10=$E$10,$F$10,IF(T927&lt;($F$10-$E$10)/($G$10-$E$10),$E$10+SQRT(T927*($G$10-$E$10)*($F$10-$E$10)),$G$10-SQRT((1-T927)*($G$10-$E$10)*($G$10-$F$10))))</f>
        <v>0.990270270179237</v>
      </c>
      <c r="G927" s="52" t="n">
        <f aca="false">IF($G$11=$E$11,$F$11,IF(U927&lt;($F$11-$E$11)/($G$11-$E$11),$E$11+SQRT(U927*($G$11-$E$11)*($F$11-$E$11)),$G$11-SQRT((1-U927)*($G$11-$E$11)*($G$11-$F$11))))</f>
        <v>0.091952751803203</v>
      </c>
      <c r="H927" s="53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-1980540540.35847</v>
      </c>
      <c r="I927" s="53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-18211929.495211</v>
      </c>
      <c r="J927" s="53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258132049.824134</v>
      </c>
      <c r="K927" s="53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583989542.652441</v>
      </c>
      <c r="L927" s="53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711151145.859728</v>
      </c>
      <c r="M927" s="53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903909334.747676</v>
      </c>
      <c r="N927" s="53" t="n">
        <f aca="false">IF(COUNT('Business Case'!B11:G11)=0,"",H927+NPV(G927,I927:M927))</f>
        <v>-249750457.882049</v>
      </c>
      <c r="P927" s="54" t="n">
        <f aca="true">RAND()</f>
        <v>0.604434191779167</v>
      </c>
      <c r="Q927" s="54" t="n">
        <f aca="true">RAND()</f>
        <v>0.66803384431986</v>
      </c>
      <c r="R927" s="54" t="n">
        <f aca="true">RAND()</f>
        <v>0.974129815390211</v>
      </c>
      <c r="S927" s="54" t="n">
        <f aca="true">RAND()</f>
        <v>0.402554063834786</v>
      </c>
      <c r="T927" s="54" t="n">
        <f aca="true">RAND()</f>
        <v>0.129735572824702</v>
      </c>
      <c r="U927" s="54" t="n">
        <f aca="true">RAND()</f>
        <v>0.0127107986830425</v>
      </c>
    </row>
    <row r="928" customFormat="false" ht="15" hidden="false" customHeight="false" outlineLevel="0" collapsed="false">
      <c r="A928" s="50" t="n">
        <v>848</v>
      </c>
      <c r="B928" s="51" t="n">
        <f aca="false">1+IF($G$6=$E$6,$F$6,IF(P928&lt;($F$6-$E$6)/($G$6-$E$6),$E$6+SQRT(P928*($G$6-$E$6)*($F$6-$E$6)),$G$6-SQRT((1-P928)*($G$6-$E$6)*($G$6-$F$6))))</f>
        <v>1.0025795181381</v>
      </c>
      <c r="C928" s="51" t="n">
        <f aca="false">1+IF($G$7=$E$7,$F$7,IF(Q928&lt;($F$7-$E$7)/($G$7-$E$7),$E$7+SQRT(Q928*($G$7-$E$7)*($F$7-$E$7)),$G$7-SQRT((1-Q928)*($G$7-$E$7)*($G$7-$F$7))))</f>
        <v>0.974584417286592</v>
      </c>
      <c r="D928" s="51" t="n">
        <f aca="false">1+IF($G$8=$E$8,$F$8,IF(R928&lt;($F$8-$E$8)/($G$8-$E$8),$E$8+SQRT(R928*($G$8-$E$8)*($F$8-$E$8)),$G$8-SQRT((1-R928)*($G$8-$E$8)*($G$8-$F$8))))</f>
        <v>1.00605641077655</v>
      </c>
      <c r="E928" s="51" t="n">
        <f aca="false">1+IF($G$9=$E$9,$F$9,IF(S928&lt;($F$9-$E$9)/($G$9-$E$9),$E$9+SQRT(S928*($G$9-$E$9)*($F$9-$E$9)),$G$9-SQRT((1-S928)*($G$9-$E$9)*($G$9-$F$9))))</f>
        <v>1.01435806111168</v>
      </c>
      <c r="F928" s="51" t="n">
        <f aca="false">1+IF($G$10=$E$10,$F$10,IF(T928&lt;($F$10-$E$10)/($G$10-$E$10),$E$10+SQRT(T928*($G$10-$E$10)*($F$10-$E$10)),$G$10-SQRT((1-T928)*($G$10-$E$10)*($G$10-$F$10))))</f>
        <v>1.06790836744118</v>
      </c>
      <c r="G928" s="52" t="n">
        <f aca="false">IF($G$11=$E$11,$F$11,IF(U928&lt;($F$11-$E$11)/($G$11-$E$11),$E$11+SQRT(U928*($G$11-$E$11)*($F$11-$E$11)),$G$11-SQRT((1-U928)*($G$11-$E$11)*($G$11-$F$11))))</f>
        <v>0.0965027793768124</v>
      </c>
      <c r="H928" s="53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-2135816734.88235</v>
      </c>
      <c r="I928" s="53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-3302266.51229884</v>
      </c>
      <c r="J928" s="53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295080799.793867</v>
      </c>
      <c r="K928" s="53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646859284.472092</v>
      </c>
      <c r="L928" s="53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780088826.430323</v>
      </c>
      <c r="M928" s="53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965815685.639297</v>
      </c>
      <c r="N928" s="53" t="n">
        <f aca="false">IF(COUNT('Business Case'!B11:G11)=0,"",H928+NPV(G928,I928:M928))</f>
        <v>-253780506.879785</v>
      </c>
      <c r="P928" s="54" t="n">
        <f aca="true">RAND()</f>
        <v>0.70827240358809</v>
      </c>
      <c r="Q928" s="54" t="n">
        <f aca="true">RAND()</f>
        <v>0.435424553704268</v>
      </c>
      <c r="R928" s="54" t="n">
        <f aca="true">RAND()</f>
        <v>0.474264001226276</v>
      </c>
      <c r="S928" s="54" t="n">
        <f aca="true">RAND()</f>
        <v>0.51103055356331</v>
      </c>
      <c r="T928" s="54" t="n">
        <f aca="true">RAND()</f>
        <v>0.651036012158898</v>
      </c>
      <c r="U928" s="54" t="n">
        <f aca="true">RAND()</f>
        <v>0.140953798744989</v>
      </c>
    </row>
    <row r="929" customFormat="false" ht="15" hidden="false" customHeight="false" outlineLevel="0" collapsed="false">
      <c r="A929" s="50" t="n">
        <v>849</v>
      </c>
      <c r="B929" s="51" t="n">
        <f aca="false">1+IF($G$6=$E$6,$F$6,IF(P929&lt;($F$6-$E$6)/($G$6-$E$6),$E$6+SQRT(P929*($G$6-$E$6)*($F$6-$E$6)),$G$6-SQRT((1-P929)*($G$6-$E$6)*($G$6-$F$6))))</f>
        <v>0.975948175371788</v>
      </c>
      <c r="C929" s="51" t="n">
        <f aca="false">1+IF($G$7=$E$7,$F$7,IF(Q929&lt;($F$7-$E$7)/($G$7-$E$7),$E$7+SQRT(Q929*($G$7-$E$7)*($F$7-$E$7)),$G$7-SQRT((1-Q929)*($G$7-$E$7)*($G$7-$F$7))))</f>
        <v>1.04629985821201</v>
      </c>
      <c r="D929" s="51" t="n">
        <f aca="false">1+IF($G$8=$E$8,$F$8,IF(R929&lt;($F$8-$E$8)/($G$8-$E$8),$E$8+SQRT(R929*($G$8-$E$8)*($F$8-$E$8)),$G$8-SQRT((1-R929)*($G$8-$E$8)*($G$8-$F$8))))</f>
        <v>0.976861065925084</v>
      </c>
      <c r="E929" s="51" t="n">
        <f aca="false">1+IF($G$9=$E$9,$F$9,IF(S929&lt;($F$9-$E$9)/($G$9-$E$9),$E$9+SQRT(S929*($G$9-$E$9)*($F$9-$E$9)),$G$9-SQRT((1-S929)*($G$9-$E$9)*($G$9-$F$9))))</f>
        <v>0.974073675062912</v>
      </c>
      <c r="F929" s="51" t="n">
        <f aca="false">1+IF($G$10=$E$10,$F$10,IF(T929&lt;($F$10-$E$10)/($G$10-$E$10),$E$10+SQRT(T929*($G$10-$E$10)*($F$10-$E$10)),$G$10-SQRT((1-T929)*($G$10-$E$10)*($G$10-$F$10))))</f>
        <v>1.03550251534635</v>
      </c>
      <c r="G929" s="52" t="n">
        <f aca="false">IF($G$11=$E$11,$F$11,IF(U929&lt;($F$11-$E$11)/($G$11-$E$11),$E$11+SQRT(U929*($G$11-$E$11)*($F$11-$E$11)),$G$11-SQRT((1-U929)*($G$11-$E$11)*($G$11-$F$11))))</f>
        <v>0.095708668816475</v>
      </c>
      <c r="H929" s="53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-2071005030.6927</v>
      </c>
      <c r="I929" s="53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18155383.2791994</v>
      </c>
      <c r="J929" s="53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331309903.927694</v>
      </c>
      <c r="K929" s="53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696239550.343506</v>
      </c>
      <c r="L929" s="53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835914796.720146</v>
      </c>
      <c r="M929" s="53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1030012030.60276</v>
      </c>
      <c r="N929" s="53" t="n">
        <f aca="false">IF(COUNT('Business Case'!B11:G11)=0,"",H929+NPV(G929,I929:M929))</f>
        <v>-17094368.225991</v>
      </c>
      <c r="P929" s="54" t="n">
        <f aca="true">RAND()</f>
        <v>0.3260623257742</v>
      </c>
      <c r="Q929" s="54" t="n">
        <f aca="true">RAND()</f>
        <v>0.795167249393347</v>
      </c>
      <c r="R929" s="54" t="n">
        <f aca="true">RAND()</f>
        <v>0.11100259425103</v>
      </c>
      <c r="S929" s="54" t="n">
        <f aca="true">RAND()</f>
        <v>0.0772722441379544</v>
      </c>
      <c r="T929" s="54" t="n">
        <f aca="true">RAND()</f>
        <v>0.458811550852441</v>
      </c>
      <c r="U929" s="54" t="n">
        <f aca="true">RAND()</f>
        <v>0.108629665520647</v>
      </c>
    </row>
    <row r="930" customFormat="false" ht="15" hidden="false" customHeight="false" outlineLevel="0" collapsed="false">
      <c r="A930" s="50" t="n">
        <v>850</v>
      </c>
      <c r="B930" s="51" t="n">
        <f aca="false">1+IF($G$6=$E$6,$F$6,IF(P930&lt;($F$6-$E$6)/($G$6-$E$6),$E$6+SQRT(P930*($G$6-$E$6)*($F$6-$E$6)),$G$6-SQRT((1-P930)*($G$6-$E$6)*($G$6-$F$6))))</f>
        <v>0.947827569235013</v>
      </c>
      <c r="C930" s="51" t="n">
        <f aca="false">1+IF($G$7=$E$7,$F$7,IF(Q930&lt;($F$7-$E$7)/($G$7-$E$7),$E$7+SQRT(Q930*($G$7-$E$7)*($F$7-$E$7)),$G$7-SQRT((1-Q930)*($G$7-$E$7)*($G$7-$F$7))))</f>
        <v>1.00289139674844</v>
      </c>
      <c r="D930" s="51" t="n">
        <f aca="false">1+IF($G$8=$E$8,$F$8,IF(R930&lt;($F$8-$E$8)/($G$8-$E$8),$E$8+SQRT(R930*($G$8-$E$8)*($F$8-$E$8)),$G$8-SQRT((1-R930)*($G$8-$E$8)*($G$8-$F$8))))</f>
        <v>1.01531127972404</v>
      </c>
      <c r="E930" s="51" t="n">
        <f aca="false">1+IF($G$9=$E$9,$F$9,IF(S930&lt;($F$9-$E$9)/($G$9-$E$9),$E$9+SQRT(S930*($G$9-$E$9)*($F$9-$E$9)),$G$9-SQRT((1-S930)*($G$9-$E$9)*($G$9-$F$9))))</f>
        <v>0.968633890468969</v>
      </c>
      <c r="F930" s="51" t="n">
        <f aca="false">1+IF($G$10=$E$10,$F$10,IF(T930&lt;($F$10-$E$10)/($G$10-$E$10),$E$10+SQRT(T930*($G$10-$E$10)*($F$10-$E$10)),$G$10-SQRT((1-T930)*($G$10-$E$10)*($G$10-$F$10))))</f>
        <v>1.14778146582954</v>
      </c>
      <c r="G930" s="52" t="n">
        <f aca="false">IF($G$11=$E$11,$F$11,IF(U930&lt;($F$11-$E$11)/($G$11-$E$11),$E$11+SQRT(U930*($G$11-$E$11)*($F$11-$E$11)),$G$11-SQRT((1-U930)*($G$11-$E$11)*($G$11-$F$11))))</f>
        <v>0.102032647958021</v>
      </c>
      <c r="H930" s="53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-2295562931.65908</v>
      </c>
      <c r="I930" s="53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-44472587.3056799</v>
      </c>
      <c r="J930" s="53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212850162.266828</v>
      </c>
      <c r="K930" s="53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527561985.130812</v>
      </c>
      <c r="L930" s="53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646187869.035346</v>
      </c>
      <c r="M930" s="53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826871856.294017</v>
      </c>
      <c r="N930" s="53" t="n">
        <f aca="false">IF(COUNT('Business Case'!B11:G11)=0,"",H930+NPV(G930,I930:M930))</f>
        <v>-819668480.583351</v>
      </c>
      <c r="P930" s="54" t="n">
        <f aca="true">RAND()</f>
        <v>0.0806639176593189</v>
      </c>
      <c r="Q930" s="54" t="n">
        <f aca="true">RAND()</f>
        <v>0.587791597130926</v>
      </c>
      <c r="R930" s="54" t="n">
        <f aca="true">RAND()</f>
        <v>0.597631679717152</v>
      </c>
      <c r="S930" s="54" t="n">
        <f aca="true">RAND()</f>
        <v>0.0462962498679396</v>
      </c>
      <c r="T930" s="54" t="n">
        <f aca="true">RAND()</f>
        <v>0.945464493781765</v>
      </c>
      <c r="U930" s="54" t="n">
        <f aca="true">RAND()</f>
        <v>0.461957100999333</v>
      </c>
    </row>
    <row r="931" customFormat="false" ht="15" hidden="false" customHeight="false" outlineLevel="0" collapsed="false">
      <c r="A931" s="50" t="n">
        <v>851</v>
      </c>
      <c r="B931" s="51" t="n">
        <f aca="false">1+IF($G$6=$E$6,$F$6,IF(P931&lt;($F$6-$E$6)/($G$6-$E$6),$E$6+SQRT(P931*($G$6-$E$6)*($F$6-$E$6)),$G$6-SQRT((1-P931)*($G$6-$E$6)*($G$6-$F$6))))</f>
        <v>1.00076333836836</v>
      </c>
      <c r="C931" s="51" t="n">
        <f aca="false">1+IF($G$7=$E$7,$F$7,IF(Q931&lt;($F$7-$E$7)/($G$7-$E$7),$E$7+SQRT(Q931*($G$7-$E$7)*($F$7-$E$7)),$G$7-SQRT((1-Q931)*($G$7-$E$7)*($G$7-$F$7))))</f>
        <v>1.02053110878104</v>
      </c>
      <c r="D931" s="51" t="n">
        <f aca="false">1+IF($G$8=$E$8,$F$8,IF(R931&lt;($F$8-$E$8)/($G$8-$E$8),$E$8+SQRT(R931*($G$8-$E$8)*($F$8-$E$8)),$G$8-SQRT((1-R931)*($G$8-$E$8)*($G$8-$F$8))))</f>
        <v>0.994324552009682</v>
      </c>
      <c r="E931" s="51" t="n">
        <f aca="false">1+IF($G$9=$E$9,$F$9,IF(S931&lt;($F$9-$E$9)/($G$9-$E$9),$E$9+SQRT(S931*($G$9-$E$9)*($F$9-$E$9)),$G$9-SQRT((1-S931)*($G$9-$E$9)*($G$9-$F$9))))</f>
        <v>1.03260975377874</v>
      </c>
      <c r="F931" s="51" t="n">
        <f aca="false">1+IF($G$10=$E$10,$F$10,IF(T931&lt;($F$10-$E$10)/($G$10-$E$10),$E$10+SQRT(T931*($G$10-$E$10)*($F$10-$E$10)),$G$10-SQRT((1-T931)*($G$10-$E$10)*($G$10-$F$10))))</f>
        <v>0.996547322813473</v>
      </c>
      <c r="G931" s="52" t="n">
        <f aca="false">IF($G$11=$E$11,$F$11,IF(U931&lt;($F$11-$E$11)/($G$11-$E$11),$E$11+SQRT(U931*($G$11-$E$11)*($F$11-$E$11)),$G$11-SQRT((1-U931)*($G$11-$E$11)*($G$11-$F$11))))</f>
        <v>0.101455226283151</v>
      </c>
      <c r="H931" s="53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-1993094645.62695</v>
      </c>
      <c r="I931" s="53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17624706.9120789</v>
      </c>
      <c r="J931" s="53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334685969.679037</v>
      </c>
      <c r="K931" s="53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701574598.586669</v>
      </c>
      <c r="L931" s="53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842558163.899786</v>
      </c>
      <c r="M931" s="53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1036688791.3825</v>
      </c>
      <c r="N931" s="53" t="n">
        <f aca="false">IF(COUNT('Business Case'!B11:G11)=0,"",H931+NPV(G931,I931:M931))</f>
        <v>35697638.2642896</v>
      </c>
      <c r="P931" s="54" t="n">
        <f aca="true">RAND()</f>
        <v>0.679267580000804</v>
      </c>
      <c r="Q931" s="54" t="n">
        <f aca="true">RAND()</f>
        <v>0.680720118219681</v>
      </c>
      <c r="R931" s="54" t="n">
        <f aca="true">RAND()</f>
        <v>0.302256293978303</v>
      </c>
      <c r="S931" s="54" t="n">
        <f aca="true">RAND()</f>
        <v>0.697236980949189</v>
      </c>
      <c r="T931" s="54" t="n">
        <f aca="true">RAND()</f>
        <v>0.173332260888135</v>
      </c>
      <c r="U931" s="54" t="n">
        <f aca="true">RAND()</f>
        <v>0.426818946318095</v>
      </c>
    </row>
    <row r="932" customFormat="false" ht="15" hidden="false" customHeight="false" outlineLevel="0" collapsed="false">
      <c r="A932" s="50" t="n">
        <v>852</v>
      </c>
      <c r="B932" s="51" t="n">
        <f aca="false">1+IF($G$6=$E$6,$F$6,IF(P932&lt;($F$6-$E$6)/($G$6-$E$6),$E$6+SQRT(P932*($G$6-$E$6)*($F$6-$E$6)),$G$6-SQRT((1-P932)*($G$6-$E$6)*($G$6-$F$6))))</f>
        <v>0.959929759490596</v>
      </c>
      <c r="C932" s="51" t="n">
        <f aca="false">1+IF($G$7=$E$7,$F$7,IF(Q932&lt;($F$7-$E$7)/($G$7-$E$7),$E$7+SQRT(Q932*($G$7-$E$7)*($F$7-$E$7)),$G$7-SQRT((1-Q932)*($G$7-$E$7)*($G$7-$F$7))))</f>
        <v>1.0928128141158</v>
      </c>
      <c r="D932" s="51" t="n">
        <f aca="false">1+IF($G$8=$E$8,$F$8,IF(R932&lt;($F$8-$E$8)/($G$8-$E$8),$E$8+SQRT(R932*($G$8-$E$8)*($F$8-$E$8)),$G$8-SQRT((1-R932)*($G$8-$E$8)*($G$8-$F$8))))</f>
        <v>0.997887690128633</v>
      </c>
      <c r="E932" s="51" t="n">
        <f aca="false">1+IF($G$9=$E$9,$F$9,IF(S932&lt;($F$9-$E$9)/($G$9-$E$9),$E$9+SQRT(S932*($G$9-$E$9)*($F$9-$E$9)),$G$9-SQRT((1-S932)*($G$9-$E$9)*($G$9-$F$9))))</f>
        <v>1.00210410733021</v>
      </c>
      <c r="F932" s="51" t="n">
        <f aca="false">1+IF($G$10=$E$10,$F$10,IF(T932&lt;($F$10-$E$10)/($G$10-$E$10),$E$10+SQRT(T932*($G$10-$E$10)*($F$10-$E$10)),$G$10-SQRT((1-T932)*($G$10-$E$10)*($G$10-$F$10))))</f>
        <v>0.994401783005593</v>
      </c>
      <c r="G932" s="52" t="n">
        <f aca="false">IF($G$11=$E$11,$F$11,IF(U932&lt;($F$11-$E$11)/($G$11-$E$11),$E$11+SQRT(U932*($G$11-$E$11)*($F$11-$E$11)),$G$11-SQRT((1-U932)*($G$11-$E$11)*($G$11-$F$11))))</f>
        <v>0.0957119537091189</v>
      </c>
      <c r="H932" s="53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-1988803566.01119</v>
      </c>
      <c r="I932" s="53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4654007.16462596</v>
      </c>
      <c r="J932" s="53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305628777.100241</v>
      </c>
      <c r="K932" s="53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656323636.186137</v>
      </c>
      <c r="L932" s="53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792902813.103392</v>
      </c>
      <c r="M932" s="53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992301207.932998</v>
      </c>
      <c r="N932" s="53" t="n">
        <f aca="false">IF(COUNT('Business Case'!B11:G11)=0,"",H932+NPV(G932,I932:M932))</f>
        <v>-52689093.988616</v>
      </c>
      <c r="P932" s="54" t="n">
        <f aca="true">RAND()</f>
        <v>0.166081843018422</v>
      </c>
      <c r="Q932" s="54" t="n">
        <f aca="true">RAND()</f>
        <v>0.937707157536119</v>
      </c>
      <c r="R932" s="54" t="n">
        <f aca="true">RAND()</f>
        <v>0.352804748593227</v>
      </c>
      <c r="S932" s="54" t="n">
        <f aca="true">RAND()</f>
        <v>0.361092946558976</v>
      </c>
      <c r="T932" s="54" t="n">
        <f aca="true">RAND()</f>
        <v>0.157721466726059</v>
      </c>
      <c r="U932" s="54" t="n">
        <f aca="true">RAND()</f>
        <v>0.108754717250392</v>
      </c>
    </row>
    <row r="933" customFormat="false" ht="15" hidden="false" customHeight="false" outlineLevel="0" collapsed="false">
      <c r="A933" s="50" t="n">
        <v>853</v>
      </c>
      <c r="B933" s="51" t="n">
        <f aca="false">1+IF($G$6=$E$6,$F$6,IF(P933&lt;($F$6-$E$6)/($G$6-$E$6),$E$6+SQRT(P933*($G$6-$E$6)*($F$6-$E$6)),$G$6-SQRT((1-P933)*($G$6-$E$6)*($G$6-$F$6))))</f>
        <v>0.958800831957694</v>
      </c>
      <c r="C933" s="51" t="n">
        <f aca="false">1+IF($G$7=$E$7,$F$7,IF(Q933&lt;($F$7-$E$7)/($G$7-$E$7),$E$7+SQRT(Q933*($G$7-$E$7)*($F$7-$E$7)),$G$7-SQRT((1-Q933)*($G$7-$E$7)*($G$7-$F$7))))</f>
        <v>0.988786690273433</v>
      </c>
      <c r="D933" s="51" t="n">
        <f aca="false">1+IF($G$8=$E$8,$F$8,IF(R933&lt;($F$8-$E$8)/($G$8-$E$8),$E$8+SQRT(R933*($G$8-$E$8)*($F$8-$E$8)),$G$8-SQRT((1-R933)*($G$8-$E$8)*($G$8-$F$8))))</f>
        <v>0.967796514446468</v>
      </c>
      <c r="E933" s="51" t="n">
        <f aca="false">1+IF($G$9=$E$9,$F$9,IF(S933&lt;($F$9-$E$9)/($G$9-$E$9),$E$9+SQRT(S933*($G$9-$E$9)*($F$9-$E$9)),$G$9-SQRT((1-S933)*($G$9-$E$9)*($G$9-$F$9))))</f>
        <v>0.987440844756977</v>
      </c>
      <c r="F933" s="51" t="n">
        <f aca="false">1+IF($G$10=$E$10,$F$10,IF(T933&lt;($F$10-$E$10)/($G$10-$E$10),$E$10+SQRT(T933*($G$10-$E$10)*($F$10-$E$10)),$G$10-SQRT((1-T933)*($G$10-$E$10)*($G$10-$F$10))))</f>
        <v>1.04398514365331</v>
      </c>
      <c r="G933" s="52" t="n">
        <f aca="false">IF($G$11=$E$11,$F$11,IF(U933&lt;($F$11-$E$11)/($G$11-$E$11),$E$11+SQRT(U933*($G$11-$E$11)*($F$11-$E$11)),$G$11-SQRT((1-U933)*($G$11-$E$11)*($G$11-$F$11))))</f>
        <v>0.104867901470913</v>
      </c>
      <c r="H933" s="53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-2087970287.30662</v>
      </c>
      <c r="I933" s="53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-7317619.92925043</v>
      </c>
      <c r="J933" s="53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279324248.776739</v>
      </c>
      <c r="K933" s="53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618165374.665394</v>
      </c>
      <c r="L933" s="53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746477254.997701</v>
      </c>
      <c r="M933" s="53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926682504.197746</v>
      </c>
      <c r="N933" s="53" t="n">
        <f aca="false">IF(COUNT('Business Case'!B11:G11)=0,"",H933+NPV(G933,I933:M933))</f>
        <v>-343691150.541846</v>
      </c>
      <c r="P933" s="54" t="n">
        <f aca="true">RAND()</f>
        <v>0.156823391730127</v>
      </c>
      <c r="Q933" s="54" t="n">
        <f aca="true">RAND()</f>
        <v>0.509148777491389</v>
      </c>
      <c r="R933" s="54" t="n">
        <f aca="true">RAND()</f>
        <v>0.048725527145131</v>
      </c>
      <c r="S933" s="54" t="n">
        <f aca="true">RAND()</f>
        <v>0.186908914148809</v>
      </c>
      <c r="T933" s="54" t="n">
        <f aca="true">RAND()</f>
        <v>0.513187291982419</v>
      </c>
      <c r="U933" s="54" t="n">
        <f aca="true">RAND()</f>
        <v>0.618365990176663</v>
      </c>
    </row>
    <row r="934" customFormat="false" ht="15" hidden="false" customHeight="false" outlineLevel="0" collapsed="false">
      <c r="A934" s="50" t="n">
        <v>854</v>
      </c>
      <c r="B934" s="51" t="n">
        <f aca="false">1+IF($G$6=$E$6,$F$6,IF(P934&lt;($F$6-$E$6)/($G$6-$E$6),$E$6+SQRT(P934*($G$6-$E$6)*($F$6-$E$6)),$G$6-SQRT((1-P934)*($G$6-$E$6)*($G$6-$F$6))))</f>
        <v>0.99751184769458</v>
      </c>
      <c r="C934" s="51" t="n">
        <f aca="false">1+IF($G$7=$E$7,$F$7,IF(Q934&lt;($F$7-$E$7)/($G$7-$E$7),$E$7+SQRT(Q934*($G$7-$E$7)*($F$7-$E$7)),$G$7-SQRT((1-Q934)*($G$7-$E$7)*($G$7-$F$7))))</f>
        <v>0.948045075057391</v>
      </c>
      <c r="D934" s="51" t="n">
        <f aca="false">1+IF($G$8=$E$8,$F$8,IF(R934&lt;($F$8-$E$8)/($G$8-$E$8),$E$8+SQRT(R934*($G$8-$E$8)*($F$8-$E$8)),$G$8-SQRT((1-R934)*($G$8-$E$8)*($G$8-$F$8))))</f>
        <v>0.988966807796603</v>
      </c>
      <c r="E934" s="51" t="n">
        <f aca="false">1+IF($G$9=$E$9,$F$9,IF(S934&lt;($F$9-$E$9)/($G$9-$E$9),$E$9+SQRT(S934*($G$9-$E$9)*($F$9-$E$9)),$G$9-SQRT((1-S934)*($G$9-$E$9)*($G$9-$F$9))))</f>
        <v>1.00202489773639</v>
      </c>
      <c r="F934" s="51" t="n">
        <f aca="false">1+IF($G$10=$E$10,$F$10,IF(T934&lt;($F$10-$E$10)/($G$10-$E$10),$E$10+SQRT(T934*($G$10-$E$10)*($F$10-$E$10)),$G$10-SQRT((1-T934)*($G$10-$E$10)*($G$10-$F$10))))</f>
        <v>1.17418251714179</v>
      </c>
      <c r="G934" s="52" t="n">
        <f aca="false">IF($G$11=$E$11,$F$11,IF(U934&lt;($F$11-$E$11)/($G$11-$E$11),$E$11+SQRT(U934*($G$11-$E$11)*($F$11-$E$11)),$G$11-SQRT((1-U934)*($G$11-$E$11)*($G$11-$F$11))))</f>
        <v>0.110045567506644</v>
      </c>
      <c r="H934" s="53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-2348365034.28358</v>
      </c>
      <c r="I934" s="53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-14314052.0724697</v>
      </c>
      <c r="J934" s="53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280302460.35118</v>
      </c>
      <c r="K934" s="53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633628098.631919</v>
      </c>
      <c r="L934" s="53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764516517.655686</v>
      </c>
      <c r="M934" s="53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944272549.509714</v>
      </c>
      <c r="N934" s="53" t="n">
        <f aca="false">IF(COUNT('Business Case'!B11:G11)=0,"",H934+NPV(G934,I934:M934))</f>
        <v>-606739796.696435</v>
      </c>
      <c r="P934" s="54" t="n">
        <f aca="true">RAND()</f>
        <v>0.625842347190395</v>
      </c>
      <c r="Q934" s="54" t="n">
        <f aca="true">RAND()</f>
        <v>0.313104917839266</v>
      </c>
      <c r="R934" s="54" t="n">
        <f aca="true">RAND()</f>
        <v>0.233601863054978</v>
      </c>
      <c r="S934" s="54" t="n">
        <f aca="true">RAND()</f>
        <v>0.360058622428985</v>
      </c>
      <c r="T934" s="54" t="n">
        <f aca="true">RAND()</f>
        <v>0.986669151577319</v>
      </c>
      <c r="U934" s="54" t="n">
        <f aca="true">RAND()</f>
        <v>0.834848789558713</v>
      </c>
    </row>
    <row r="935" customFormat="false" ht="15" hidden="false" customHeight="false" outlineLevel="0" collapsed="false">
      <c r="A935" s="50" t="n">
        <v>855</v>
      </c>
      <c r="B935" s="51" t="n">
        <f aca="false">1+IF($G$6=$E$6,$F$6,IF(P935&lt;($F$6-$E$6)/($G$6-$E$6),$E$6+SQRT(P935*($G$6-$E$6)*($F$6-$E$6)),$G$6-SQRT((1-P935)*($G$6-$E$6)*($G$6-$F$6))))</f>
        <v>0.990099957084303</v>
      </c>
      <c r="C935" s="51" t="n">
        <f aca="false">1+IF($G$7=$E$7,$F$7,IF(Q935&lt;($F$7-$E$7)/($G$7-$E$7),$E$7+SQRT(Q935*($G$7-$E$7)*($F$7-$E$7)),$G$7-SQRT((1-Q935)*($G$7-$E$7)*($G$7-$F$7))))</f>
        <v>1.01973940803081</v>
      </c>
      <c r="D935" s="51" t="n">
        <f aca="false">1+IF($G$8=$E$8,$F$8,IF(R935&lt;($F$8-$E$8)/($G$8-$E$8),$E$8+SQRT(R935*($G$8-$E$8)*($F$8-$E$8)),$G$8-SQRT((1-R935)*($G$8-$E$8)*($G$8-$F$8))))</f>
        <v>1.02445041410857</v>
      </c>
      <c r="E935" s="51" t="n">
        <f aca="false">1+IF($G$9=$E$9,$F$9,IF(S935&lt;($F$9-$E$9)/($G$9-$E$9),$E$9+SQRT(S935*($G$9-$E$9)*($F$9-$E$9)),$G$9-SQRT((1-S935)*($G$9-$E$9)*($G$9-$F$9))))</f>
        <v>0.974961546215664</v>
      </c>
      <c r="F935" s="51" t="n">
        <f aca="false">1+IF($G$10=$E$10,$F$10,IF(T935&lt;($F$10-$E$10)/($G$10-$E$10),$E$10+SQRT(T935*($G$10-$E$10)*($F$10-$E$10)),$G$10-SQRT((1-T935)*($G$10-$E$10)*($G$10-$F$10))))</f>
        <v>1.06749657742768</v>
      </c>
      <c r="G935" s="52" t="n">
        <f aca="false">IF($G$11=$E$11,$F$11,IF(U935&lt;($F$11-$E$11)/($G$11-$E$11),$E$11+SQRT(U935*($G$11-$E$11)*($F$11-$E$11)),$G$11-SQRT((1-U935)*($G$11-$E$11)*($G$11-$F$11))))</f>
        <v>0.0964714034580176</v>
      </c>
      <c r="H935" s="53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-2134993154.85536</v>
      </c>
      <c r="I935" s="53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-5546772.20242575</v>
      </c>
      <c r="J935" s="53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286635587.273404</v>
      </c>
      <c r="K935" s="53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632192775.620617</v>
      </c>
      <c r="L935" s="53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764480190.154974</v>
      </c>
      <c r="M935" s="53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956393311.054914</v>
      </c>
      <c r="N935" s="53" t="n">
        <f aca="false">IF(COUNT('Business Case'!B11:G11)=0,"",H935+NPV(G935,I935:M935))</f>
        <v>-289693421.876003</v>
      </c>
      <c r="P935" s="54" t="n">
        <f aca="true">RAND()</f>
        <v>0.511875414918862</v>
      </c>
      <c r="Q935" s="54" t="n">
        <f aca="true">RAND()</f>
        <v>0.676803393901632</v>
      </c>
      <c r="R935" s="54" t="n">
        <f aca="true">RAND()</f>
        <v>0.703292644931823</v>
      </c>
      <c r="S935" s="54" t="n">
        <f aca="true">RAND()</f>
        <v>0.0830771719302339</v>
      </c>
      <c r="T935" s="54" t="n">
        <f aca="true">RAND()</f>
        <v>0.648856860132414</v>
      </c>
      <c r="U935" s="54" t="n">
        <f aca="true">RAND()</f>
        <v>0.139596875721474</v>
      </c>
    </row>
    <row r="936" customFormat="false" ht="15" hidden="false" customHeight="false" outlineLevel="0" collapsed="false">
      <c r="A936" s="50" t="n">
        <v>856</v>
      </c>
      <c r="B936" s="51" t="n">
        <f aca="false">1+IF($G$6=$E$6,$F$6,IF(P936&lt;($F$6-$E$6)/($G$6-$E$6),$E$6+SQRT(P936*($G$6-$E$6)*($F$6-$E$6)),$G$6-SQRT((1-P936)*($G$6-$E$6)*($G$6-$F$6))))</f>
        <v>0.975109738100597</v>
      </c>
      <c r="C936" s="51" t="n">
        <f aca="false">1+IF($G$7=$E$7,$F$7,IF(Q936&lt;($F$7-$E$7)/($G$7-$E$7),$E$7+SQRT(Q936*($G$7-$E$7)*($F$7-$E$7)),$G$7-SQRT((1-Q936)*($G$7-$E$7)*($G$7-$F$7))))</f>
        <v>1.00061591213136</v>
      </c>
      <c r="D936" s="51" t="n">
        <f aca="false">1+IF($G$8=$E$8,$F$8,IF(R936&lt;($F$8-$E$8)/($G$8-$E$8),$E$8+SQRT(R936*($G$8-$E$8)*($F$8-$E$8)),$G$8-SQRT((1-R936)*($G$8-$E$8)*($G$8-$F$8))))</f>
        <v>1.05626001507665</v>
      </c>
      <c r="E936" s="51" t="n">
        <f aca="false">1+IF($G$9=$E$9,$F$9,IF(S936&lt;($F$9-$E$9)/($G$9-$E$9),$E$9+SQRT(S936*($G$9-$E$9)*($F$9-$E$9)),$G$9-SQRT((1-S936)*($G$9-$E$9)*($G$9-$F$9))))</f>
        <v>0.957945810582553</v>
      </c>
      <c r="F936" s="51" t="n">
        <f aca="false">1+IF($G$10=$E$10,$F$10,IF(T936&lt;($F$10-$E$10)/($G$10-$E$10),$E$10+SQRT(T936*($G$10-$E$10)*($F$10-$E$10)),$G$10-SQRT((1-T936)*($G$10-$E$10)*($G$10-$F$10))))</f>
        <v>1.08225381491799</v>
      </c>
      <c r="G936" s="52" t="n">
        <f aca="false">IF($G$11=$E$11,$F$11,IF(U936&lt;($F$11-$E$11)/($G$11-$E$11),$E$11+SQRT(U936*($G$11-$E$11)*($F$11-$E$11)),$G$11-SQRT((1-U936)*($G$11-$E$11)*($G$11-$F$11))))</f>
        <v>0.111669060401589</v>
      </c>
      <c r="H936" s="53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-2164507629.83599</v>
      </c>
      <c r="I936" s="53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-36902758.8206526</v>
      </c>
      <c r="J936" s="53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221220581.105051</v>
      </c>
      <c r="K936" s="53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533456611.776654</v>
      </c>
      <c r="L936" s="53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653218273.745033</v>
      </c>
      <c r="M936" s="53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838681291.373997</v>
      </c>
      <c r="N936" s="53" t="n">
        <f aca="false">IF(COUNT('Business Case'!B11:G11)=0,"",H936+NPV(G936,I936:M936))</f>
        <v>-708681875.677954</v>
      </c>
      <c r="P936" s="54" t="n">
        <f aca="true">RAND()</f>
        <v>0.316362836824628</v>
      </c>
      <c r="Q936" s="54" t="n">
        <f aca="true">RAND()</f>
        <v>0.574940843650537</v>
      </c>
      <c r="R936" s="54" t="n">
        <f aca="true">RAND()</f>
        <v>0.945808953446066</v>
      </c>
      <c r="S936" s="54" t="n">
        <f aca="true">RAND()</f>
        <v>0.0084181207751746</v>
      </c>
      <c r="T936" s="54" t="n">
        <f aca="true">RAND()</f>
        <v>0.722716717972682</v>
      </c>
      <c r="U936" s="54" t="n">
        <f aca="true">RAND()</f>
        <v>0.884325742346044</v>
      </c>
    </row>
    <row r="937" customFormat="false" ht="15" hidden="false" customHeight="false" outlineLevel="0" collapsed="false">
      <c r="A937" s="50" t="n">
        <v>857</v>
      </c>
      <c r="B937" s="51" t="n">
        <f aca="false">1+IF($G$6=$E$6,$F$6,IF(P937&lt;($F$6-$E$6)/($G$6-$E$6),$E$6+SQRT(P937*($G$6-$E$6)*($F$6-$E$6)),$G$6-SQRT((1-P937)*($G$6-$E$6)*($G$6-$F$6))))</f>
        <v>0.994588384224186</v>
      </c>
      <c r="C937" s="51" t="n">
        <f aca="false">1+IF($G$7=$E$7,$F$7,IF(Q937&lt;($F$7-$E$7)/($G$7-$E$7),$E$7+SQRT(Q937*($G$7-$E$7)*($F$7-$E$7)),$G$7-SQRT((1-Q937)*($G$7-$E$7)*($G$7-$F$7))))</f>
        <v>1.02725110417643</v>
      </c>
      <c r="D937" s="51" t="n">
        <f aca="false">1+IF($G$8=$E$8,$F$8,IF(R937&lt;($F$8-$E$8)/($G$8-$E$8),$E$8+SQRT(R937*($G$8-$E$8)*($F$8-$E$8)),$G$8-SQRT((1-R937)*($G$8-$E$8)*($G$8-$F$8))))</f>
        <v>0.973414337121642</v>
      </c>
      <c r="E937" s="51" t="n">
        <f aca="false">1+IF($G$9=$E$9,$F$9,IF(S937&lt;($F$9-$E$9)/($G$9-$E$9),$E$9+SQRT(S937*($G$9-$E$9)*($F$9-$E$9)),$G$9-SQRT((1-S937)*($G$9-$E$9)*($G$9-$F$9))))</f>
        <v>1.05685689233134</v>
      </c>
      <c r="F937" s="51" t="n">
        <f aca="false">1+IF($G$10=$E$10,$F$10,IF(T937&lt;($F$10-$E$10)/($G$10-$E$10),$E$10+SQRT(T937*($G$10-$E$10)*($F$10-$E$10)),$G$10-SQRT((1-T937)*($G$10-$E$10)*($G$10-$F$10))))</f>
        <v>1.00389476573791</v>
      </c>
      <c r="G937" s="52" t="n">
        <f aca="false">IF($G$11=$E$11,$F$11,IF(U937&lt;($F$11-$E$11)/($G$11-$E$11),$E$11+SQRT(U937*($G$11-$E$11)*($F$11-$E$11)),$G$11-SQRT((1-U937)*($G$11-$E$11)*($G$11-$F$11))))</f>
        <v>0.109101693981346</v>
      </c>
      <c r="H937" s="53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-2007789531.47582</v>
      </c>
      <c r="I937" s="53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21310509.6060815</v>
      </c>
      <c r="J937" s="53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346260059.979486</v>
      </c>
      <c r="K937" s="53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721404348.639785</v>
      </c>
      <c r="L937" s="53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865030541.500263</v>
      </c>
      <c r="M937" s="53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1059233759.88165</v>
      </c>
      <c r="N937" s="53" t="n">
        <f aca="false">IF(COUNT('Business Case'!B11:G11)=0,"",H937+NPV(G937,I937:M937))</f>
        <v>24504113.7838576</v>
      </c>
      <c r="P937" s="54" t="n">
        <f aca="true">RAND()</f>
        <v>0.579523652205703</v>
      </c>
      <c r="Q937" s="54" t="n">
        <f aca="true">RAND()</f>
        <v>0.713003972839898</v>
      </c>
      <c r="R937" s="54" t="n">
        <f aca="true">RAND()</f>
        <v>0.0843432588993678</v>
      </c>
      <c r="S937" s="54" t="n">
        <f aca="true">RAND()</f>
        <v>0.875911484046047</v>
      </c>
      <c r="T937" s="54" t="n">
        <f aca="true">RAND()</f>
        <v>0.230854741900211</v>
      </c>
      <c r="U937" s="54" t="n">
        <f aca="true">RAND()</f>
        <v>0.802044876539608</v>
      </c>
    </row>
    <row r="938" customFormat="false" ht="15" hidden="false" customHeight="false" outlineLevel="0" collapsed="false">
      <c r="A938" s="50" t="n">
        <v>858</v>
      </c>
      <c r="B938" s="51" t="n">
        <f aca="false">1+IF($G$6=$E$6,$F$6,IF(P938&lt;($F$6-$E$6)/($G$6-$E$6),$E$6+SQRT(P938*($G$6-$E$6)*($F$6-$E$6)),$G$6-SQRT((1-P938)*($G$6-$E$6)*($G$6-$F$6))))</f>
        <v>0.998310354044973</v>
      </c>
      <c r="C938" s="51" t="n">
        <f aca="false">1+IF($G$7=$E$7,$F$7,IF(Q938&lt;($F$7-$E$7)/($G$7-$E$7),$E$7+SQRT(Q938*($G$7-$E$7)*($F$7-$E$7)),$G$7-SQRT((1-Q938)*($G$7-$E$7)*($G$7-$F$7))))</f>
        <v>0.998396126368186</v>
      </c>
      <c r="D938" s="51" t="n">
        <f aca="false">1+IF($G$8=$E$8,$F$8,IF(R938&lt;($F$8-$E$8)/($G$8-$E$8),$E$8+SQRT(R938*($G$8-$E$8)*($F$8-$E$8)),$G$8-SQRT((1-R938)*($G$8-$E$8)*($G$8-$F$8))))</f>
        <v>0.998457197426375</v>
      </c>
      <c r="E938" s="51" t="n">
        <f aca="false">1+IF($G$9=$E$9,$F$9,IF(S938&lt;($F$9-$E$9)/($G$9-$E$9),$E$9+SQRT(S938*($G$9-$E$9)*($F$9-$E$9)),$G$9-SQRT((1-S938)*($G$9-$E$9)*($G$9-$F$9))))</f>
        <v>1.04495783092105</v>
      </c>
      <c r="F938" s="51" t="n">
        <f aca="false">1+IF($G$10=$E$10,$F$10,IF(T938&lt;($F$10-$E$10)/($G$10-$E$10),$E$10+SQRT(T938*($G$10-$E$10)*($F$10-$E$10)),$G$10-SQRT((1-T938)*($G$10-$E$10)*($G$10-$F$10))))</f>
        <v>1.09573660327811</v>
      </c>
      <c r="G938" s="52" t="n">
        <f aca="false">IF($G$11=$E$11,$F$11,IF(U938&lt;($F$11-$E$11)/($G$11-$E$11),$E$11+SQRT(U938*($G$11-$E$11)*($F$11-$E$11)),$G$11-SQRT((1-U938)*($G$11-$E$11)*($G$11-$F$11))))</f>
        <v>0.0926660309590261</v>
      </c>
      <c r="H938" s="53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-2191473206.55621</v>
      </c>
      <c r="I938" s="53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-3769898.56480041</v>
      </c>
      <c r="J938" s="53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302296271.185092</v>
      </c>
      <c r="K938" s="53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663149271.098889</v>
      </c>
      <c r="L938" s="53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799617597.302125</v>
      </c>
      <c r="M938" s="53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989072080.211789</v>
      </c>
      <c r="N938" s="53" t="n">
        <f aca="false">IF(COUNT('Business Case'!B11:G11)=0,"",H938+NPV(G938,I938:M938))</f>
        <v>-237407239.292493</v>
      </c>
      <c r="P938" s="54" t="n">
        <f aca="true">RAND()</f>
        <v>0.638803286525944</v>
      </c>
      <c r="Q938" s="54" t="n">
        <f aca="true">RAND()</f>
        <v>0.562300327970019</v>
      </c>
      <c r="R938" s="54" t="n">
        <f aca="true">RAND()</f>
        <v>0.361246151141335</v>
      </c>
      <c r="S938" s="54" t="n">
        <f aca="true">RAND()</f>
        <v>0.798023974872278</v>
      </c>
      <c r="T938" s="54" t="n">
        <f aca="true">RAND()</f>
        <v>0.782582882080257</v>
      </c>
      <c r="U938" s="54" t="n">
        <f aca="true">RAND()</f>
        <v>0.0236924035816181</v>
      </c>
    </row>
    <row r="939" customFormat="false" ht="15" hidden="false" customHeight="false" outlineLevel="0" collapsed="false">
      <c r="A939" s="50" t="n">
        <v>859</v>
      </c>
      <c r="B939" s="51" t="n">
        <f aca="false">1+IF($G$6=$E$6,$F$6,IF(P939&lt;($F$6-$E$6)/($G$6-$E$6),$E$6+SQRT(P939*($G$6-$E$6)*($F$6-$E$6)),$G$6-SQRT((1-P939)*($G$6-$E$6)*($G$6-$F$6))))</f>
        <v>0.955990988480707</v>
      </c>
      <c r="C939" s="51" t="n">
        <f aca="false">1+IF($G$7=$E$7,$F$7,IF(Q939&lt;($F$7-$E$7)/($G$7-$E$7),$E$7+SQRT(Q939*($G$7-$E$7)*($F$7-$E$7)),$G$7-SQRT((1-Q939)*($G$7-$E$7)*($G$7-$F$7))))</f>
        <v>1.03105873592712</v>
      </c>
      <c r="D939" s="51" t="n">
        <f aca="false">1+IF($G$8=$E$8,$F$8,IF(R939&lt;($F$8-$E$8)/($G$8-$E$8),$E$8+SQRT(R939*($G$8-$E$8)*($F$8-$E$8)),$G$8-SQRT((1-R939)*($G$8-$E$8)*($G$8-$F$8))))</f>
        <v>1.04552182730275</v>
      </c>
      <c r="E939" s="51" t="n">
        <f aca="false">1+IF($G$9=$E$9,$F$9,IF(S939&lt;($F$9-$E$9)/($G$9-$E$9),$E$9+SQRT(S939*($G$9-$E$9)*($F$9-$E$9)),$G$9-SQRT((1-S939)*($G$9-$E$9)*($G$9-$F$9))))</f>
        <v>1.03898063613188</v>
      </c>
      <c r="F939" s="51" t="n">
        <f aca="false">1+IF($G$10=$E$10,$F$10,IF(T939&lt;($F$10-$E$10)/($G$10-$E$10),$E$10+SQRT(T939*($G$10-$E$10)*($F$10-$E$10)),$G$10-SQRT((1-T939)*($G$10-$E$10)*($G$10-$F$10))))</f>
        <v>1.03909289631783</v>
      </c>
      <c r="G939" s="52" t="n">
        <f aca="false">IF($G$11=$E$11,$F$11,IF(U939&lt;($F$11-$E$11)/($G$11-$E$11),$E$11+SQRT(U939*($G$11-$E$11)*($F$11-$E$11)),$G$11-SQRT((1-U939)*($G$11-$E$11)*($G$11-$F$11))))</f>
        <v>0.103414012503509</v>
      </c>
      <c r="H939" s="53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-2078185792.63567</v>
      </c>
      <c r="I939" s="53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-47251804.170432</v>
      </c>
      <c r="J939" s="53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208246527.218563</v>
      </c>
      <c r="K939" s="53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515699503.42345</v>
      </c>
      <c r="L939" s="53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634930813.532908</v>
      </c>
      <c r="M939" s="53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822289411.58844</v>
      </c>
      <c r="N939" s="53" t="n">
        <f aca="false">IF(COUNT('Business Case'!B11:G11)=0,"",H939+NPV(G939,I939:M939))</f>
        <v>-635049425.01733</v>
      </c>
      <c r="P939" s="54" t="n">
        <f aca="true">RAND()</f>
        <v>0.134932422064412</v>
      </c>
      <c r="Q939" s="54" t="n">
        <f aca="true">RAND()</f>
        <v>0.730532870490396</v>
      </c>
      <c r="R939" s="54" t="n">
        <f aca="true">RAND()</f>
        <v>0.885697654563306</v>
      </c>
      <c r="S939" s="54" t="n">
        <f aca="true">RAND()</f>
        <v>0.751775815541994</v>
      </c>
      <c r="T939" s="54" t="n">
        <f aca="true">RAND()</f>
        <v>0.482178079692327</v>
      </c>
      <c r="U939" s="54" t="n">
        <f aca="true">RAND()</f>
        <v>0.541508364610394</v>
      </c>
    </row>
    <row r="940" customFormat="false" ht="15" hidden="false" customHeight="false" outlineLevel="0" collapsed="false">
      <c r="A940" s="50" t="n">
        <v>860</v>
      </c>
      <c r="B940" s="51" t="n">
        <f aca="false">1+IF($G$6=$E$6,$F$6,IF(P940&lt;($F$6-$E$6)/($G$6-$E$6),$E$6+SQRT(P940*($G$6-$E$6)*($F$6-$E$6)),$G$6-SQRT((1-P940)*($G$6-$E$6)*($G$6-$F$6))))</f>
        <v>1.00184441588457</v>
      </c>
      <c r="C940" s="51" t="n">
        <f aca="false">1+IF($G$7=$E$7,$F$7,IF(Q940&lt;($F$7-$E$7)/($G$7-$E$7),$E$7+SQRT(Q940*($G$7-$E$7)*($F$7-$E$7)),$G$7-SQRT((1-Q940)*($G$7-$E$7)*($G$7-$F$7))))</f>
        <v>0.854850917916595</v>
      </c>
      <c r="D940" s="51" t="n">
        <f aca="false">1+IF($G$8=$E$8,$F$8,IF(R940&lt;($F$8-$E$8)/($G$8-$E$8),$E$8+SQRT(R940*($G$8-$E$8)*($F$8-$E$8)),$G$8-SQRT((1-R940)*($G$8-$E$8)*($G$8-$F$8))))</f>
        <v>0.975143486211818</v>
      </c>
      <c r="E940" s="51" t="n">
        <f aca="false">1+IF($G$9=$E$9,$F$9,IF(S940&lt;($F$9-$E$9)/($G$9-$E$9),$E$9+SQRT(S940*($G$9-$E$9)*($F$9-$E$9)),$G$9-SQRT((1-S940)*($G$9-$E$9)*($G$9-$F$9))))</f>
        <v>1.06310612734496</v>
      </c>
      <c r="F940" s="51" t="n">
        <f aca="false">1+IF($G$10=$E$10,$F$10,IF(T940&lt;($F$10-$E$10)/($G$10-$E$10),$E$10+SQRT(T940*($G$10-$E$10)*($F$10-$E$10)),$G$10-SQRT((1-T940)*($G$10-$E$10)*($G$10-$F$10))))</f>
        <v>1.00534290585015</v>
      </c>
      <c r="G940" s="52" t="n">
        <f aca="false">IF($G$11=$E$11,$F$11,IF(U940&lt;($F$11-$E$11)/($G$11-$E$11),$E$11+SQRT(U940*($G$11-$E$11)*($F$11-$E$11)),$G$11-SQRT((1-U940)*($G$11-$E$11)*($G$11-$F$11))))</f>
        <v>0.104490588350802</v>
      </c>
      <c r="H940" s="53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-2010685811.7003</v>
      </c>
      <c r="I940" s="53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-21366998.8859812</v>
      </c>
      <c r="J940" s="53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253371191.866026</v>
      </c>
      <c r="K940" s="53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578376527.91054</v>
      </c>
      <c r="L940" s="53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699554063.324221</v>
      </c>
      <c r="M940" s="53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862343825.054126</v>
      </c>
      <c r="N940" s="53" t="n">
        <f aca="false">IF(COUNT('Business Case'!B11:G11)=0,"",H940+NPV(G940,I940:M940))</f>
        <v>-398336453.001817</v>
      </c>
      <c r="P940" s="54" t="n">
        <f aca="true">RAND()</f>
        <v>0.696698208502132</v>
      </c>
      <c r="Q940" s="54" t="n">
        <f aca="true">RAND()</f>
        <v>0.0429803313756142</v>
      </c>
      <c r="R940" s="54" t="n">
        <f aca="true">RAND()</f>
        <v>0.097260753674442</v>
      </c>
      <c r="S940" s="54" t="n">
        <f aca="true">RAND()</f>
        <v>0.909256144034262</v>
      </c>
      <c r="T940" s="54" t="n">
        <f aca="true">RAND()</f>
        <v>0.242172313942715</v>
      </c>
      <c r="U940" s="54" t="n">
        <f aca="true">RAND()</f>
        <v>0.599096917159551</v>
      </c>
    </row>
    <row r="941" customFormat="false" ht="15" hidden="false" customHeight="false" outlineLevel="0" collapsed="false">
      <c r="A941" s="50" t="n">
        <v>861</v>
      </c>
      <c r="B941" s="51" t="n">
        <f aca="false">1+IF($G$6=$E$6,$F$6,IF(P941&lt;($F$6-$E$6)/($G$6-$E$6),$E$6+SQRT(P941*($G$6-$E$6)*($F$6-$E$6)),$G$6-SQRT((1-P941)*($G$6-$E$6)*($G$6-$F$6))))</f>
        <v>0.998997240849989</v>
      </c>
      <c r="C941" s="51" t="n">
        <f aca="false">1+IF($G$7=$E$7,$F$7,IF(Q941&lt;($F$7-$E$7)/($G$7-$E$7),$E$7+SQRT(Q941*($G$7-$E$7)*($F$7-$E$7)),$G$7-SQRT((1-Q941)*($G$7-$E$7)*($G$7-$F$7))))</f>
        <v>1.00915003930421</v>
      </c>
      <c r="D941" s="51" t="n">
        <f aca="false">1+IF($G$8=$E$8,$F$8,IF(R941&lt;($F$8-$E$8)/($G$8-$E$8),$E$8+SQRT(R941*($G$8-$E$8)*($F$8-$E$8)),$G$8-SQRT((1-R941)*($G$8-$E$8)*($G$8-$F$8))))</f>
        <v>1.03226709701382</v>
      </c>
      <c r="E941" s="51" t="n">
        <f aca="false">1+IF($G$9=$E$9,$F$9,IF(S941&lt;($F$9-$E$9)/($G$9-$E$9),$E$9+SQRT(S941*($G$9-$E$9)*($F$9-$E$9)),$G$9-SQRT((1-S941)*($G$9-$E$9)*($G$9-$F$9))))</f>
        <v>1.01433192586424</v>
      </c>
      <c r="F941" s="51" t="n">
        <f aca="false">1+IF($G$10=$E$10,$F$10,IF(T941&lt;($F$10-$E$10)/($G$10-$E$10),$E$10+SQRT(T941*($G$10-$E$10)*($F$10-$E$10)),$G$10-SQRT((1-T941)*($G$10-$E$10)*($G$10-$F$10))))</f>
        <v>1.16222185920368</v>
      </c>
      <c r="G941" s="52" t="n">
        <f aca="false">IF($G$11=$E$11,$F$11,IF(U941&lt;($F$11-$E$11)/($G$11-$E$11),$E$11+SQRT(U941*($G$11-$E$11)*($F$11-$E$11)),$G$11-SQRT((1-U941)*($G$11-$E$11)*($G$11-$F$11))))</f>
        <v>0.103851910718951</v>
      </c>
      <c r="H941" s="53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-2324443718.40736</v>
      </c>
      <c r="I941" s="53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-20257773.6534783</v>
      </c>
      <c r="J941" s="53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272206517.827692</v>
      </c>
      <c r="K941" s="53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622781902.269046</v>
      </c>
      <c r="L941" s="53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755111252.333695</v>
      </c>
      <c r="M941" s="53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946738143.307111</v>
      </c>
      <c r="N941" s="53" t="n">
        <f aca="false">IF(COUNT('Business Case'!B11:G11)=0,"",H941+NPV(G941,I941:M941))</f>
        <v>-570120281.299707</v>
      </c>
      <c r="P941" s="54" t="n">
        <f aca="true">RAND()</f>
        <v>0.650058756449085</v>
      </c>
      <c r="Q941" s="54" t="n">
        <f aca="true">RAND()</f>
        <v>0.622119782323697</v>
      </c>
      <c r="R941" s="54" t="n">
        <f aca="true">RAND()</f>
        <v>0.780920189664586</v>
      </c>
      <c r="S941" s="54" t="n">
        <f aca="true">RAND()</f>
        <v>0.510732071591328</v>
      </c>
      <c r="T941" s="54" t="n">
        <f aca="true">RAND()</f>
        <v>0.971456241559465</v>
      </c>
      <c r="U941" s="54" t="n">
        <f aca="true">RAND()</f>
        <v>0.565398687618774</v>
      </c>
    </row>
    <row r="942" customFormat="false" ht="15" hidden="false" customHeight="false" outlineLevel="0" collapsed="false">
      <c r="A942" s="50" t="n">
        <v>862</v>
      </c>
      <c r="B942" s="51" t="n">
        <f aca="false">1+IF($G$6=$E$6,$F$6,IF(P942&lt;($F$6-$E$6)/($G$6-$E$6),$E$6+SQRT(P942*($G$6-$E$6)*($F$6-$E$6)),$G$6-SQRT((1-P942)*($G$6-$E$6)*($G$6-$F$6))))</f>
        <v>0.991184280802079</v>
      </c>
      <c r="C942" s="51" t="n">
        <f aca="false">1+IF($G$7=$E$7,$F$7,IF(Q942&lt;($F$7-$E$7)/($G$7-$E$7),$E$7+SQRT(Q942*($G$7-$E$7)*($F$7-$E$7)),$G$7-SQRT((1-Q942)*($G$7-$E$7)*($G$7-$F$7))))</f>
        <v>0.96333126261067</v>
      </c>
      <c r="D942" s="51" t="n">
        <f aca="false">1+IF($G$8=$E$8,$F$8,IF(R942&lt;($F$8-$E$8)/($G$8-$E$8),$E$8+SQRT(R942*($G$8-$E$8)*($F$8-$E$8)),$G$8-SQRT((1-R942)*($G$8-$E$8)*($G$8-$F$8))))</f>
        <v>1.0184589927447</v>
      </c>
      <c r="E942" s="51" t="n">
        <f aca="false">1+IF($G$9=$E$9,$F$9,IF(S942&lt;($F$9-$E$9)/($G$9-$E$9),$E$9+SQRT(S942*($G$9-$E$9)*($F$9-$E$9)),$G$9-SQRT((1-S942)*($G$9-$E$9)*($G$9-$F$9))))</f>
        <v>0.979017127610218</v>
      </c>
      <c r="F942" s="51" t="n">
        <f aca="false">1+IF($G$10=$E$10,$F$10,IF(T942&lt;($F$10-$E$10)/($G$10-$E$10),$E$10+SQRT(T942*($G$10-$E$10)*($F$10-$E$10)),$G$10-SQRT((1-T942)*($G$10-$E$10)*($G$10-$F$10))))</f>
        <v>1.05438066545517</v>
      </c>
      <c r="G942" s="52" t="n">
        <f aca="false">IF($G$11=$E$11,$F$11,IF(U942&lt;($F$11-$E$11)/($G$11-$E$11),$E$11+SQRT(U942*($G$11-$E$11)*($F$11-$E$11)),$G$11-SQRT((1-U942)*($G$11-$E$11)*($G$11-$F$11))))</f>
        <v>0.100172498611681</v>
      </c>
      <c r="H942" s="53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-2108761330.91034</v>
      </c>
      <c r="I942" s="53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-14322981.5570828</v>
      </c>
      <c r="J942" s="53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265507182.613427</v>
      </c>
      <c r="K942" s="53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598056380.056695</v>
      </c>
      <c r="L942" s="53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724332330.537467</v>
      </c>
      <c r="M942" s="53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905828090.535778</v>
      </c>
      <c r="N942" s="53" t="n">
        <f aca="false">IF(COUNT('Business Case'!B11:G11)=0,"",H942+NPV(G942,I942:M942))</f>
        <v>-396878573.05129</v>
      </c>
      <c r="P942" s="54" t="n">
        <f aca="true">RAND()</f>
        <v>0.527833524303045</v>
      </c>
      <c r="Q942" s="54" t="n">
        <f aca="true">RAND()</f>
        <v>0.381101447799939</v>
      </c>
      <c r="R942" s="54" t="n">
        <f aca="true">RAND()</f>
        <v>0.63583696403876</v>
      </c>
      <c r="S942" s="54" t="n">
        <f aca="true">RAND()</f>
        <v>0.11226582596636</v>
      </c>
      <c r="T942" s="54" t="n">
        <f aca="true">RAND()</f>
        <v>0.575900188134404</v>
      </c>
      <c r="U942" s="54" t="n">
        <f aca="true">RAND()</f>
        <v>0.344783647827044</v>
      </c>
    </row>
    <row r="943" customFormat="false" ht="15" hidden="false" customHeight="false" outlineLevel="0" collapsed="false">
      <c r="A943" s="50" t="n">
        <v>863</v>
      </c>
      <c r="B943" s="51" t="n">
        <f aca="false">1+IF($G$6=$E$6,$F$6,IF(P943&lt;($F$6-$E$6)/($G$6-$E$6),$E$6+SQRT(P943*($G$6-$E$6)*($F$6-$E$6)),$G$6-SQRT((1-P943)*($G$6-$E$6)*($G$6-$F$6))))</f>
        <v>0.969530641317604</v>
      </c>
      <c r="C943" s="51" t="n">
        <f aca="false">1+IF($G$7=$E$7,$F$7,IF(Q943&lt;($F$7-$E$7)/($G$7-$E$7),$E$7+SQRT(Q943*($G$7-$E$7)*($F$7-$E$7)),$G$7-SQRT((1-Q943)*($G$7-$E$7)*($G$7-$F$7))))</f>
        <v>1.00728162988709</v>
      </c>
      <c r="D943" s="51" t="n">
        <f aca="false">1+IF($G$8=$E$8,$F$8,IF(R943&lt;($F$8-$E$8)/($G$8-$E$8),$E$8+SQRT(R943*($G$8-$E$8)*($F$8-$E$8)),$G$8-SQRT((1-R943)*($G$8-$E$8)*($G$8-$F$8))))</f>
        <v>1.02611904646551</v>
      </c>
      <c r="E943" s="51" t="n">
        <f aca="false">1+IF($G$9=$E$9,$F$9,IF(S943&lt;($F$9-$E$9)/($G$9-$E$9),$E$9+SQRT(S943*($G$9-$E$9)*($F$9-$E$9)),$G$9-SQRT((1-S943)*($G$9-$E$9)*($G$9-$F$9))))</f>
        <v>0.975313939400835</v>
      </c>
      <c r="F943" s="51" t="n">
        <f aca="false">1+IF($G$10=$E$10,$F$10,IF(T943&lt;($F$10-$E$10)/($G$10-$E$10),$E$10+SQRT(T943*($G$10-$E$10)*($F$10-$E$10)),$G$10-SQRT((1-T943)*($G$10-$E$10)*($G$10-$F$10))))</f>
        <v>1.09603447800849</v>
      </c>
      <c r="G943" s="52" t="n">
        <f aca="false">IF($G$11=$E$11,$F$11,IF(U943&lt;($F$11-$E$11)/($G$11-$E$11),$E$11+SQRT(U943*($G$11-$E$11)*($F$11-$E$11)),$G$11-SQRT((1-U943)*($G$11-$E$11)*($G$11-$F$11))))</f>
        <v>0.107062120377218</v>
      </c>
      <c r="H943" s="53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-2192068956.01697</v>
      </c>
      <c r="I943" s="53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-28137516.5811915</v>
      </c>
      <c r="J943" s="53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242644503.396344</v>
      </c>
      <c r="K943" s="53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568228247.274304</v>
      </c>
      <c r="L943" s="53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692239884.983535</v>
      </c>
      <c r="M943" s="53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877870189.092161</v>
      </c>
      <c r="N943" s="53" t="n">
        <f aca="false">IF(COUNT('Business Case'!B11:G11)=0,"",H943+NPV(G943,I943:M943))</f>
        <v>-611920494.894191</v>
      </c>
      <c r="P943" s="54" t="n">
        <f aca="true">RAND()</f>
        <v>0.255550461388866</v>
      </c>
      <c r="Q943" s="54" t="n">
        <f aca="true">RAND()</f>
        <v>0.612027939663149</v>
      </c>
      <c r="R943" s="54" t="n">
        <f aca="true">RAND()</f>
        <v>0.720850273674442</v>
      </c>
      <c r="S943" s="54" t="n">
        <f aca="true">RAND()</f>
        <v>0.0854394037318878</v>
      </c>
      <c r="T943" s="54" t="n">
        <f aca="true">RAND()</f>
        <v>0.78382340474064</v>
      </c>
      <c r="U943" s="54" t="n">
        <f aca="true">RAND()</f>
        <v>0.721018784777333</v>
      </c>
    </row>
    <row r="944" customFormat="false" ht="15" hidden="false" customHeight="false" outlineLevel="0" collapsed="false">
      <c r="A944" s="50" t="n">
        <v>864</v>
      </c>
      <c r="B944" s="51" t="n">
        <f aca="false">1+IF($G$6=$E$6,$F$6,IF(P944&lt;($F$6-$E$6)/($G$6-$E$6),$E$6+SQRT(P944*($G$6-$E$6)*($F$6-$E$6)),$G$6-SQRT((1-P944)*($G$6-$E$6)*($G$6-$F$6))))</f>
        <v>0.988107837062484</v>
      </c>
      <c r="C944" s="51" t="n">
        <f aca="false">1+IF($G$7=$E$7,$F$7,IF(Q944&lt;($F$7-$E$7)/($G$7-$E$7),$E$7+SQRT(Q944*($G$7-$E$7)*($F$7-$E$7)),$G$7-SQRT((1-Q944)*($G$7-$E$7)*($G$7-$F$7))))</f>
        <v>1.10463586438901</v>
      </c>
      <c r="D944" s="51" t="n">
        <f aca="false">1+IF($G$8=$E$8,$F$8,IF(R944&lt;($F$8-$E$8)/($G$8-$E$8),$E$8+SQRT(R944*($G$8-$E$8)*($F$8-$E$8)),$G$8-SQRT((1-R944)*($G$8-$E$8)*($G$8-$F$8))))</f>
        <v>0.976373403386589</v>
      </c>
      <c r="E944" s="51" t="n">
        <f aca="false">1+IF($G$9=$E$9,$F$9,IF(S944&lt;($F$9-$E$9)/($G$9-$E$9),$E$9+SQRT(S944*($G$9-$E$9)*($F$9-$E$9)),$G$9-SQRT((1-S944)*($G$9-$E$9)*($G$9-$F$9))))</f>
        <v>0.98306218057947</v>
      </c>
      <c r="F944" s="51" t="n">
        <f aca="false">1+IF($G$10=$E$10,$F$10,IF(T944&lt;($F$10-$E$10)/($G$10-$E$10),$E$10+SQRT(T944*($G$10-$E$10)*($F$10-$E$10)),$G$10-SQRT((1-T944)*($G$10-$E$10)*($G$10-$F$10))))</f>
        <v>1.01439936188336</v>
      </c>
      <c r="G944" s="52" t="n">
        <f aca="false">IF($G$11=$E$11,$F$11,IF(U944&lt;($F$11-$E$11)/($G$11-$E$11),$E$11+SQRT(U944*($G$11-$E$11)*($F$11-$E$11)),$G$11-SQRT((1-U944)*($G$11-$E$11)*($G$11-$F$11))))</f>
        <v>0.101422881494806</v>
      </c>
      <c r="H944" s="53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-2028798723.76671</v>
      </c>
      <c r="I944" s="53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44077153.4578962</v>
      </c>
      <c r="J944" s="53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385969011.730336</v>
      </c>
      <c r="K944" s="53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778580838.096944</v>
      </c>
      <c r="L944" s="53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930267008.552962</v>
      </c>
      <c r="M944" s="53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1137739205.89492</v>
      </c>
      <c r="N944" s="53" t="n">
        <f aca="false">IF(COUNT('Business Case'!B11:G11)=0,"",H944+NPV(G944,I944:M944))</f>
        <v>246076959.462444</v>
      </c>
      <c r="P944" s="54" t="n">
        <f aca="true">RAND()</f>
        <v>0.483195569721856</v>
      </c>
      <c r="Q944" s="54" t="n">
        <f aca="true">RAND()</f>
        <v>0.960801813338438</v>
      </c>
      <c r="R944" s="54" t="n">
        <f aca="true">RAND()</f>
        <v>0.107008677875653</v>
      </c>
      <c r="S944" s="54" t="n">
        <f aca="true">RAND()</f>
        <v>0.145747704622601</v>
      </c>
      <c r="T944" s="54" t="n">
        <f aca="true">RAND()</f>
        <v>0.311048062613885</v>
      </c>
      <c r="U944" s="54" t="n">
        <f aca="true">RAND()</f>
        <v>0.424817780073279</v>
      </c>
    </row>
    <row r="945" customFormat="false" ht="15" hidden="false" customHeight="false" outlineLevel="0" collapsed="false">
      <c r="A945" s="50" t="n">
        <v>865</v>
      </c>
      <c r="B945" s="51" t="n">
        <f aca="false">1+IF($G$6=$E$6,$F$6,IF(P945&lt;($F$6-$E$6)/($G$6-$E$6),$E$6+SQRT(P945*($G$6-$E$6)*($F$6-$E$6)),$G$6-SQRT((1-P945)*($G$6-$E$6)*($G$6-$F$6))))</f>
        <v>0.964005094727255</v>
      </c>
      <c r="C945" s="51" t="n">
        <f aca="false">1+IF($G$7=$E$7,$F$7,IF(Q945&lt;($F$7-$E$7)/($G$7-$E$7),$E$7+SQRT(Q945*($G$7-$E$7)*($F$7-$E$7)),$G$7-SQRT((1-Q945)*($G$7-$E$7)*($G$7-$F$7))))</f>
        <v>1.12487639614091</v>
      </c>
      <c r="D945" s="51" t="n">
        <f aca="false">1+IF($G$8=$E$8,$F$8,IF(R945&lt;($F$8-$E$8)/($G$8-$E$8),$E$8+SQRT(R945*($G$8-$E$8)*($F$8-$E$8)),$G$8-SQRT((1-R945)*($G$8-$E$8)*($G$8-$F$8))))</f>
        <v>1.0110245537157</v>
      </c>
      <c r="E945" s="51" t="n">
        <f aca="false">1+IF($G$9=$E$9,$F$9,IF(S945&lt;($F$9-$E$9)/($G$9-$E$9),$E$9+SQRT(S945*($G$9-$E$9)*($F$9-$E$9)),$G$9-SQRT((1-S945)*($G$9-$E$9)*($G$9-$F$9))))</f>
        <v>1.03863833921735</v>
      </c>
      <c r="F945" s="51" t="n">
        <f aca="false">1+IF($G$10=$E$10,$F$10,IF(T945&lt;($F$10-$E$10)/($G$10-$E$10),$E$10+SQRT(T945*($G$10-$E$10)*($F$10-$E$10)),$G$10-SQRT((1-T945)*($G$10-$E$10)*($G$10-$F$10))))</f>
        <v>1.0845168319819</v>
      </c>
      <c r="G945" s="52" t="n">
        <f aca="false">IF($G$11=$E$11,$F$11,IF(U945&lt;($F$11-$E$11)/($G$11-$E$11),$E$11+SQRT(U945*($G$11-$E$11)*($F$11-$E$11)),$G$11-SQRT((1-U945)*($G$11-$E$11)*($G$11-$F$11))))</f>
        <v>0.098099081285381</v>
      </c>
      <c r="H945" s="53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-2169033663.96379</v>
      </c>
      <c r="I945" s="53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-6365150.79052053</v>
      </c>
      <c r="J945" s="53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299630353.596115</v>
      </c>
      <c r="K945" s="53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659851699.581845</v>
      </c>
      <c r="L945" s="53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799326601.138896</v>
      </c>
      <c r="M945" s="53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1005446801.66051</v>
      </c>
      <c r="N945" s="53" t="n">
        <f aca="false">IF(COUNT('Business Case'!B11:G11)=0,"",H945+NPV(G945,I945:M945))</f>
        <v>-248541503.633258</v>
      </c>
      <c r="P945" s="54" t="n">
        <f aca="true">RAND()</f>
        <v>0.201713371036945</v>
      </c>
      <c r="Q945" s="54" t="n">
        <f aca="true">RAND()</f>
        <v>0.987977229126311</v>
      </c>
      <c r="R945" s="54" t="n">
        <f aca="true">RAND()</f>
        <v>0.542537289411729</v>
      </c>
      <c r="S945" s="54" t="n">
        <f aca="true">RAND()</f>
        <v>0.748983105732994</v>
      </c>
      <c r="T945" s="54" t="n">
        <f aca="true">RAND()</f>
        <v>0.733272758090051</v>
      </c>
      <c r="U945" s="54" t="n">
        <f aca="true">RAND()</f>
        <v>0.218650392224026</v>
      </c>
    </row>
    <row r="946" customFormat="false" ht="15" hidden="false" customHeight="false" outlineLevel="0" collapsed="false">
      <c r="A946" s="50" t="n">
        <v>866</v>
      </c>
      <c r="B946" s="51" t="n">
        <f aca="false">1+IF($G$6=$E$6,$F$6,IF(P946&lt;($F$6-$E$6)/($G$6-$E$6),$E$6+SQRT(P946*($G$6-$E$6)*($F$6-$E$6)),$G$6-SQRT((1-P946)*($G$6-$E$6)*($G$6-$F$6))))</f>
        <v>0.954722107615023</v>
      </c>
      <c r="C946" s="51" t="n">
        <f aca="false">1+IF($G$7=$E$7,$F$7,IF(Q946&lt;($F$7-$E$7)/($G$7-$E$7),$E$7+SQRT(Q946*($G$7-$E$7)*($F$7-$E$7)),$G$7-SQRT((1-Q946)*($G$7-$E$7)*($G$7-$F$7))))</f>
        <v>0.825118532681526</v>
      </c>
      <c r="D946" s="51" t="n">
        <f aca="false">1+IF($G$8=$E$8,$F$8,IF(R946&lt;($F$8-$E$8)/($G$8-$E$8),$E$8+SQRT(R946*($G$8-$E$8)*($F$8-$E$8)),$G$8-SQRT((1-R946)*($G$8-$E$8)*($G$8-$F$8))))</f>
        <v>1.01631266266648</v>
      </c>
      <c r="E946" s="51" t="n">
        <f aca="false">1+IF($G$9=$E$9,$F$9,IF(S946&lt;($F$9-$E$9)/($G$9-$E$9),$E$9+SQRT(S946*($G$9-$E$9)*($F$9-$E$9)),$G$9-SQRT((1-S946)*($G$9-$E$9)*($G$9-$F$9))))</f>
        <v>1.03300084018817</v>
      </c>
      <c r="F946" s="51" t="n">
        <f aca="false">1+IF($G$10=$E$10,$F$10,IF(T946&lt;($F$10-$E$10)/($G$10-$E$10),$E$10+SQRT(T946*($G$10-$E$10)*($F$10-$E$10)),$G$10-SQRT((1-T946)*($G$10-$E$10)*($G$10-$F$10))))</f>
        <v>1.0026275912773</v>
      </c>
      <c r="G946" s="52" t="n">
        <f aca="false">IF($G$11=$E$11,$F$11,IF(U946&lt;($F$11-$E$11)/($G$11-$E$11),$E$11+SQRT(U946*($G$11-$E$11)*($F$11-$E$11)),$G$11-SQRT((1-U946)*($G$11-$E$11)*($G$11-$F$11))))</f>
        <v>0.0974512915780936</v>
      </c>
      <c r="H946" s="53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-2005255182.55461</v>
      </c>
      <c r="I946" s="53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-72046699.9088269</v>
      </c>
      <c r="J946" s="53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143899500.396909</v>
      </c>
      <c r="K946" s="53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409977080.26651</v>
      </c>
      <c r="L946" s="53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509184094.776472</v>
      </c>
      <c r="M946" s="53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658921307.354082</v>
      </c>
      <c r="N946" s="53" t="n">
        <f aca="false">IF(COUNT('Business Case'!B11:G11)=0,"",H946+NPV(G946,I946:M946))</f>
        <v>-876320310.876433</v>
      </c>
      <c r="P946" s="54" t="n">
        <f aca="true">RAND()</f>
        <v>0.12558591221138</v>
      </c>
      <c r="Q946" s="54" t="n">
        <f aca="true">RAND()</f>
        <v>0.00901343834389807</v>
      </c>
      <c r="R946" s="54" t="n">
        <f aca="true">RAND()</f>
        <v>0.609992602246784</v>
      </c>
      <c r="S946" s="54" t="n">
        <f aca="true">RAND()</f>
        <v>0.700740838967227</v>
      </c>
      <c r="T946" s="54" t="n">
        <f aca="true">RAND()</f>
        <v>0.220882645500023</v>
      </c>
      <c r="U946" s="54" t="n">
        <f aca="true">RAND()</f>
        <v>0.185072487272562</v>
      </c>
    </row>
    <row r="947" customFormat="false" ht="15" hidden="false" customHeight="false" outlineLevel="0" collapsed="false">
      <c r="A947" s="50" t="n">
        <v>867</v>
      </c>
      <c r="B947" s="51" t="n">
        <f aca="false">1+IF($G$6=$E$6,$F$6,IF(P947&lt;($F$6-$E$6)/($G$6-$E$6),$E$6+SQRT(P947*($G$6-$E$6)*($F$6-$E$6)),$G$6-SQRT((1-P947)*($G$6-$E$6)*($G$6-$F$6))))</f>
        <v>0.987037092679758</v>
      </c>
      <c r="C947" s="51" t="n">
        <f aca="false">1+IF($G$7=$E$7,$F$7,IF(Q947&lt;($F$7-$E$7)/($G$7-$E$7),$E$7+SQRT(Q947*($G$7-$E$7)*($F$7-$E$7)),$G$7-SQRT((1-Q947)*($G$7-$E$7)*($G$7-$F$7))))</f>
        <v>1.03305011273264</v>
      </c>
      <c r="D947" s="51" t="n">
        <f aca="false">1+IF($G$8=$E$8,$F$8,IF(R947&lt;($F$8-$E$8)/($G$8-$E$8),$E$8+SQRT(R947*($G$8-$E$8)*($F$8-$E$8)),$G$8-SQRT((1-R947)*($G$8-$E$8)*($G$8-$F$8))))</f>
        <v>0.964089725910553</v>
      </c>
      <c r="E947" s="51" t="n">
        <f aca="false">1+IF($G$9=$E$9,$F$9,IF(S947&lt;($F$9-$E$9)/($G$9-$E$9),$E$9+SQRT(S947*($G$9-$E$9)*($F$9-$E$9)),$G$9-SQRT((1-S947)*($G$9-$E$9)*($G$9-$F$9))))</f>
        <v>1.02794756943622</v>
      </c>
      <c r="F947" s="51" t="n">
        <f aca="false">1+IF($G$10=$E$10,$F$10,IF(T947&lt;($F$10-$E$10)/($G$10-$E$10),$E$10+SQRT(T947*($G$10-$E$10)*($F$10-$E$10)),$G$10-SQRT((1-T947)*($G$10-$E$10)*($G$10-$F$10))))</f>
        <v>1.03941749838446</v>
      </c>
      <c r="G947" s="52" t="n">
        <f aca="false">IF($G$11=$E$11,$F$11,IF(U947&lt;($F$11-$E$11)/($G$11-$E$11),$E$11+SQRT(U947*($G$11-$E$11)*($F$11-$E$11)),$G$11-SQRT((1-U947)*($G$11-$E$11)*($G$11-$F$11))))</f>
        <v>0.095369904492675</v>
      </c>
      <c r="H947" s="53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-2078834996.76892</v>
      </c>
      <c r="I947" s="53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22350691.0018624</v>
      </c>
      <c r="J947" s="53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347676387.364158</v>
      </c>
      <c r="K947" s="53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724972958.645676</v>
      </c>
      <c r="L947" s="53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868654264.865212</v>
      </c>
      <c r="M947" s="53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1062471005.74178</v>
      </c>
      <c r="N947" s="53" t="n">
        <f aca="false">IF(COUNT('Business Case'!B11:G11)=0,"",H947+NPV(G947,I947:M947))</f>
        <v>60129024.3564062</v>
      </c>
      <c r="P947" s="54" t="n">
        <f aca="true">RAND()</f>
        <v>0.46812206197442</v>
      </c>
      <c r="Q947" s="54" t="n">
        <f aca="true">RAND()</f>
        <v>0.739480454631478</v>
      </c>
      <c r="R947" s="54" t="n">
        <f aca="true">RAND()</f>
        <v>0.0305415963437715</v>
      </c>
      <c r="S947" s="54" t="n">
        <f aca="true">RAND()</f>
        <v>0.653896483323477</v>
      </c>
      <c r="T947" s="54" t="n">
        <f aca="true">RAND()</f>
        <v>0.484265203497902</v>
      </c>
      <c r="U947" s="54" t="n">
        <f aca="true">RAND()</f>
        <v>0.0961195808681699</v>
      </c>
    </row>
    <row r="948" customFormat="false" ht="15" hidden="false" customHeight="false" outlineLevel="0" collapsed="false">
      <c r="A948" s="50" t="n">
        <v>868</v>
      </c>
      <c r="B948" s="51" t="n">
        <f aca="false">1+IF($G$6=$E$6,$F$6,IF(P948&lt;($F$6-$E$6)/($G$6-$E$6),$E$6+SQRT(P948*($G$6-$E$6)*($F$6-$E$6)),$G$6-SQRT((1-P948)*($G$6-$E$6)*($G$6-$F$6))))</f>
        <v>0.990999982229458</v>
      </c>
      <c r="C948" s="51" t="n">
        <f aca="false">1+IF($G$7=$E$7,$F$7,IF(Q948&lt;($F$7-$E$7)/($G$7-$E$7),$E$7+SQRT(Q948*($G$7-$E$7)*($F$7-$E$7)),$G$7-SQRT((1-Q948)*($G$7-$E$7)*($G$7-$F$7))))</f>
        <v>0.909238016180977</v>
      </c>
      <c r="D948" s="51" t="n">
        <f aca="false">1+IF($G$8=$E$8,$F$8,IF(R948&lt;($F$8-$E$8)/($G$8-$E$8),$E$8+SQRT(R948*($G$8-$E$8)*($F$8-$E$8)),$G$8-SQRT((1-R948)*($G$8-$E$8)*($G$8-$F$8))))</f>
        <v>1.01702498206143</v>
      </c>
      <c r="E948" s="51" t="n">
        <f aca="false">1+IF($G$9=$E$9,$F$9,IF(S948&lt;($F$9-$E$9)/($G$9-$E$9),$E$9+SQRT(S948*($G$9-$E$9)*($F$9-$E$9)),$G$9-SQRT((1-S948)*($G$9-$E$9)*($G$9-$F$9))))</f>
        <v>0.989274785101026</v>
      </c>
      <c r="F948" s="51" t="n">
        <f aca="false">1+IF($G$10=$E$10,$F$10,IF(T948&lt;($F$10-$E$10)/($G$10-$E$10),$E$10+SQRT(T948*($G$10-$E$10)*($F$10-$E$10)),$G$10-SQRT((1-T948)*($G$10-$E$10)*($G$10-$F$10))))</f>
        <v>0.960751615639064</v>
      </c>
      <c r="G948" s="52" t="n">
        <f aca="false">IF($G$11=$E$11,$F$11,IF(U948&lt;($F$11-$E$11)/($G$11-$E$11),$E$11+SQRT(U948*($G$11-$E$11)*($F$11-$E$11)),$G$11-SQRT((1-U948)*($G$11-$E$11)*($G$11-$F$11))))</f>
        <v>0.114066493858523</v>
      </c>
      <c r="H948" s="53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-1921503231.27813</v>
      </c>
      <c r="I948" s="53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-18813439.7370524</v>
      </c>
      <c r="J948" s="53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245833840.363547</v>
      </c>
      <c r="K948" s="53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558518701.2461</v>
      </c>
      <c r="L948" s="53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677874917.167886</v>
      </c>
      <c r="M948" s="53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849147424.553279</v>
      </c>
      <c r="N948" s="53" t="n">
        <f aca="false">IF(COUNT('Business Case'!B11:G11)=0,"",H948+NPV(G948,I948:M948))</f>
        <v>-401541010.576348</v>
      </c>
      <c r="P948" s="54" t="n">
        <f aca="true">RAND()</f>
        <v>0.52510390381077</v>
      </c>
      <c r="Q948" s="54" t="n">
        <f aca="true">RAND()</f>
        <v>0.170470631130791</v>
      </c>
      <c r="R948" s="54" t="n">
        <f aca="true">RAND()</f>
        <v>0.6186679918882</v>
      </c>
      <c r="S948" s="54" t="n">
        <f aca="true">RAND()</f>
        <v>0.205667832630905</v>
      </c>
      <c r="T948" s="54" t="n">
        <f aca="true">RAND()</f>
        <v>0.00924777910801274</v>
      </c>
      <c r="U948" s="54" t="n">
        <f aca="true">RAND()</f>
        <v>0.941322508115082</v>
      </c>
    </row>
    <row r="949" customFormat="false" ht="15" hidden="false" customHeight="false" outlineLevel="0" collapsed="false">
      <c r="A949" s="50" t="n">
        <v>869</v>
      </c>
      <c r="B949" s="51" t="n">
        <f aca="false">1+IF($G$6=$E$6,$F$6,IF(P949&lt;($F$6-$E$6)/($G$6-$E$6),$E$6+SQRT(P949*($G$6-$E$6)*($F$6-$E$6)),$G$6-SQRT((1-P949)*($G$6-$E$6)*($G$6-$F$6))))</f>
        <v>0.933241275207117</v>
      </c>
      <c r="C949" s="51" t="n">
        <f aca="false">1+IF($G$7=$E$7,$F$7,IF(Q949&lt;($F$7-$E$7)/($G$7-$E$7),$E$7+SQRT(Q949*($G$7-$E$7)*($F$7-$E$7)),$G$7-SQRT((1-Q949)*($G$7-$E$7)*($G$7-$F$7))))</f>
        <v>0.948209123628542</v>
      </c>
      <c r="D949" s="51" t="n">
        <f aca="false">1+IF($G$8=$E$8,$F$8,IF(R949&lt;($F$8-$E$8)/($G$8-$E$8),$E$8+SQRT(R949*($G$8-$E$8)*($F$8-$E$8)),$G$8-SQRT((1-R949)*($G$8-$E$8)*($G$8-$F$8))))</f>
        <v>0.997851555949463</v>
      </c>
      <c r="E949" s="51" t="n">
        <f aca="false">1+IF($G$9=$E$9,$F$9,IF(S949&lt;($F$9-$E$9)/($G$9-$E$9),$E$9+SQRT(S949*($G$9-$E$9)*($F$9-$E$9)),$G$9-SQRT((1-S949)*($G$9-$E$9)*($G$9-$F$9))))</f>
        <v>1.02927460081182</v>
      </c>
      <c r="F949" s="51" t="n">
        <f aca="false">1+IF($G$10=$E$10,$F$10,IF(T949&lt;($F$10-$E$10)/($G$10-$E$10),$E$10+SQRT(T949*($G$10-$E$10)*($F$10-$E$10)),$G$10-SQRT((1-T949)*($G$10-$E$10)*($G$10-$F$10))))</f>
        <v>1.11755559936139</v>
      </c>
      <c r="G949" s="52" t="n">
        <f aca="false">IF($G$11=$E$11,$F$11,IF(U949&lt;($F$11-$E$11)/($G$11-$E$11),$E$11+SQRT(U949*($G$11-$E$11)*($F$11-$E$11)),$G$11-SQRT((1-U949)*($G$11-$E$11)*($G$11-$F$11))))</f>
        <v>0.0987161124645126</v>
      </c>
      <c r="H949" s="53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-2235111198.72277</v>
      </c>
      <c r="I949" s="53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-63553100.9339414</v>
      </c>
      <c r="J949" s="53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176885831.409327</v>
      </c>
      <c r="K949" s="53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473202543.720665</v>
      </c>
      <c r="L949" s="53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583931271.238841</v>
      </c>
      <c r="M949" s="53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752134563.292821</v>
      </c>
      <c r="N949" s="53" t="n">
        <f aca="false">IF(COUNT('Business Case'!B11:G11)=0,"",H949+NPV(G949,I949:M949))</f>
        <v>-919202132.87077</v>
      </c>
      <c r="P949" s="54" t="n">
        <f aca="true">RAND()</f>
        <v>0.0182636842823556</v>
      </c>
      <c r="Q949" s="54" t="n">
        <f aca="true">RAND()</f>
        <v>0.313799204667721</v>
      </c>
      <c r="R949" s="54" t="n">
        <f aca="true">RAND()</f>
        <v>0.352272524120704</v>
      </c>
      <c r="S949" s="54" t="n">
        <f aca="true">RAND()</f>
        <v>0.666527860644816</v>
      </c>
      <c r="T949" s="54" t="n">
        <f aca="true">RAND()</f>
        <v>0.864058416066794</v>
      </c>
      <c r="U949" s="54" t="n">
        <f aca="true">RAND()</f>
        <v>0.25323538831344</v>
      </c>
    </row>
    <row r="950" customFormat="false" ht="15" hidden="false" customHeight="false" outlineLevel="0" collapsed="false">
      <c r="A950" s="50" t="n">
        <v>870</v>
      </c>
      <c r="B950" s="51" t="n">
        <f aca="false">1+IF($G$6=$E$6,$F$6,IF(P950&lt;($F$6-$E$6)/($G$6-$E$6),$E$6+SQRT(P950*($G$6-$E$6)*($F$6-$E$6)),$G$6-SQRT((1-P950)*($G$6-$E$6)*($G$6-$F$6))))</f>
        <v>1.02924680414323</v>
      </c>
      <c r="C950" s="51" t="n">
        <f aca="false">1+IF($G$7=$E$7,$F$7,IF(Q950&lt;($F$7-$E$7)/($G$7-$E$7),$E$7+SQRT(Q950*($G$7-$E$7)*($F$7-$E$7)),$G$7-SQRT((1-Q950)*($G$7-$E$7)*($G$7-$F$7))))</f>
        <v>1.01688113732867</v>
      </c>
      <c r="D950" s="51" t="n">
        <f aca="false">1+IF($G$8=$E$8,$F$8,IF(R950&lt;($F$8-$E$8)/($G$8-$E$8),$E$8+SQRT(R950*($G$8-$E$8)*($F$8-$E$8)),$G$8-SQRT((1-R950)*($G$8-$E$8)*($G$8-$F$8))))</f>
        <v>1.01027469168884</v>
      </c>
      <c r="E950" s="51" t="n">
        <f aca="false">1+IF($G$9=$E$9,$F$9,IF(S950&lt;($F$9-$E$9)/($G$9-$E$9),$E$9+SQRT(S950*($G$9-$E$9)*($F$9-$E$9)),$G$9-SQRT((1-S950)*($G$9-$E$9)*($G$9-$F$9))))</f>
        <v>1.01351709859456</v>
      </c>
      <c r="F950" s="51" t="n">
        <f aca="false">1+IF($G$10=$E$10,$F$10,IF(T950&lt;($F$10-$E$10)/($G$10-$E$10),$E$10+SQRT(T950*($G$10-$E$10)*($F$10-$E$10)),$G$10-SQRT((1-T950)*($G$10-$E$10)*($G$10-$F$10))))</f>
        <v>1.12558337017978</v>
      </c>
      <c r="G950" s="52" t="n">
        <f aca="false">IF($G$11=$E$11,$F$11,IF(U950&lt;($F$11-$E$11)/($G$11-$E$11),$E$11+SQRT(U950*($G$11-$E$11)*($F$11-$E$11)),$G$11-SQRT((1-U950)*($G$11-$E$11)*($G$11-$F$11))))</f>
        <v>0.104448030114851</v>
      </c>
      <c r="H950" s="53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-2251166740.35956</v>
      </c>
      <c r="I950" s="53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20410757.8751432</v>
      </c>
      <c r="J950" s="53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351758851.083716</v>
      </c>
      <c r="K950" s="53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739386112.801279</v>
      </c>
      <c r="L950" s="53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886006721.801006</v>
      </c>
      <c r="M950" s="53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1084948567.08379</v>
      </c>
      <c r="N950" s="53" t="n">
        <f aca="false">IF(COUNT('Business Case'!B11:G11)=0,"",H950+NPV(G950,I950:M950))</f>
        <v>-139810908.232534</v>
      </c>
      <c r="P950" s="54" t="n">
        <f aca="true">RAND()</f>
        <v>0.97591016226373</v>
      </c>
      <c r="Q950" s="54" t="n">
        <f aca="true">RAND()</f>
        <v>0.662464160020775</v>
      </c>
      <c r="R950" s="54" t="n">
        <f aca="true">RAND()</f>
        <v>0.532536671241699</v>
      </c>
      <c r="S950" s="54" t="n">
        <f aca="true">RAND()</f>
        <v>0.501380517633177</v>
      </c>
      <c r="T950" s="54" t="n">
        <f aca="true">RAND()</f>
        <v>0.889243304124006</v>
      </c>
      <c r="U950" s="54" t="n">
        <f aca="true">RAND()</f>
        <v>0.596893721152351</v>
      </c>
    </row>
    <row r="951" customFormat="false" ht="15" hidden="false" customHeight="false" outlineLevel="0" collapsed="false">
      <c r="A951" s="50" t="n">
        <v>871</v>
      </c>
      <c r="B951" s="51" t="n">
        <f aca="false">1+IF($G$6=$E$6,$F$6,IF(P951&lt;($F$6-$E$6)/($G$6-$E$6),$E$6+SQRT(P951*($G$6-$E$6)*($F$6-$E$6)),$G$6-SQRT((1-P951)*($G$6-$E$6)*($G$6-$F$6))))</f>
        <v>0.995427419508405</v>
      </c>
      <c r="C951" s="51" t="n">
        <f aca="false">1+IF($G$7=$E$7,$F$7,IF(Q951&lt;($F$7-$E$7)/($G$7-$E$7),$E$7+SQRT(Q951*($G$7-$E$7)*($F$7-$E$7)),$G$7-SQRT((1-Q951)*($G$7-$E$7)*($G$7-$F$7))))</f>
        <v>0.868811831612342</v>
      </c>
      <c r="D951" s="51" t="n">
        <f aca="false">1+IF($G$8=$E$8,$F$8,IF(R951&lt;($F$8-$E$8)/($G$8-$E$8),$E$8+SQRT(R951*($G$8-$E$8)*($F$8-$E$8)),$G$8-SQRT((1-R951)*($G$8-$E$8)*($G$8-$F$8))))</f>
        <v>1.02947002382226</v>
      </c>
      <c r="E951" s="51" t="n">
        <f aca="false">1+IF($G$9=$E$9,$F$9,IF(S951&lt;($F$9-$E$9)/($G$9-$E$9),$E$9+SQRT(S951*($G$9-$E$9)*($F$9-$E$9)),$G$9-SQRT((1-S951)*($G$9-$E$9)*($G$9-$F$9))))</f>
        <v>1.00689569215499</v>
      </c>
      <c r="F951" s="51" t="n">
        <f aca="false">1+IF($G$10=$E$10,$F$10,IF(T951&lt;($F$10-$E$10)/($G$10-$E$10),$E$10+SQRT(T951*($G$10-$E$10)*($F$10-$E$10)),$G$10-SQRT((1-T951)*($G$10-$E$10)*($G$10-$F$10))))</f>
        <v>0.998843156514385</v>
      </c>
      <c r="G951" s="52" t="n">
        <f aca="false">IF($G$11=$E$11,$F$11,IF(U951&lt;($F$11-$E$11)/($G$11-$E$11),$E$11+SQRT(U951*($G$11-$E$11)*($F$11-$E$11)),$G$11-SQRT((1-U951)*($G$11-$E$11)*($G$11-$F$11))))</f>
        <v>0.0994172277277222</v>
      </c>
      <c r="H951" s="53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-1997686313.02877</v>
      </c>
      <c r="I951" s="53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-37401939.7604849</v>
      </c>
      <c r="J951" s="53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213094263.513949</v>
      </c>
      <c r="K951" s="53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513532624.614101</v>
      </c>
      <c r="L951" s="53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626920199.011606</v>
      </c>
      <c r="M951" s="53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791308818.861419</v>
      </c>
      <c r="N951" s="53" t="n">
        <f aca="false">IF(COUNT('Business Case'!B11:G11)=0,"",H951+NPV(G951,I951:M951))</f>
        <v>-547222164.76928</v>
      </c>
      <c r="P951" s="54" t="n">
        <f aca="true">RAND()</f>
        <v>0.592634959760089</v>
      </c>
      <c r="Q951" s="54" t="n">
        <f aca="true">RAND()</f>
        <v>0.067643830997791</v>
      </c>
      <c r="R951" s="54" t="n">
        <f aca="true">RAND()</f>
        <v>0.754492452642056</v>
      </c>
      <c r="S951" s="54" t="n">
        <f aca="true">RAND()</f>
        <v>0.422105857380132</v>
      </c>
      <c r="T951" s="54" t="n">
        <f aca="true">RAND()</f>
        <v>0.190852315063099</v>
      </c>
      <c r="U951" s="54" t="n">
        <f aca="true">RAND()</f>
        <v>0.295613926919265</v>
      </c>
    </row>
    <row r="952" customFormat="false" ht="15" hidden="false" customHeight="false" outlineLevel="0" collapsed="false">
      <c r="A952" s="50" t="n">
        <v>872</v>
      </c>
      <c r="B952" s="51" t="n">
        <f aca="false">1+IF($G$6=$E$6,$F$6,IF(P952&lt;($F$6-$E$6)/($G$6-$E$6),$E$6+SQRT(P952*($G$6-$E$6)*($F$6-$E$6)),$G$6-SQRT((1-P952)*($G$6-$E$6)*($G$6-$F$6))))</f>
        <v>1.02106884681181</v>
      </c>
      <c r="C952" s="51" t="n">
        <f aca="false">1+IF($G$7=$E$7,$F$7,IF(Q952&lt;($F$7-$E$7)/($G$7-$E$7),$E$7+SQRT(Q952*($G$7-$E$7)*($F$7-$E$7)),$G$7-SQRT((1-Q952)*($G$7-$E$7)*($G$7-$F$7))))</f>
        <v>0.951146955486166</v>
      </c>
      <c r="D952" s="51" t="n">
        <f aca="false">1+IF($G$8=$E$8,$F$8,IF(R952&lt;($F$8-$E$8)/($G$8-$E$8),$E$8+SQRT(R952*($G$8-$E$8)*($F$8-$E$8)),$G$8-SQRT((1-R952)*($G$8-$E$8)*($G$8-$F$8))))</f>
        <v>0.982873819438211</v>
      </c>
      <c r="E952" s="51" t="n">
        <f aca="false">1+IF($G$9=$E$9,$F$9,IF(S952&lt;($F$9-$E$9)/($G$9-$E$9),$E$9+SQRT(S952*($G$9-$E$9)*($F$9-$E$9)),$G$9-SQRT((1-S952)*($G$9-$E$9)*($G$9-$F$9))))</f>
        <v>0.962762757270077</v>
      </c>
      <c r="F952" s="51" t="n">
        <f aca="false">1+IF($G$10=$E$10,$F$10,IF(T952&lt;($F$10-$E$10)/($G$10-$E$10),$E$10+SQRT(T952*($G$10-$E$10)*($F$10-$E$10)),$G$10-SQRT((1-T952)*($G$10-$E$10)*($G$10-$F$10))))</f>
        <v>1.11627055069889</v>
      </c>
      <c r="G952" s="52" t="n">
        <f aca="false">IF($G$11=$E$11,$F$11,IF(U952&lt;($F$11-$E$11)/($G$11-$E$11),$E$11+SQRT(U952*($G$11-$E$11)*($F$11-$E$11)),$G$11-SQRT((1-U952)*($G$11-$E$11)*($G$11-$F$11))))</f>
        <v>0.096005134427844</v>
      </c>
      <c r="H952" s="53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-2232541101.39777</v>
      </c>
      <c r="I952" s="53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18021239.5955903</v>
      </c>
      <c r="J952" s="53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334920707.800191</v>
      </c>
      <c r="K952" s="53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707633703.539736</v>
      </c>
      <c r="L952" s="53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846831065.911481</v>
      </c>
      <c r="M952" s="53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1031434200.58098</v>
      </c>
      <c r="N952" s="53" t="n">
        <f aca="false">IF(COUNT('Business Case'!B11:G11)=0,"",H952+NPV(G952,I952:M952))</f>
        <v>-160719775.014274</v>
      </c>
      <c r="P952" s="54" t="n">
        <f aca="true">RAND()</f>
        <v>0.925335716451099</v>
      </c>
      <c r="Q952" s="54" t="n">
        <f aca="true">RAND()</f>
        <v>0.326362887896242</v>
      </c>
      <c r="R952" s="54" t="n">
        <f aca="true">RAND()</f>
        <v>0.166259692993241</v>
      </c>
      <c r="S952" s="54" t="n">
        <f aca="true">RAND()</f>
        <v>0.0217183964179882</v>
      </c>
      <c r="T952" s="54" t="n">
        <f aca="true">RAND()</f>
        <v>0.859787586394645</v>
      </c>
      <c r="U952" s="54" t="n">
        <f aca="true">RAND()</f>
        <v>0.120205464988259</v>
      </c>
    </row>
    <row r="953" customFormat="false" ht="15" hidden="false" customHeight="false" outlineLevel="0" collapsed="false">
      <c r="A953" s="50" t="n">
        <v>873</v>
      </c>
      <c r="B953" s="51" t="n">
        <f aca="false">1+IF($G$6=$E$6,$F$6,IF(P953&lt;($F$6-$E$6)/($G$6-$E$6),$E$6+SQRT(P953*($G$6-$E$6)*($F$6-$E$6)),$G$6-SQRT((1-P953)*($G$6-$E$6)*($G$6-$F$6))))</f>
        <v>0.989210452083064</v>
      </c>
      <c r="C953" s="51" t="n">
        <f aca="false">1+IF($G$7=$E$7,$F$7,IF(Q953&lt;($F$7-$E$7)/($G$7-$E$7),$E$7+SQRT(Q953*($G$7-$E$7)*($F$7-$E$7)),$G$7-SQRT((1-Q953)*($G$7-$E$7)*($G$7-$F$7))))</f>
        <v>1.01424585439519</v>
      </c>
      <c r="D953" s="51" t="n">
        <f aca="false">1+IF($G$8=$E$8,$F$8,IF(R953&lt;($F$8-$E$8)/($G$8-$E$8),$E$8+SQRT(R953*($G$8-$E$8)*($F$8-$E$8)),$G$8-SQRT((1-R953)*($G$8-$E$8)*($G$8-$F$8))))</f>
        <v>0.992789987006223</v>
      </c>
      <c r="E953" s="51" t="n">
        <f aca="false">1+IF($G$9=$E$9,$F$9,IF(S953&lt;($F$9-$E$9)/($G$9-$E$9),$E$9+SQRT(S953*($G$9-$E$9)*($F$9-$E$9)),$G$9-SQRT((1-S953)*($G$9-$E$9)*($G$9-$F$9))))</f>
        <v>1.0306472078508</v>
      </c>
      <c r="F953" s="51" t="n">
        <f aca="false">1+IF($G$10=$E$10,$F$10,IF(T953&lt;($F$10-$E$10)/($G$10-$E$10),$E$10+SQRT(T953*($G$10-$E$10)*($F$10-$E$10)),$G$10-SQRT((1-T953)*($G$10-$E$10)*($G$10-$F$10))))</f>
        <v>1.04855734527207</v>
      </c>
      <c r="G953" s="52" t="n">
        <f aca="false">IF($G$11=$E$11,$F$11,IF(U953&lt;($F$11-$E$11)/($G$11-$E$11),$E$11+SQRT(U953*($G$11-$E$11)*($F$11-$E$11)),$G$11-SQRT((1-U953)*($G$11-$E$11)*($G$11-$F$11))))</f>
        <v>0.100734272273857</v>
      </c>
      <c r="H953" s="53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-2097114690.54414</v>
      </c>
      <c r="I953" s="53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2882885.83837557</v>
      </c>
      <c r="J953" s="53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309190745.952099</v>
      </c>
      <c r="K953" s="53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667926473.329425</v>
      </c>
      <c r="L953" s="53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804703231.228504</v>
      </c>
      <c r="M953" s="53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995410989.464948</v>
      </c>
      <c r="N953" s="53" t="n">
        <f aca="false">IF(COUNT('Business Case'!B11:G11)=0,"",H953+NPV(G953,I953:M953))</f>
        <v>-174316240.497881</v>
      </c>
      <c r="P953" s="54" t="n">
        <f aca="true">RAND()</f>
        <v>0.498967362243968</v>
      </c>
      <c r="Q953" s="54" t="n">
        <f aca="true">RAND()</f>
        <v>0.648967846687776</v>
      </c>
      <c r="R953" s="54" t="n">
        <f aca="true">RAND()</f>
        <v>0.281689690460414</v>
      </c>
      <c r="S953" s="54" t="n">
        <f aca="true">RAND()</f>
        <v>0.679346014740613</v>
      </c>
      <c r="T953" s="54" t="n">
        <f aca="true">RAND()</f>
        <v>0.54130244657914</v>
      </c>
      <c r="U953" s="54" t="n">
        <f aca="true">RAND()</f>
        <v>0.381386225303524</v>
      </c>
    </row>
    <row r="954" customFormat="false" ht="15" hidden="false" customHeight="false" outlineLevel="0" collapsed="false">
      <c r="A954" s="50" t="n">
        <v>874</v>
      </c>
      <c r="B954" s="51" t="n">
        <f aca="false">1+IF($G$6=$E$6,$F$6,IF(P954&lt;($F$6-$E$6)/($G$6-$E$6),$E$6+SQRT(P954*($G$6-$E$6)*($F$6-$E$6)),$G$6-SQRT((1-P954)*($G$6-$E$6)*($G$6-$F$6))))</f>
        <v>1.0016315399676</v>
      </c>
      <c r="C954" s="51" t="n">
        <f aca="false">1+IF($G$7=$E$7,$F$7,IF(Q954&lt;($F$7-$E$7)/($G$7-$E$7),$E$7+SQRT(Q954*($G$7-$E$7)*($F$7-$E$7)),$G$7-SQRT((1-Q954)*($G$7-$E$7)*($G$7-$F$7))))</f>
        <v>0.881855322178827</v>
      </c>
      <c r="D954" s="51" t="n">
        <f aca="false">1+IF($G$8=$E$8,$F$8,IF(R954&lt;($F$8-$E$8)/($G$8-$E$8),$E$8+SQRT(R954*($G$8-$E$8)*($F$8-$E$8)),$G$8-SQRT((1-R954)*($G$8-$E$8)*($G$8-$F$8))))</f>
        <v>1.01267563593828</v>
      </c>
      <c r="E954" s="51" t="n">
        <f aca="false">1+IF($G$9=$E$9,$F$9,IF(S954&lt;($F$9-$E$9)/($G$9-$E$9),$E$9+SQRT(S954*($G$9-$E$9)*($F$9-$E$9)),$G$9-SQRT((1-S954)*($G$9-$E$9)*($G$9-$F$9))))</f>
        <v>1.04905014971432</v>
      </c>
      <c r="F954" s="51" t="n">
        <f aca="false">1+IF($G$10=$E$10,$F$10,IF(T954&lt;($F$10-$E$10)/($G$10-$E$10),$E$10+SQRT(T954*($G$10-$E$10)*($F$10-$E$10)),$G$10-SQRT((1-T954)*($G$10-$E$10)*($G$10-$F$10))))</f>
        <v>1.04550175123228</v>
      </c>
      <c r="G954" s="52" t="n">
        <f aca="false">IF($G$11=$E$11,$F$11,IF(U954&lt;($F$11-$E$11)/($G$11-$E$11),$E$11+SQRT(U954*($G$11-$E$11)*($F$11-$E$11)),$G$11-SQRT((1-U954)*($G$11-$E$11)*($G$11-$F$11))))</f>
        <v>0.101506551114573</v>
      </c>
      <c r="H954" s="53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-2091003502.46456</v>
      </c>
      <c r="I954" s="53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-33195261.8338135</v>
      </c>
      <c r="J954" s="53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233124549.116171</v>
      </c>
      <c r="K954" s="53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551719447.627769</v>
      </c>
      <c r="L954" s="53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671019362.191894</v>
      </c>
      <c r="M954" s="53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838915905.552938</v>
      </c>
      <c r="N954" s="53" t="n">
        <f aca="false">IF(COUNT('Business Case'!B11:G11)=0,"",H954+NPV(G954,I954:M954))</f>
        <v>-543023708.737465</v>
      </c>
      <c r="P954" s="54" t="n">
        <f aca="true">RAND()</f>
        <v>0.693304432237895</v>
      </c>
      <c r="Q954" s="54" t="n">
        <f aca="true">RAND()</f>
        <v>0.0957184824142784</v>
      </c>
      <c r="R954" s="54" t="n">
        <f aca="true">RAND()</f>
        <v>0.564175961892774</v>
      </c>
      <c r="S954" s="54" t="n">
        <f aca="true">RAND()</f>
        <v>0.826940850391105</v>
      </c>
      <c r="T954" s="54" t="n">
        <f aca="true">RAND()</f>
        <v>0.522605822554157</v>
      </c>
      <c r="U954" s="54" t="n">
        <f aca="true">RAND()</f>
        <v>0.429987247203496</v>
      </c>
    </row>
    <row r="955" customFormat="false" ht="15" hidden="false" customHeight="false" outlineLevel="0" collapsed="false">
      <c r="A955" s="50" t="n">
        <v>875</v>
      </c>
      <c r="B955" s="51" t="n">
        <f aca="false">1+IF($G$6=$E$6,$F$6,IF(P955&lt;($F$6-$E$6)/($G$6-$E$6),$E$6+SQRT(P955*($G$6-$E$6)*($F$6-$E$6)),$G$6-SQRT((1-P955)*($G$6-$E$6)*($G$6-$F$6))))</f>
        <v>0.941862587492434</v>
      </c>
      <c r="C955" s="51" t="n">
        <f aca="false">1+IF($G$7=$E$7,$F$7,IF(Q955&lt;($F$7-$E$7)/($G$7-$E$7),$E$7+SQRT(Q955*($G$7-$E$7)*($F$7-$E$7)),$G$7-SQRT((1-Q955)*($G$7-$E$7)*($G$7-$F$7))))</f>
        <v>1.12494563687241</v>
      </c>
      <c r="D955" s="51" t="n">
        <f aca="false">1+IF($G$8=$E$8,$F$8,IF(R955&lt;($F$8-$E$8)/($G$8-$E$8),$E$8+SQRT(R955*($G$8-$E$8)*($F$8-$E$8)),$G$8-SQRT((1-R955)*($G$8-$E$8)*($G$8-$F$8))))</f>
        <v>0.998501662858279</v>
      </c>
      <c r="E955" s="51" t="n">
        <f aca="false">1+IF($G$9=$E$9,$F$9,IF(S955&lt;($F$9-$E$9)/($G$9-$E$9),$E$9+SQRT(S955*($G$9-$E$9)*($F$9-$E$9)),$G$9-SQRT((1-S955)*($G$9-$E$9)*($G$9-$F$9))))</f>
        <v>1.00033631473143</v>
      </c>
      <c r="F955" s="51" t="n">
        <f aca="false">1+IF($G$10=$E$10,$F$10,IF(T955&lt;($F$10-$E$10)/($G$10-$E$10),$E$10+SQRT(T955*($G$10-$E$10)*($F$10-$E$10)),$G$10-SQRT((1-T955)*($G$10-$E$10)*($G$10-$F$10))))</f>
        <v>0.989800407174561</v>
      </c>
      <c r="G955" s="52" t="n">
        <f aca="false">IF($G$11=$E$11,$F$11,IF(U955&lt;($F$11-$E$11)/($G$11-$E$11),$E$11+SQRT(U955*($G$11-$E$11)*($F$11-$E$11)),$G$11-SQRT((1-U955)*($G$11-$E$11)*($G$11-$F$11))))</f>
        <v>0.104173108086193</v>
      </c>
      <c r="H955" s="53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-1979600814.34912</v>
      </c>
      <c r="I955" s="53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-3330947.40706033</v>
      </c>
      <c r="J955" s="53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289492741.618127</v>
      </c>
      <c r="K955" s="53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631806451.002041</v>
      </c>
      <c r="L955" s="53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766032195.183758</v>
      </c>
      <c r="M955" s="53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967430358.303689</v>
      </c>
      <c r="N955" s="53" t="n">
        <f aca="false">IF(COUNT('Business Case'!B11:G11)=0,"",H955+NPV(G955,I955:M955))</f>
        <v>-171070968.758057</v>
      </c>
      <c r="P955" s="54" t="n">
        <f aca="true">RAND()</f>
        <v>0.0497888262358692</v>
      </c>
      <c r="Q955" s="54" t="n">
        <f aca="true">RAND()</f>
        <v>0.988043407395634</v>
      </c>
      <c r="R955" s="54" t="n">
        <f aca="true">RAND()</f>
        <v>0.361909430772023</v>
      </c>
      <c r="S955" s="54" t="n">
        <f aca="true">RAND()</f>
        <v>0.337809989245872</v>
      </c>
      <c r="T955" s="54" t="n">
        <f aca="true">RAND()</f>
        <v>0.126725792900868</v>
      </c>
      <c r="U955" s="54" t="n">
        <f aca="true">RAND()</f>
        <v>0.582515820581138</v>
      </c>
    </row>
    <row r="956" customFormat="false" ht="15" hidden="false" customHeight="false" outlineLevel="0" collapsed="false">
      <c r="A956" s="50" t="n">
        <v>876</v>
      </c>
      <c r="B956" s="51" t="n">
        <f aca="false">1+IF($G$6=$E$6,$F$6,IF(P956&lt;($F$6-$E$6)/($G$6-$E$6),$E$6+SQRT(P956*($G$6-$E$6)*($F$6-$E$6)),$G$6-SQRT((1-P956)*($G$6-$E$6)*($G$6-$F$6))))</f>
        <v>1.03404791878268</v>
      </c>
      <c r="C956" s="51" t="n">
        <f aca="false">1+IF($G$7=$E$7,$F$7,IF(Q956&lt;($F$7-$E$7)/($G$7-$E$7),$E$7+SQRT(Q956*($G$7-$E$7)*($F$7-$E$7)),$G$7-SQRT((1-Q956)*($G$7-$E$7)*($G$7-$F$7))))</f>
        <v>1.03151190496962</v>
      </c>
      <c r="D956" s="51" t="n">
        <f aca="false">1+IF($G$8=$E$8,$F$8,IF(R956&lt;($F$8-$E$8)/($G$8-$E$8),$E$8+SQRT(R956*($G$8-$E$8)*($F$8-$E$8)),$G$8-SQRT((1-R956)*($G$8-$E$8)*($G$8-$F$8))))</f>
        <v>1.00300466064728</v>
      </c>
      <c r="E956" s="51" t="n">
        <f aca="false">1+IF($G$9=$E$9,$F$9,IF(S956&lt;($F$9-$E$9)/($G$9-$E$9),$E$9+SQRT(S956*($G$9-$E$9)*($F$9-$E$9)),$G$9-SQRT((1-S956)*($G$9-$E$9)*($G$9-$F$9))))</f>
        <v>0.996297337938635</v>
      </c>
      <c r="F956" s="51" t="n">
        <f aca="false">1+IF($G$10=$E$10,$F$10,IF(T956&lt;($F$10-$E$10)/($G$10-$E$10),$E$10+SQRT(T956*($G$10-$E$10)*($F$10-$E$10)),$G$10-SQRT((1-T956)*($G$10-$E$10)*($G$10-$F$10))))</f>
        <v>1.16783466651189</v>
      </c>
      <c r="G956" s="52" t="n">
        <f aca="false">IF($G$11=$E$11,$F$11,IF(U956&lt;($F$11-$E$11)/($G$11-$E$11),$E$11+SQRT(U956*($G$11-$E$11)*($F$11-$E$11)),$G$11-SQRT((1-U956)*($G$11-$E$11)*($G$11-$F$11))))</f>
        <v>0.103743686911624</v>
      </c>
      <c r="H956" s="53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-2335669333.02379</v>
      </c>
      <c r="I956" s="53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30259630.9670311</v>
      </c>
      <c r="J956" s="53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374270451.205697</v>
      </c>
      <c r="K956" s="53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776673004.769956</v>
      </c>
      <c r="L956" s="53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928206105.62656</v>
      </c>
      <c r="M956" s="53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1130951656.56699</v>
      </c>
      <c r="N956" s="53" t="n">
        <f aca="false">IF(COUNT('Business Case'!B11:G11)=0,"",H956+NPV(G956,I956:M956))</f>
        <v>-107602819.224321</v>
      </c>
      <c r="P956" s="54" t="n">
        <f aca="true">RAND()</f>
        <v>0.992619318579663</v>
      </c>
      <c r="Q956" s="54" t="n">
        <f aca="true">RAND()</f>
        <v>0.732582311163284</v>
      </c>
      <c r="R956" s="54" t="n">
        <f aca="true">RAND()</f>
        <v>0.429972857496045</v>
      </c>
      <c r="S956" s="54" t="n">
        <f aca="true">RAND()</f>
        <v>0.285792466693891</v>
      </c>
      <c r="T956" s="54" t="n">
        <f aca="true">RAND()</f>
        <v>0.979307826431978</v>
      </c>
      <c r="U956" s="54" t="n">
        <f aca="true">RAND()</f>
        <v>0.559553807954483</v>
      </c>
    </row>
    <row r="957" customFormat="false" ht="15" hidden="false" customHeight="false" outlineLevel="0" collapsed="false">
      <c r="A957" s="50" t="n">
        <v>877</v>
      </c>
      <c r="B957" s="51" t="n">
        <f aca="false">1+IF($G$6=$E$6,$F$6,IF(P957&lt;($F$6-$E$6)/($G$6-$E$6),$E$6+SQRT(P957*($G$6-$E$6)*($F$6-$E$6)),$G$6-SQRT((1-P957)*($G$6-$E$6)*($G$6-$F$6))))</f>
        <v>0.950876758295062</v>
      </c>
      <c r="C957" s="51" t="n">
        <f aca="false">1+IF($G$7=$E$7,$F$7,IF(Q957&lt;($F$7-$E$7)/($G$7-$E$7),$E$7+SQRT(Q957*($G$7-$E$7)*($F$7-$E$7)),$G$7-SQRT((1-Q957)*($G$7-$E$7)*($G$7-$F$7))))</f>
        <v>0.87358352646887</v>
      </c>
      <c r="D957" s="51" t="n">
        <f aca="false">1+IF($G$8=$E$8,$F$8,IF(R957&lt;($F$8-$E$8)/($G$8-$E$8),$E$8+SQRT(R957*($G$8-$E$8)*($F$8-$E$8)),$G$8-SQRT((1-R957)*($G$8-$E$8)*($G$8-$F$8))))</f>
        <v>0.969076349527194</v>
      </c>
      <c r="E957" s="51" t="n">
        <f aca="false">1+IF($G$9=$E$9,$F$9,IF(S957&lt;($F$9-$E$9)/($G$9-$E$9),$E$9+SQRT(S957*($G$9-$E$9)*($F$9-$E$9)),$G$9-SQRT((1-S957)*($G$9-$E$9)*($G$9-$F$9))))</f>
        <v>0.983918761068296</v>
      </c>
      <c r="F957" s="51" t="n">
        <f aca="false">1+IF($G$10=$E$10,$F$10,IF(T957&lt;($F$10-$E$10)/($G$10-$E$10),$E$10+SQRT(T957*($G$10-$E$10)*($F$10-$E$10)),$G$10-SQRT((1-T957)*($G$10-$E$10)*($G$10-$F$10))))</f>
        <v>0.991921736804266</v>
      </c>
      <c r="G957" s="52" t="n">
        <f aca="false">IF($G$11=$E$11,$F$11,IF(U957&lt;($F$11-$E$11)/($G$11-$E$11),$E$11+SQRT(U957*($G$11-$E$11)*($F$11-$E$11)),$G$11-SQRT((1-U957)*($G$11-$E$11)*($G$11-$F$11))))</f>
        <v>0.118267423309014</v>
      </c>
      <c r="H957" s="53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-1983843473.60853</v>
      </c>
      <c r="I957" s="53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-35164279.076085</v>
      </c>
      <c r="J957" s="53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211838810.23962</v>
      </c>
      <c r="K957" s="53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508437986.395539</v>
      </c>
      <c r="L957" s="53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619480314.092409</v>
      </c>
      <c r="M957" s="53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777374119.3464</v>
      </c>
      <c r="N957" s="53" t="n">
        <f aca="false">IF(COUNT('Business Case'!B11:G11)=0,"",H957+NPV(G957,I957:M957))</f>
        <v>-641640559.277868</v>
      </c>
      <c r="P957" s="54" t="n">
        <f aca="true">RAND()</f>
        <v>0.0993098127928854</v>
      </c>
      <c r="Q957" s="54" t="n">
        <f aca="true">RAND()</f>
        <v>0.0773505052513561</v>
      </c>
      <c r="R957" s="54" t="n">
        <f aca="true">RAND()</f>
        <v>0.0559857094282549</v>
      </c>
      <c r="S957" s="54" t="n">
        <f aca="true">RAND()</f>
        <v>0.153397646987754</v>
      </c>
      <c r="T957" s="54" t="n">
        <f aca="true">RAND()</f>
        <v>0.140594561334891</v>
      </c>
      <c r="U957" s="54" t="n">
        <f aca="true">RAND()</f>
        <v>0.994996963349754</v>
      </c>
    </row>
    <row r="958" customFormat="false" ht="15" hidden="false" customHeight="false" outlineLevel="0" collapsed="false">
      <c r="A958" s="50" t="n">
        <v>878</v>
      </c>
      <c r="B958" s="51" t="n">
        <f aca="false">1+IF($G$6=$E$6,$F$6,IF(P958&lt;($F$6-$E$6)/($G$6-$E$6),$E$6+SQRT(P958*($G$6-$E$6)*($F$6-$E$6)),$G$6-SQRT((1-P958)*($G$6-$E$6)*($G$6-$F$6))))</f>
        <v>0.982252511969187</v>
      </c>
      <c r="C958" s="51" t="n">
        <f aca="false">1+IF($G$7=$E$7,$F$7,IF(Q958&lt;($F$7-$E$7)/($G$7-$E$7),$E$7+SQRT(Q958*($G$7-$E$7)*($F$7-$E$7)),$G$7-SQRT((1-Q958)*($G$7-$E$7)*($G$7-$F$7))))</f>
        <v>0.940789492635907</v>
      </c>
      <c r="D958" s="51" t="n">
        <f aca="false">1+IF($G$8=$E$8,$F$8,IF(R958&lt;($F$8-$E$8)/($G$8-$E$8),$E$8+SQRT(R958*($G$8-$E$8)*($F$8-$E$8)),$G$8-SQRT((1-R958)*($G$8-$E$8)*($G$8-$F$8))))</f>
        <v>1.02164379403722</v>
      </c>
      <c r="E958" s="51" t="n">
        <f aca="false">1+IF($G$9=$E$9,$F$9,IF(S958&lt;($F$9-$E$9)/($G$9-$E$9),$E$9+SQRT(S958*($G$9-$E$9)*($F$9-$E$9)),$G$9-SQRT((1-S958)*($G$9-$E$9)*($G$9-$F$9))))</f>
        <v>1.01786660437241</v>
      </c>
      <c r="F958" s="51" t="n">
        <f aca="false">1+IF($G$10=$E$10,$F$10,IF(T958&lt;($F$10-$E$10)/($G$10-$E$10),$E$10+SQRT(T958*($G$10-$E$10)*($F$10-$E$10)),$G$10-SQRT((1-T958)*($G$10-$E$10)*($G$10-$F$10))))</f>
        <v>1.12615791621728</v>
      </c>
      <c r="G958" s="52" t="n">
        <f aca="false">IF($G$11=$E$11,$F$11,IF(U958&lt;($F$11-$E$11)/($G$11-$E$11),$E$11+SQRT(U958*($G$11-$E$11)*($F$11-$E$11)),$G$11-SQRT((1-U958)*($G$11-$E$11)*($G$11-$F$11))))</f>
        <v>0.103528617842678</v>
      </c>
      <c r="H958" s="53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-2252315832.43456</v>
      </c>
      <c r="I958" s="53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-40395625.2652683</v>
      </c>
      <c r="J958" s="53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224470145.181712</v>
      </c>
      <c r="K958" s="53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545643811.439556</v>
      </c>
      <c r="L958" s="53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665869050.221059</v>
      </c>
      <c r="M958" s="53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841520617.699858</v>
      </c>
      <c r="N958" s="53" t="n">
        <f aca="false">IF(COUNT('Business Case'!B11:G11)=0,"",H958+NPV(G958,I958:M958))</f>
        <v>-735337628.886543</v>
      </c>
      <c r="P958" s="54" t="n">
        <f aca="true">RAND()</f>
        <v>0.403684921507678</v>
      </c>
      <c r="Q958" s="54" t="n">
        <f aca="true">RAND()</f>
        <v>0.283166874809657</v>
      </c>
      <c r="R958" s="54" t="n">
        <f aca="true">RAND()</f>
        <v>0.672553194772073</v>
      </c>
      <c r="S958" s="54" t="n">
        <f aca="true">RAND()</f>
        <v>0.55027368817881</v>
      </c>
      <c r="T958" s="54" t="n">
        <f aca="true">RAND()</f>
        <v>0.890946933252522</v>
      </c>
      <c r="U958" s="54" t="n">
        <f aca="true">RAND()</f>
        <v>0.54782261637911</v>
      </c>
    </row>
    <row r="959" customFormat="false" ht="15" hidden="false" customHeight="false" outlineLevel="0" collapsed="false">
      <c r="A959" s="50" t="n">
        <v>879</v>
      </c>
      <c r="B959" s="51" t="n">
        <f aca="false">1+IF($G$6=$E$6,$F$6,IF(P959&lt;($F$6-$E$6)/($G$6-$E$6),$E$6+SQRT(P959*($G$6-$E$6)*($F$6-$E$6)),$G$6-SQRT((1-P959)*($G$6-$E$6)*($G$6-$F$6))))</f>
        <v>0.994019272369297</v>
      </c>
      <c r="C959" s="51" t="n">
        <f aca="false">1+IF($G$7=$E$7,$F$7,IF(Q959&lt;($F$7-$E$7)/($G$7-$E$7),$E$7+SQRT(Q959*($G$7-$E$7)*($F$7-$E$7)),$G$7-SQRT((1-Q959)*($G$7-$E$7)*($G$7-$F$7))))</f>
        <v>0.928591150286062</v>
      </c>
      <c r="D959" s="51" t="n">
        <f aca="false">1+IF($G$8=$E$8,$F$8,IF(R959&lt;($F$8-$E$8)/($G$8-$E$8),$E$8+SQRT(R959*($G$8-$E$8)*($F$8-$E$8)),$G$8-SQRT((1-R959)*($G$8-$E$8)*($G$8-$F$8))))</f>
        <v>0.987063291287097</v>
      </c>
      <c r="E959" s="51" t="n">
        <f aca="false">1+IF($G$9=$E$9,$F$9,IF(S959&lt;($F$9-$E$9)/($G$9-$E$9),$E$9+SQRT(S959*($G$9-$E$9)*($F$9-$E$9)),$G$9-SQRT((1-S959)*($G$9-$E$9)*($G$9-$F$9))))</f>
        <v>0.992224790864532</v>
      </c>
      <c r="F959" s="51" t="n">
        <f aca="false">1+IF($G$10=$E$10,$F$10,IF(T959&lt;($F$10-$E$10)/($G$10-$E$10),$E$10+SQRT(T959*($G$10-$E$10)*($F$10-$E$10)),$G$10-SQRT((1-T959)*($G$10-$E$10)*($G$10-$F$10))))</f>
        <v>1.17216006952257</v>
      </c>
      <c r="G959" s="52" t="n">
        <f aca="false">IF($G$11=$E$11,$F$11,IF(U959&lt;($F$11-$E$11)/($G$11-$E$11),$E$11+SQRT(U959*($G$11-$E$11)*($F$11-$E$11)),$G$11-SQRT((1-U959)*($G$11-$E$11)*($G$11-$F$11))))</f>
        <v>0.104346819204953</v>
      </c>
      <c r="H959" s="53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-2344320139.04515</v>
      </c>
      <c r="I959" s="53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-19341196.4857393</v>
      </c>
      <c r="J959" s="53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267478243.217657</v>
      </c>
      <c r="K959" s="53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612905686.397183</v>
      </c>
      <c r="L959" s="53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740412342.282277</v>
      </c>
      <c r="M959" s="53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915863310.194064</v>
      </c>
      <c r="N959" s="53" t="n">
        <f aca="false">IF(COUNT('Business Case'!B11:G11)=0,"",H959+NPV(G959,I959:M959))</f>
        <v>-632073987.196113</v>
      </c>
      <c r="P959" s="54" t="n">
        <f aca="true">RAND()</f>
        <v>0.570713821050015</v>
      </c>
      <c r="Q959" s="54" t="n">
        <f aca="true">RAND()</f>
        <v>0.236224056169893</v>
      </c>
      <c r="R959" s="54" t="n">
        <f aca="true">RAND()</f>
        <v>0.211336547851104</v>
      </c>
      <c r="S959" s="54" t="n">
        <f aca="true">RAND()</f>
        <v>0.237724395140466</v>
      </c>
      <c r="T959" s="54" t="n">
        <f aca="true">RAND()</f>
        <v>0.984498765420242</v>
      </c>
      <c r="U959" s="54" t="n">
        <f aca="true">RAND()</f>
        <v>0.591629884995966</v>
      </c>
    </row>
    <row r="960" customFormat="false" ht="15" hidden="false" customHeight="false" outlineLevel="0" collapsed="false">
      <c r="A960" s="50" t="n">
        <v>880</v>
      </c>
      <c r="B960" s="51" t="n">
        <f aca="false">1+IF($G$6=$E$6,$F$6,IF(P960&lt;($F$6-$E$6)/($G$6-$E$6),$E$6+SQRT(P960*($G$6-$E$6)*($F$6-$E$6)),$G$6-SQRT((1-P960)*($G$6-$E$6)*($G$6-$F$6))))</f>
        <v>1.02366571957345</v>
      </c>
      <c r="C960" s="51" t="n">
        <f aca="false">1+IF($G$7=$E$7,$F$7,IF(Q960&lt;($F$7-$E$7)/($G$7-$E$7),$E$7+SQRT(Q960*($G$7-$E$7)*($F$7-$E$7)),$G$7-SQRT((1-Q960)*($G$7-$E$7)*($G$7-$F$7))))</f>
        <v>0.963019208239706</v>
      </c>
      <c r="D960" s="51" t="n">
        <f aca="false">1+IF($G$8=$E$8,$F$8,IF(R960&lt;($F$8-$E$8)/($G$8-$E$8),$E$8+SQRT(R960*($G$8-$E$8)*($F$8-$E$8)),$G$8-SQRT((1-R960)*($G$8-$E$8)*($G$8-$F$8))))</f>
        <v>1.06635466134025</v>
      </c>
      <c r="E960" s="51" t="n">
        <f aca="false">1+IF($G$9=$E$9,$F$9,IF(S960&lt;($F$9-$E$9)/($G$9-$E$9),$E$9+SQRT(S960*($G$9-$E$9)*($F$9-$E$9)),$G$9-SQRT((1-S960)*($G$9-$E$9)*($G$9-$F$9))))</f>
        <v>1.04295324684737</v>
      </c>
      <c r="F960" s="51" t="n">
        <f aca="false">1+IF($G$10=$E$10,$F$10,IF(T960&lt;($F$10-$E$10)/($G$10-$E$10),$E$10+SQRT(T960*($G$10-$E$10)*($F$10-$E$10)),$G$10-SQRT((1-T960)*($G$10-$E$10)*($G$10-$F$10))))</f>
        <v>1.0071158098666</v>
      </c>
      <c r="G960" s="52" t="n">
        <f aca="false">IF($G$11=$E$11,$F$11,IF(U960&lt;($F$11-$E$11)/($G$11-$E$11),$E$11+SQRT(U960*($G$11-$E$11)*($F$11-$E$11)),$G$11-SQRT((1-U960)*($G$11-$E$11)*($G$11-$F$11))))</f>
        <v>0.103360746962311</v>
      </c>
      <c r="H960" s="53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-2014231619.7332</v>
      </c>
      <c r="I960" s="53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-18375643.4804101</v>
      </c>
      <c r="J960" s="53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263372623.207232</v>
      </c>
      <c r="K960" s="53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595476680.388203</v>
      </c>
      <c r="L960" s="53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723462354.270548</v>
      </c>
      <c r="M960" s="53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910845071.696103</v>
      </c>
      <c r="N960" s="53" t="n">
        <f aca="false">IF(COUNT('Business Case'!B11:G11)=0,"",H960+NPV(G960,I960:M960))</f>
        <v>-326088013.243345</v>
      </c>
      <c r="P960" s="54" t="n">
        <f aca="true">RAND()</f>
        <v>0.944414850613952</v>
      </c>
      <c r="Q960" s="54" t="n">
        <f aca="true">RAND()</f>
        <v>0.379646603644296</v>
      </c>
      <c r="R960" s="54" t="n">
        <f aca="true">RAND()</f>
        <v>0.98209660892891</v>
      </c>
      <c r="S960" s="54" t="n">
        <f aca="true">RAND()</f>
        <v>0.783044530316157</v>
      </c>
      <c r="T960" s="54" t="n">
        <f aca="true">RAND()</f>
        <v>0.255913783931631</v>
      </c>
      <c r="U960" s="54" t="n">
        <f aca="true">RAND()</f>
        <v>0.538558763912937</v>
      </c>
    </row>
    <row r="961" customFormat="false" ht="15" hidden="false" customHeight="false" outlineLevel="0" collapsed="false">
      <c r="A961" s="50" t="n">
        <v>881</v>
      </c>
      <c r="B961" s="51" t="n">
        <f aca="false">1+IF($G$6=$E$6,$F$6,IF(P961&lt;($F$6-$E$6)/($G$6-$E$6),$E$6+SQRT(P961*($G$6-$E$6)*($F$6-$E$6)),$G$6-SQRT((1-P961)*($G$6-$E$6)*($G$6-$F$6))))</f>
        <v>1.00539419395219</v>
      </c>
      <c r="C961" s="51" t="n">
        <f aca="false">1+IF($G$7=$E$7,$F$7,IF(Q961&lt;($F$7-$E$7)/($G$7-$E$7),$E$7+SQRT(Q961*($G$7-$E$7)*($F$7-$E$7)),$G$7-SQRT((1-Q961)*($G$7-$E$7)*($G$7-$F$7))))</f>
        <v>1.07407053101336</v>
      </c>
      <c r="D961" s="51" t="n">
        <f aca="false">1+IF($G$8=$E$8,$F$8,IF(R961&lt;($F$8-$E$8)/($G$8-$E$8),$E$8+SQRT(R961*($G$8-$E$8)*($F$8-$E$8)),$G$8-SQRT((1-R961)*($G$8-$E$8)*($G$8-$F$8))))</f>
        <v>0.994012211786861</v>
      </c>
      <c r="E961" s="51" t="n">
        <f aca="false">1+IF($G$9=$E$9,$F$9,IF(S961&lt;($F$9-$E$9)/($G$9-$E$9),$E$9+SQRT(S961*($G$9-$E$9)*($F$9-$E$9)),$G$9-SQRT((1-S961)*($G$9-$E$9)*($G$9-$F$9))))</f>
        <v>0.999279131179091</v>
      </c>
      <c r="F961" s="51" t="n">
        <f aca="false">1+IF($G$10=$E$10,$F$10,IF(T961&lt;($F$10-$E$10)/($G$10-$E$10),$E$10+SQRT(T961*($G$10-$E$10)*($F$10-$E$10)),$G$10-SQRT((1-T961)*($G$10-$E$10)*($G$10-$F$10))))</f>
        <v>1.00988833205487</v>
      </c>
      <c r="G961" s="52" t="n">
        <f aca="false">IF($G$11=$E$11,$F$11,IF(U961&lt;($F$11-$E$11)/($G$11-$E$11),$E$11+SQRT(U961*($G$11-$E$11)*($F$11-$E$11)),$G$11-SQRT((1-U961)*($G$11-$E$11)*($G$11-$F$11))))</f>
        <v>0.110214699355954</v>
      </c>
      <c r="H961" s="53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-2019776664.10975</v>
      </c>
      <c r="I961" s="53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38874230.7473188</v>
      </c>
      <c r="J961" s="53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376814951.210018</v>
      </c>
      <c r="K961" s="53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765250088.275462</v>
      </c>
      <c r="L961" s="53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915217104.467179</v>
      </c>
      <c r="M961" s="53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1120477706.00668</v>
      </c>
      <c r="N961" s="53" t="n">
        <f aca="false">IF(COUNT('Business Case'!B11:G11)=0,"",H961+NPV(G961,I961:M961))</f>
        <v>146893203.539093</v>
      </c>
      <c r="P961" s="54" t="n">
        <f aca="true">RAND()</f>
        <v>0.750507955787724</v>
      </c>
      <c r="Q961" s="54" t="n">
        <f aca="true">RAND()</f>
        <v>0.890185061702993</v>
      </c>
      <c r="R961" s="54" t="n">
        <f aca="true">RAND()</f>
        <v>0.29801150559561</v>
      </c>
      <c r="S961" s="54" t="n">
        <f aca="true">RAND()</f>
        <v>0.323791035968801</v>
      </c>
      <c r="T961" s="54" t="n">
        <f aca="true">RAND()</f>
        <v>0.277151074222439</v>
      </c>
      <c r="U961" s="54" t="n">
        <f aca="true">RAND()</f>
        <v>0.840413152176048</v>
      </c>
    </row>
    <row r="962" customFormat="false" ht="15" hidden="false" customHeight="false" outlineLevel="0" collapsed="false">
      <c r="A962" s="50" t="n">
        <v>882</v>
      </c>
      <c r="B962" s="51" t="n">
        <f aca="false">1+IF($G$6=$E$6,$F$6,IF(P962&lt;($F$6-$E$6)/($G$6-$E$6),$E$6+SQRT(P962*($G$6-$E$6)*($F$6-$E$6)),$G$6-SQRT((1-P962)*($G$6-$E$6)*($G$6-$F$6))))</f>
        <v>0.982262861868481</v>
      </c>
      <c r="C962" s="51" t="n">
        <f aca="false">1+IF($G$7=$E$7,$F$7,IF(Q962&lt;($F$7-$E$7)/($G$7-$E$7),$E$7+SQRT(Q962*($G$7-$E$7)*($F$7-$E$7)),$G$7-SQRT((1-Q962)*($G$7-$E$7)*($G$7-$F$7))))</f>
        <v>0.810235842271459</v>
      </c>
      <c r="D962" s="51" t="n">
        <f aca="false">1+IF($G$8=$E$8,$F$8,IF(R962&lt;($F$8-$E$8)/($G$8-$E$8),$E$8+SQRT(R962*($G$8-$E$8)*($F$8-$E$8)),$G$8-SQRT((1-R962)*($G$8-$E$8)*($G$8-$F$8))))</f>
        <v>1.02392570606392</v>
      </c>
      <c r="E962" s="51" t="n">
        <f aca="false">1+IF($G$9=$E$9,$F$9,IF(S962&lt;($F$9-$E$9)/($G$9-$E$9),$E$9+SQRT(S962*($G$9-$E$9)*($F$9-$E$9)),$G$9-SQRT((1-S962)*($G$9-$E$9)*($G$9-$F$9))))</f>
        <v>0.990710566769281</v>
      </c>
      <c r="F962" s="51" t="n">
        <f aca="false">1+IF($G$10=$E$10,$F$10,IF(T962&lt;($F$10-$E$10)/($G$10-$E$10),$E$10+SQRT(T962*($G$10-$E$10)*($F$10-$E$10)),$G$10-SQRT((1-T962)*($G$10-$E$10)*($G$10-$F$10))))</f>
        <v>0.98935626221572</v>
      </c>
      <c r="G962" s="52" t="n">
        <f aca="false">IF($G$11=$E$11,$F$11,IF(U962&lt;($F$11-$E$11)/($G$11-$E$11),$E$11+SQRT(U962*($G$11-$E$11)*($F$11-$E$11)),$G$11-SQRT((1-U962)*($G$11-$E$11)*($G$11-$F$11))))</f>
        <v>0.0955401684039868</v>
      </c>
      <c r="H962" s="53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-1978712524.43144</v>
      </c>
      <c r="I962" s="53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-53901636.9240703</v>
      </c>
      <c r="J962" s="53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173269014.651003</v>
      </c>
      <c r="K962" s="53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449907479.336863</v>
      </c>
      <c r="L962" s="53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553136109.650541</v>
      </c>
      <c r="M962" s="53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704414048.488135</v>
      </c>
      <c r="N962" s="53" t="n">
        <f aca="false">IF(COUNT('Business Case'!B11:G11)=0,"",H962+NPV(G962,I962:M962))</f>
        <v>-711030316.473602</v>
      </c>
      <c r="P962" s="54" t="n">
        <f aca="true">RAND()</f>
        <v>0.403819163338909</v>
      </c>
      <c r="Q962" s="54" t="n">
        <f aca="true">RAND()</f>
        <v>0.0014967495286598</v>
      </c>
      <c r="R962" s="54" t="n">
        <f aca="true">RAND()</f>
        <v>0.697660919189468</v>
      </c>
      <c r="S962" s="54" t="n">
        <f aca="true">RAND()</f>
        <v>0.220980032890142</v>
      </c>
      <c r="T962" s="54" t="n">
        <f aca="true">RAND()</f>
        <v>0.123913230047399</v>
      </c>
      <c r="U962" s="54" t="n">
        <f aca="true">RAND()</f>
        <v>0.102311553148444</v>
      </c>
    </row>
    <row r="963" customFormat="false" ht="15" hidden="false" customHeight="false" outlineLevel="0" collapsed="false">
      <c r="A963" s="50" t="n">
        <v>883</v>
      </c>
      <c r="B963" s="51" t="n">
        <f aca="false">1+IF($G$6=$E$6,$F$6,IF(P963&lt;($F$6-$E$6)/($G$6-$E$6),$E$6+SQRT(P963*($G$6-$E$6)*($F$6-$E$6)),$G$6-SQRT((1-P963)*($G$6-$E$6)*($G$6-$F$6))))</f>
        <v>0.985654238188226</v>
      </c>
      <c r="C963" s="51" t="n">
        <f aca="false">1+IF($G$7=$E$7,$F$7,IF(Q963&lt;($F$7-$E$7)/($G$7-$E$7),$E$7+SQRT(Q963*($G$7-$E$7)*($F$7-$E$7)),$G$7-SQRT((1-Q963)*($G$7-$E$7)*($G$7-$F$7))))</f>
        <v>1.08095017939489</v>
      </c>
      <c r="D963" s="51" t="n">
        <f aca="false">1+IF($G$8=$E$8,$F$8,IF(R963&lt;($F$8-$E$8)/($G$8-$E$8),$E$8+SQRT(R963*($G$8-$E$8)*($F$8-$E$8)),$G$8-SQRT((1-R963)*($G$8-$E$8)*($G$8-$F$8))))</f>
        <v>1.01994418807853</v>
      </c>
      <c r="E963" s="51" t="n">
        <f aca="false">1+IF($G$9=$E$9,$F$9,IF(S963&lt;($F$9-$E$9)/($G$9-$E$9),$E$9+SQRT(S963*($G$9-$E$9)*($F$9-$E$9)),$G$9-SQRT((1-S963)*($G$9-$E$9)*($G$9-$F$9))))</f>
        <v>1.04189460267752</v>
      </c>
      <c r="F963" s="51" t="n">
        <f aca="false">1+IF($G$10=$E$10,$F$10,IF(T963&lt;($F$10-$E$10)/($G$10-$E$10),$E$10+SQRT(T963*($G$10-$E$10)*($F$10-$E$10)),$G$10-SQRT((1-T963)*($G$10-$E$10)*($G$10-$F$10))))</f>
        <v>1.01586825875297</v>
      </c>
      <c r="G963" s="52" t="n">
        <f aca="false">IF($G$11=$E$11,$F$11,IF(U963&lt;($F$11-$E$11)/($G$11-$E$11),$E$11+SQRT(U963*($G$11-$E$11)*($F$11-$E$11)),$G$11-SQRT((1-U963)*($G$11-$E$11)*($G$11-$F$11))))</f>
        <v>0.099393842212947</v>
      </c>
      <c r="H963" s="53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-2031736517.50594</v>
      </c>
      <c r="I963" s="53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3301489.69051462</v>
      </c>
      <c r="J963" s="53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311579789.387701</v>
      </c>
      <c r="K963" s="53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670651502.022537</v>
      </c>
      <c r="L963" s="53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810232649.675354</v>
      </c>
      <c r="M963" s="53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1012752078.98767</v>
      </c>
      <c r="N963" s="53" t="n">
        <f aca="false">IF(COUNT('Business Case'!B11:G11)=0,"",H963+NPV(G963,I963:M963))</f>
        <v>-81045083.4493005</v>
      </c>
      <c r="P963" s="54" t="n">
        <f aca="true">RAND()</f>
        <v>0.449008228341281</v>
      </c>
      <c r="Q963" s="54" t="n">
        <f aca="true">RAND()</f>
        <v>0.909183281417195</v>
      </c>
      <c r="R963" s="54" t="n">
        <f aca="true">RAND()</f>
        <v>0.653201870620504</v>
      </c>
      <c r="S963" s="54" t="n">
        <f aca="true">RAND()</f>
        <v>0.774917520133094</v>
      </c>
      <c r="T963" s="54" t="n">
        <f aca="true">RAND()</f>
        <v>0.321910037306722</v>
      </c>
      <c r="U963" s="54" t="n">
        <f aca="true">RAND()</f>
        <v>0.294147571739152</v>
      </c>
    </row>
    <row r="964" customFormat="false" ht="15" hidden="false" customHeight="false" outlineLevel="0" collapsed="false">
      <c r="A964" s="50" t="n">
        <v>884</v>
      </c>
      <c r="B964" s="51" t="n">
        <f aca="false">1+IF($G$6=$E$6,$F$6,IF(P964&lt;($F$6-$E$6)/($G$6-$E$6),$E$6+SQRT(P964*($G$6-$E$6)*($F$6-$E$6)),$G$6-SQRT((1-P964)*($G$6-$E$6)*($G$6-$F$6))))</f>
        <v>1.00928920117523</v>
      </c>
      <c r="C964" s="51" t="n">
        <f aca="false">1+IF($G$7=$E$7,$F$7,IF(Q964&lt;($F$7-$E$7)/($G$7-$E$7),$E$7+SQRT(Q964*($G$7-$E$7)*($F$7-$E$7)),$G$7-SQRT((1-Q964)*($G$7-$E$7)*($G$7-$F$7))))</f>
        <v>0.983154236454443</v>
      </c>
      <c r="D964" s="51" t="n">
        <f aca="false">1+IF($G$8=$E$8,$F$8,IF(R964&lt;($F$8-$E$8)/($G$8-$E$8),$E$8+SQRT(R964*($G$8-$E$8)*($F$8-$E$8)),$G$8-SQRT((1-R964)*($G$8-$E$8)*($G$8-$F$8))))</f>
        <v>0.981229611592657</v>
      </c>
      <c r="E964" s="51" t="n">
        <f aca="false">1+IF($G$9=$E$9,$F$9,IF(S964&lt;($F$9-$E$9)/($G$9-$E$9),$E$9+SQRT(S964*($G$9-$E$9)*($F$9-$E$9)),$G$9-SQRT((1-S964)*($G$9-$E$9)*($G$9-$F$9))))</f>
        <v>1.06881023709286</v>
      </c>
      <c r="F964" s="51" t="n">
        <f aca="false">1+IF($G$10=$E$10,$F$10,IF(T964&lt;($F$10-$E$10)/($G$10-$E$10),$E$10+SQRT(T964*($G$10-$E$10)*($F$10-$E$10)),$G$10-SQRT((1-T964)*($G$10-$E$10)*($G$10-$F$10))))</f>
        <v>1.07345508252144</v>
      </c>
      <c r="G964" s="52" t="n">
        <f aca="false">IF($G$11=$E$11,$F$11,IF(U964&lt;($F$11-$E$11)/($G$11-$E$11),$E$11+SQRT(U964*($G$11-$E$11)*($F$11-$E$11)),$G$11-SQRT((1-U964)*($G$11-$E$11)*($G$11-$F$11))))</f>
        <v>0.112861373789621</v>
      </c>
      <c r="H964" s="53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-2146910165.04289</v>
      </c>
      <c r="I964" s="53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8134730.90412785</v>
      </c>
      <c r="J964" s="53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327039941.467418</v>
      </c>
      <c r="K964" s="53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699617906.15678</v>
      </c>
      <c r="L964" s="53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840213080.139486</v>
      </c>
      <c r="M964" s="53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1028826984.345</v>
      </c>
      <c r="N964" s="53" t="n">
        <f aca="false">IF(COUNT('Business Case'!B11:G11)=0,"",H964+NPV(G964,I964:M964))</f>
        <v>-217358200.991013</v>
      </c>
      <c r="P964" s="54" t="n">
        <f aca="true">RAND()</f>
        <v>0.803509757405092</v>
      </c>
      <c r="Q964" s="54" t="n">
        <f aca="true">RAND()</f>
        <v>0.479221061874427</v>
      </c>
      <c r="R964" s="54" t="n">
        <f aca="true">RAND()</f>
        <v>0.15004440618896</v>
      </c>
      <c r="S964" s="54" t="n">
        <f aca="true">RAND()</f>
        <v>0.935146579319777</v>
      </c>
      <c r="T964" s="54" t="n">
        <f aca="true">RAND()</f>
        <v>0.679727677206907</v>
      </c>
      <c r="U964" s="54" t="n">
        <f aca="true">RAND()</f>
        <v>0.915066693047484</v>
      </c>
    </row>
    <row r="965" customFormat="false" ht="15" hidden="false" customHeight="false" outlineLevel="0" collapsed="false">
      <c r="A965" s="50" t="n">
        <v>885</v>
      </c>
      <c r="B965" s="51" t="n">
        <f aca="false">1+IF($G$6=$E$6,$F$6,IF(P965&lt;($F$6-$E$6)/($G$6-$E$6),$E$6+SQRT(P965*($G$6-$E$6)*($F$6-$E$6)),$G$6-SQRT((1-P965)*($G$6-$E$6)*($G$6-$F$6))))</f>
        <v>0.998656981395277</v>
      </c>
      <c r="C965" s="51" t="n">
        <f aca="false">1+IF($G$7=$E$7,$F$7,IF(Q965&lt;($F$7-$E$7)/($G$7-$E$7),$E$7+SQRT(Q965*($G$7-$E$7)*($F$7-$E$7)),$G$7-SQRT((1-Q965)*($G$7-$E$7)*($G$7-$F$7))))</f>
        <v>0.963524037289668</v>
      </c>
      <c r="D965" s="51" t="n">
        <f aca="false">1+IF($G$8=$E$8,$F$8,IF(R965&lt;($F$8-$E$8)/($G$8-$E$8),$E$8+SQRT(R965*($G$8-$E$8)*($F$8-$E$8)),$G$8-SQRT((1-R965)*($G$8-$E$8)*($G$8-$F$8))))</f>
        <v>1.00257583759736</v>
      </c>
      <c r="E965" s="51" t="n">
        <f aca="false">1+IF($G$9=$E$9,$F$9,IF(S965&lt;($F$9-$E$9)/($G$9-$E$9),$E$9+SQRT(S965*($G$9-$E$9)*($F$9-$E$9)),$G$9-SQRT((1-S965)*($G$9-$E$9)*($G$9-$F$9))))</f>
        <v>1.04905484423612</v>
      </c>
      <c r="F965" s="51" t="n">
        <f aca="false">1+IF($G$10=$E$10,$F$10,IF(T965&lt;($F$10-$E$10)/($G$10-$E$10),$E$10+SQRT(T965*($G$10-$E$10)*($F$10-$E$10)),$G$10-SQRT((1-T965)*($G$10-$E$10)*($G$10-$F$10))))</f>
        <v>1.02776376875674</v>
      </c>
      <c r="G965" s="52" t="n">
        <f aca="false">IF($G$11=$E$11,$F$11,IF(U965&lt;($F$11-$E$11)/($G$11-$E$11),$E$11+SQRT(U965*($G$11-$E$11)*($F$11-$E$11)),$G$11-SQRT((1-U965)*($G$11-$E$11)*($G$11-$F$11))))</f>
        <v>0.10474429141758</v>
      </c>
      <c r="H965" s="53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-2055527537.51348</v>
      </c>
      <c r="I965" s="53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-8216073.23323219</v>
      </c>
      <c r="J965" s="53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285401832.80077</v>
      </c>
      <c r="K965" s="53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630407927.27261</v>
      </c>
      <c r="L965" s="53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761535231.644733</v>
      </c>
      <c r="M965" s="53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944435911.295743</v>
      </c>
      <c r="N965" s="53" t="n">
        <f aca="false">IF(COUNT('Business Case'!B11:G11)=0,"",H965+NPV(G965,I965:M965))</f>
        <v>-276360333.788941</v>
      </c>
      <c r="P965" s="54" t="n">
        <f aca="true">RAND()</f>
        <v>0.644470908564268</v>
      </c>
      <c r="Q965" s="54" t="n">
        <f aca="true">RAND()</f>
        <v>0.38200158245018</v>
      </c>
      <c r="R965" s="54" t="n">
        <f aca="true">RAND()</f>
        <v>0.423605680408629</v>
      </c>
      <c r="S965" s="54" t="n">
        <f aca="true">RAND()</f>
        <v>0.826972740279604</v>
      </c>
      <c r="T965" s="54" t="n">
        <f aca="true">RAND()</f>
        <v>0.406693612942351</v>
      </c>
      <c r="U965" s="54" t="n">
        <f aca="true">RAND()</f>
        <v>0.612105592747104</v>
      </c>
    </row>
    <row r="966" customFormat="false" ht="15" hidden="false" customHeight="false" outlineLevel="0" collapsed="false">
      <c r="A966" s="50" t="n">
        <v>886</v>
      </c>
      <c r="B966" s="51" t="n">
        <f aca="false">1+IF($G$6=$E$6,$F$6,IF(P966&lt;($F$6-$E$6)/($G$6-$E$6),$E$6+SQRT(P966*($G$6-$E$6)*($F$6-$E$6)),$G$6-SQRT((1-P966)*($G$6-$E$6)*($G$6-$F$6))))</f>
        <v>0.981823551669988</v>
      </c>
      <c r="C966" s="51" t="n">
        <f aca="false">1+IF($G$7=$E$7,$F$7,IF(Q966&lt;($F$7-$E$7)/($G$7-$E$7),$E$7+SQRT(Q966*($G$7-$E$7)*($F$7-$E$7)),$G$7-SQRT((1-Q966)*($G$7-$E$7)*($G$7-$F$7))))</f>
        <v>0.835636560145634</v>
      </c>
      <c r="D966" s="51" t="n">
        <f aca="false">1+IF($G$8=$E$8,$F$8,IF(R966&lt;($F$8-$E$8)/($G$8-$E$8),$E$8+SQRT(R966*($G$8-$E$8)*($F$8-$E$8)),$G$8-SQRT((1-R966)*($G$8-$E$8)*($G$8-$F$8))))</f>
        <v>0.99432739109529</v>
      </c>
      <c r="E966" s="51" t="n">
        <f aca="false">1+IF($G$9=$E$9,$F$9,IF(S966&lt;($F$9-$E$9)/($G$9-$E$9),$E$9+SQRT(S966*($G$9-$E$9)*($F$9-$E$9)),$G$9-SQRT((1-S966)*($G$9-$E$9)*($G$9-$F$9))))</f>
        <v>0.97640681838865</v>
      </c>
      <c r="F966" s="51" t="n">
        <f aca="false">1+IF($G$10=$E$10,$F$10,IF(T966&lt;($F$10-$E$10)/($G$10-$E$10),$E$10+SQRT(T966*($G$10-$E$10)*($F$10-$E$10)),$G$10-SQRT((1-T966)*($G$10-$E$10)*($G$10-$F$10))))</f>
        <v>1.0281874619159</v>
      </c>
      <c r="G966" s="52" t="n">
        <f aca="false">IF($G$11=$E$11,$F$11,IF(U966&lt;($F$11-$E$11)/($G$11-$E$11),$E$11+SQRT(U966*($G$11-$E$11)*($F$11-$E$11)),$G$11-SQRT((1-U966)*($G$11-$E$11)*($G$11-$F$11))))</f>
        <v>0.108298939794126</v>
      </c>
      <c r="H966" s="53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-2056374923.83181</v>
      </c>
      <c r="I966" s="53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-37542544.7483171</v>
      </c>
      <c r="J966" s="53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209110712.725109</v>
      </c>
      <c r="K966" s="53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507173343.29433</v>
      </c>
      <c r="L966" s="53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617745766.755664</v>
      </c>
      <c r="M966" s="53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773696457.091716</v>
      </c>
      <c r="N966" s="53" t="n">
        <f aca="false">IF(COUNT('Business Case'!B11:G11)=0,"",H966+NPV(G966,I966:M966))</f>
        <v>-675339734.257519</v>
      </c>
      <c r="P966" s="54" t="n">
        <f aca="true">RAND()</f>
        <v>0.398140785530385</v>
      </c>
      <c r="Q966" s="54" t="n">
        <f aca="true">RAND()</f>
        <v>0.0181423488430484</v>
      </c>
      <c r="R966" s="54" t="n">
        <f aca="true">RAND()</f>
        <v>0.302295015586888</v>
      </c>
      <c r="S966" s="54" t="n">
        <f aca="true">RAND()</f>
        <v>0.0929760076548173</v>
      </c>
      <c r="T966" s="54" t="n">
        <f aca="true">RAND()</f>
        <v>0.409609035142013</v>
      </c>
      <c r="U966" s="54" t="n">
        <f aca="true">RAND()</f>
        <v>0.771808650097525</v>
      </c>
    </row>
    <row r="967" customFormat="false" ht="15" hidden="false" customHeight="false" outlineLevel="0" collapsed="false">
      <c r="A967" s="50" t="n">
        <v>887</v>
      </c>
      <c r="B967" s="51" t="n">
        <f aca="false">1+IF($G$6=$E$6,$F$6,IF(P967&lt;($F$6-$E$6)/($G$6-$E$6),$E$6+SQRT(P967*($G$6-$E$6)*($F$6-$E$6)),$G$6-SQRT((1-P967)*($G$6-$E$6)*($G$6-$F$6))))</f>
        <v>0.963121883361916</v>
      </c>
      <c r="C967" s="51" t="n">
        <f aca="false">1+IF($G$7=$E$7,$F$7,IF(Q967&lt;($F$7-$E$7)/($G$7-$E$7),$E$7+SQRT(Q967*($G$7-$E$7)*($F$7-$E$7)),$G$7-SQRT((1-Q967)*($G$7-$E$7)*($G$7-$F$7))))</f>
        <v>1.09174442587858</v>
      </c>
      <c r="D967" s="51" t="n">
        <f aca="false">1+IF($G$8=$E$8,$F$8,IF(R967&lt;($F$8-$E$8)/($G$8-$E$8),$E$8+SQRT(R967*($G$8-$E$8)*($F$8-$E$8)),$G$8-SQRT((1-R967)*($G$8-$E$8)*($G$8-$F$8))))</f>
        <v>0.991692623846688</v>
      </c>
      <c r="E967" s="51" t="n">
        <f aca="false">1+IF($G$9=$E$9,$F$9,IF(S967&lt;($F$9-$E$9)/($G$9-$E$9),$E$9+SQRT(S967*($G$9-$E$9)*($F$9-$E$9)),$G$9-SQRT((1-S967)*($G$9-$E$9)*($G$9-$F$9))))</f>
        <v>1.04979857882094</v>
      </c>
      <c r="F967" s="51" t="n">
        <f aca="false">1+IF($G$10=$E$10,$F$10,IF(T967&lt;($F$10-$E$10)/($G$10-$E$10),$E$10+SQRT(T967*($G$10-$E$10)*($F$10-$E$10)),$G$10-SQRT((1-T967)*($G$10-$E$10)*($G$10-$F$10))))</f>
        <v>0.995963706115805</v>
      </c>
      <c r="G967" s="52" t="n">
        <f aca="false">IF($G$11=$E$11,$F$11,IF(U967&lt;($F$11-$E$11)/($G$11-$E$11),$E$11+SQRT(U967*($G$11-$E$11)*($F$11-$E$11)),$G$11-SQRT((1-U967)*($G$11-$E$11)*($G$11-$F$11))))</f>
        <v>0.102294607825842</v>
      </c>
      <c r="H967" s="53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-1991927412.23161</v>
      </c>
      <c r="I967" s="53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3610704.46024351</v>
      </c>
      <c r="J967" s="53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310608013.444095</v>
      </c>
      <c r="K967" s="53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667403507.733736</v>
      </c>
      <c r="L967" s="53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806075194.730813</v>
      </c>
      <c r="M967" s="53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1005941073.41101</v>
      </c>
      <c r="N967" s="53" t="n">
        <f aca="false">IF(COUNT('Business Case'!B11:G11)=0,"",H967+NPV(G967,I967:M967))</f>
        <v>-70587049.3619206</v>
      </c>
      <c r="P967" s="54" t="n">
        <f aca="true">RAND()</f>
        <v>0.193697585904025</v>
      </c>
      <c r="Q967" s="54" t="n">
        <f aca="true">RAND()</f>
        <v>0.935357868262542</v>
      </c>
      <c r="R967" s="54" t="n">
        <f aca="true">RAND()</f>
        <v>0.26742690511099</v>
      </c>
      <c r="S967" s="54" t="n">
        <f aca="true">RAND()</f>
        <v>0.831987820773477</v>
      </c>
      <c r="T967" s="54" t="n">
        <f aca="true">RAND()</f>
        <v>0.169012982392008</v>
      </c>
      <c r="U967" s="54" t="n">
        <f aca="true">RAND()</f>
        <v>0.477531813265463</v>
      </c>
    </row>
    <row r="968" customFormat="false" ht="15" hidden="false" customHeight="false" outlineLevel="0" collapsed="false">
      <c r="A968" s="50" t="n">
        <v>888</v>
      </c>
      <c r="B968" s="51" t="n">
        <f aca="false">1+IF($G$6=$E$6,$F$6,IF(P968&lt;($F$6-$E$6)/($G$6-$E$6),$E$6+SQRT(P968*($G$6-$E$6)*($F$6-$E$6)),$G$6-SQRT((1-P968)*($G$6-$E$6)*($G$6-$F$6))))</f>
        <v>0.985382227974362</v>
      </c>
      <c r="C968" s="51" t="n">
        <f aca="false">1+IF($G$7=$E$7,$F$7,IF(Q968&lt;($F$7-$E$7)/($G$7-$E$7),$E$7+SQRT(Q968*($G$7-$E$7)*($F$7-$E$7)),$G$7-SQRT((1-Q968)*($G$7-$E$7)*($G$7-$F$7))))</f>
        <v>0.949137073265885</v>
      </c>
      <c r="D968" s="51" t="n">
        <f aca="false">1+IF($G$8=$E$8,$F$8,IF(R968&lt;($F$8-$E$8)/($G$8-$E$8),$E$8+SQRT(R968*($G$8-$E$8)*($F$8-$E$8)),$G$8-SQRT((1-R968)*($G$8-$E$8)*($G$8-$F$8))))</f>
        <v>0.978299241989385</v>
      </c>
      <c r="E968" s="51" t="n">
        <f aca="false">1+IF($G$9=$E$9,$F$9,IF(S968&lt;($F$9-$E$9)/($G$9-$E$9),$E$9+SQRT(S968*($G$9-$E$9)*($F$9-$E$9)),$G$9-SQRT((1-S968)*($G$9-$E$9)*($G$9-$F$9))))</f>
        <v>0.956114158269981</v>
      </c>
      <c r="F968" s="51" t="n">
        <f aca="false">1+IF($G$10=$E$10,$F$10,IF(T968&lt;($F$10-$E$10)/($G$10-$E$10),$E$10+SQRT(T968*($G$10-$E$10)*($F$10-$E$10)),$G$10-SQRT((1-T968)*($G$10-$E$10)*($G$10-$F$10))))</f>
        <v>1.02962813130123</v>
      </c>
      <c r="G968" s="52" t="n">
        <f aca="false">IF($G$11=$E$11,$F$11,IF(U968&lt;($F$11-$E$11)/($G$11-$E$11),$E$11+SQRT(U968*($G$11-$E$11)*($F$11-$E$11)),$G$11-SQRT((1-U968)*($G$11-$E$11)*($G$11-$F$11))))</f>
        <v>0.105036585308257</v>
      </c>
      <c r="H968" s="53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-2059256262.60247</v>
      </c>
      <c r="I968" s="53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3303067.72616246</v>
      </c>
      <c r="J968" s="53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294012405.64302</v>
      </c>
      <c r="K968" s="53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636203150.124939</v>
      </c>
      <c r="L968" s="53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765428945.266946</v>
      </c>
      <c r="M968" s="53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943203699.033741</v>
      </c>
      <c r="N968" s="53" t="n">
        <f aca="false">IF(COUNT('Business Case'!B11:G11)=0,"",H968+NPV(G968,I968:M968))</f>
        <v>-258247172.699271</v>
      </c>
      <c r="P968" s="54" t="n">
        <f aca="true">RAND()</f>
        <v>0.445295389051187</v>
      </c>
      <c r="Q968" s="54" t="n">
        <f aca="true">RAND()</f>
        <v>0.317740951747343</v>
      </c>
      <c r="R968" s="54" t="n">
        <f aca="true">RAND()</f>
        <v>0.123207245719041</v>
      </c>
      <c r="S968" s="54" t="n">
        <f aca="true">RAND()</f>
        <v>0.00498439084671651</v>
      </c>
      <c r="T968" s="54" t="n">
        <f aca="true">RAND()</f>
        <v>0.419468527121803</v>
      </c>
      <c r="U968" s="54" t="n">
        <f aca="true">RAND()</f>
        <v>0.626827034604885</v>
      </c>
    </row>
    <row r="969" customFormat="false" ht="15" hidden="false" customHeight="false" outlineLevel="0" collapsed="false">
      <c r="A969" s="50" t="n">
        <v>889</v>
      </c>
      <c r="B969" s="51" t="n">
        <f aca="false">1+IF($G$6=$E$6,$F$6,IF(P969&lt;($F$6-$E$6)/($G$6-$E$6),$E$6+SQRT(P969*($G$6-$E$6)*($F$6-$E$6)),$G$6-SQRT((1-P969)*($G$6-$E$6)*($G$6-$F$6))))</f>
        <v>0.965043479104341</v>
      </c>
      <c r="C969" s="51" t="n">
        <f aca="false">1+IF($G$7=$E$7,$F$7,IF(Q969&lt;($F$7-$E$7)/($G$7-$E$7),$E$7+SQRT(Q969*($G$7-$E$7)*($F$7-$E$7)),$G$7-SQRT((1-Q969)*($G$7-$E$7)*($G$7-$F$7))))</f>
        <v>0.992567234726293</v>
      </c>
      <c r="D969" s="51" t="n">
        <f aca="false">1+IF($G$8=$E$8,$F$8,IF(R969&lt;($F$8-$E$8)/($G$8-$E$8),$E$8+SQRT(R969*($G$8-$E$8)*($F$8-$E$8)),$G$8-SQRT((1-R969)*($G$8-$E$8)*($G$8-$F$8))))</f>
        <v>1.05604650344375</v>
      </c>
      <c r="E969" s="51" t="n">
        <f aca="false">1+IF($G$9=$E$9,$F$9,IF(S969&lt;($F$9-$E$9)/($G$9-$E$9),$E$9+SQRT(S969*($G$9-$E$9)*($F$9-$E$9)),$G$9-SQRT((1-S969)*($G$9-$E$9)*($G$9-$F$9))))</f>
        <v>1.04633018801776</v>
      </c>
      <c r="F969" s="51" t="n">
        <f aca="false">1+IF($G$10=$E$10,$F$10,IF(T969&lt;($F$10-$E$10)/($G$10-$E$10),$E$10+SQRT(T969*($G$10-$E$10)*($F$10-$E$10)),$G$10-SQRT((1-T969)*($G$10-$E$10)*($G$10-$F$10))))</f>
        <v>1.12182690541175</v>
      </c>
      <c r="G969" s="52" t="n">
        <f aca="false">IF($G$11=$E$11,$F$11,IF(U969&lt;($F$11-$E$11)/($G$11-$E$11),$E$11+SQRT(U969*($G$11-$E$11)*($F$11-$E$11)),$G$11-SQRT((1-U969)*($G$11-$E$11)*($G$11-$F$11))))</f>
        <v>0.112133221389867</v>
      </c>
      <c r="H969" s="53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-2243653810.8235</v>
      </c>
      <c r="I969" s="53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-62655004.0442579</v>
      </c>
      <c r="J969" s="53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185316843.849945</v>
      </c>
      <c r="K969" s="53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489380037.014735</v>
      </c>
      <c r="L969" s="53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605141325.420243</v>
      </c>
      <c r="M969" s="53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787213357.177834</v>
      </c>
      <c r="N969" s="53" t="n">
        <f aca="false">IF(COUNT('Business Case'!B11:G11)=0,"",H969+NPV(G969,I969:M969))</f>
        <v>-936100199.50361</v>
      </c>
      <c r="P969" s="54" t="n">
        <f aca="true">RAND()</f>
        <v>0.211345313523249</v>
      </c>
      <c r="Q969" s="54" t="n">
        <f aca="true">RAND()</f>
        <v>0.529744855573301</v>
      </c>
      <c r="R969" s="54" t="n">
        <f aca="true">RAND()</f>
        <v>0.944829807954798</v>
      </c>
      <c r="S969" s="54" t="n">
        <f aca="true">RAND()</f>
        <v>0.807970085452699</v>
      </c>
      <c r="T969" s="54" t="n">
        <f aca="true">RAND()</f>
        <v>0.877779345649933</v>
      </c>
      <c r="U969" s="54" t="n">
        <f aca="true">RAND()</f>
        <v>0.896856323831913</v>
      </c>
    </row>
    <row r="970" customFormat="false" ht="15" hidden="false" customHeight="false" outlineLevel="0" collapsed="false">
      <c r="A970" s="50" t="n">
        <v>890</v>
      </c>
      <c r="B970" s="51" t="n">
        <f aca="false">1+IF($G$6=$E$6,$F$6,IF(P970&lt;($F$6-$E$6)/($G$6-$E$6),$E$6+SQRT(P970*($G$6-$E$6)*($F$6-$E$6)),$G$6-SQRT((1-P970)*($G$6-$E$6)*($G$6-$F$6))))</f>
        <v>0.99772845573115</v>
      </c>
      <c r="C970" s="51" t="n">
        <f aca="false">1+IF($G$7=$E$7,$F$7,IF(Q970&lt;($F$7-$E$7)/($G$7-$E$7),$E$7+SQRT(Q970*($G$7-$E$7)*($F$7-$E$7)),$G$7-SQRT((1-Q970)*($G$7-$E$7)*($G$7-$F$7))))</f>
        <v>0.972126214197343</v>
      </c>
      <c r="D970" s="51" t="n">
        <f aca="false">1+IF($G$8=$E$8,$F$8,IF(R970&lt;($F$8-$E$8)/($G$8-$E$8),$E$8+SQRT(R970*($G$8-$E$8)*($F$8-$E$8)),$G$8-SQRT((1-R970)*($G$8-$E$8)*($G$8-$F$8))))</f>
        <v>0.992710377877212</v>
      </c>
      <c r="E970" s="51" t="n">
        <f aca="false">1+IF($G$9=$E$9,$F$9,IF(S970&lt;($F$9-$E$9)/($G$9-$E$9),$E$9+SQRT(S970*($G$9-$E$9)*($F$9-$E$9)),$G$9-SQRT((1-S970)*($G$9-$E$9)*($G$9-$F$9))))</f>
        <v>1.03814111630583</v>
      </c>
      <c r="F970" s="51" t="n">
        <f aca="false">1+IF($G$10=$E$10,$F$10,IF(T970&lt;($F$10-$E$10)/($G$10-$E$10),$E$10+SQRT(T970*($G$10-$E$10)*($F$10-$E$10)),$G$10-SQRT((1-T970)*($G$10-$E$10)*($G$10-$F$10))))</f>
        <v>1.00568671869073</v>
      </c>
      <c r="G970" s="52" t="n">
        <f aca="false">IF($G$11=$E$11,$F$11,IF(U970&lt;($F$11-$E$11)/($G$11-$E$11),$E$11+SQRT(U970*($G$11-$E$11)*($F$11-$E$11)),$G$11-SQRT((1-U970)*($G$11-$E$11)*($G$11-$F$11))))</f>
        <v>0.0974189827380545</v>
      </c>
      <c r="H970" s="53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-2011373437.38145</v>
      </c>
      <c r="I970" s="53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1936613.07033764</v>
      </c>
      <c r="J970" s="53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302346113.16688</v>
      </c>
      <c r="K970" s="53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653039949.197959</v>
      </c>
      <c r="L970" s="53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786696814.842436</v>
      </c>
      <c r="M970" s="53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971058825.710061</v>
      </c>
      <c r="N970" s="53" t="n">
        <f aca="false">IF(COUNT('Business Case'!B11:G11)=0,"",H970+NPV(G970,I970:M970))</f>
        <v>-111978404.504462</v>
      </c>
      <c r="P970" s="54" t="n">
        <f aca="true">RAND()</f>
        <v>0.629345086494721</v>
      </c>
      <c r="Q970" s="54" t="n">
        <f aca="true">RAND()</f>
        <v>0.423249051627281</v>
      </c>
      <c r="R970" s="54" t="n">
        <f aca="true">RAND()</f>
        <v>0.280642519756039</v>
      </c>
      <c r="S970" s="54" t="n">
        <f aca="true">RAND()</f>
        <v>0.744898567207415</v>
      </c>
      <c r="T970" s="54" t="n">
        <f aca="true">RAND()</f>
        <v>0.244846974136463</v>
      </c>
      <c r="U970" s="54" t="n">
        <f aca="true">RAND()</f>
        <v>0.18347101622517</v>
      </c>
    </row>
    <row r="971" customFormat="false" ht="15" hidden="false" customHeight="false" outlineLevel="0" collapsed="false">
      <c r="A971" s="50" t="n">
        <v>891</v>
      </c>
      <c r="B971" s="51" t="n">
        <f aca="false">1+IF($G$6=$E$6,$F$6,IF(P971&lt;($F$6-$E$6)/($G$6-$E$6),$E$6+SQRT(P971*($G$6-$E$6)*($F$6-$E$6)),$G$6-SQRT((1-P971)*($G$6-$E$6)*($G$6-$F$6))))</f>
        <v>0.960873034976954</v>
      </c>
      <c r="C971" s="51" t="n">
        <f aca="false">1+IF($G$7=$E$7,$F$7,IF(Q971&lt;($F$7-$E$7)/($G$7-$E$7),$E$7+SQRT(Q971*($G$7-$E$7)*($F$7-$E$7)),$G$7-SQRT((1-Q971)*($G$7-$E$7)*($G$7-$F$7))))</f>
        <v>1.12610657570002</v>
      </c>
      <c r="D971" s="51" t="n">
        <f aca="false">1+IF($G$8=$E$8,$F$8,IF(R971&lt;($F$8-$E$8)/($G$8-$E$8),$E$8+SQRT(R971*($G$8-$E$8)*($F$8-$E$8)),$G$8-SQRT((1-R971)*($G$8-$E$8)*($G$8-$F$8))))</f>
        <v>1.02071467795714</v>
      </c>
      <c r="E971" s="51" t="n">
        <f aca="false">1+IF($G$9=$E$9,$F$9,IF(S971&lt;($F$9-$E$9)/($G$9-$E$9),$E$9+SQRT(S971*($G$9-$E$9)*($F$9-$E$9)),$G$9-SQRT((1-S971)*($G$9-$E$9)*($G$9-$F$9))))</f>
        <v>1.0068236624517</v>
      </c>
      <c r="F971" s="51" t="n">
        <f aca="false">1+IF($G$10=$E$10,$F$10,IF(T971&lt;($F$10-$E$10)/($G$10-$E$10),$E$10+SQRT(T971*($G$10-$E$10)*($F$10-$E$10)),$G$10-SQRT((1-T971)*($G$10-$E$10)*($G$10-$F$10))))</f>
        <v>0.984859483750553</v>
      </c>
      <c r="G971" s="52" t="n">
        <f aca="false">IF($G$11=$E$11,$F$11,IF(U971&lt;($F$11-$E$11)/($G$11-$E$11),$E$11+SQRT(U971*($G$11-$E$11)*($F$11-$E$11)),$G$11-SQRT((1-U971)*($G$11-$E$11)*($G$11-$F$11))))</f>
        <v>0.0997725198901181</v>
      </c>
      <c r="H971" s="53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-1969718967.50111</v>
      </c>
      <c r="I971" s="53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105613.396303684</v>
      </c>
      <c r="J971" s="53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297960735.738618</v>
      </c>
      <c r="K971" s="53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645058832.268461</v>
      </c>
      <c r="L971" s="53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781739363.562781</v>
      </c>
      <c r="M971" s="53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987414561.387302</v>
      </c>
      <c r="N971" s="53" t="n">
        <f aca="false">IF(COUNT('Business Case'!B11:G11)=0,"",H971+NPV(G971,I971:M971))</f>
        <v>-90207960.2133246</v>
      </c>
      <c r="P971" s="54" t="n">
        <f aca="true">RAND()</f>
        <v>0.174021352940346</v>
      </c>
      <c r="Q971" s="54" t="n">
        <f aca="true">RAND()</f>
        <v>0.989125795718498</v>
      </c>
      <c r="R971" s="54" t="n">
        <f aca="true">RAND()</f>
        <v>0.662043325987902</v>
      </c>
      <c r="S971" s="54" t="n">
        <f aca="true">RAND()</f>
        <v>0.42121134140568</v>
      </c>
      <c r="T971" s="54" t="n">
        <f aca="true">RAND()</f>
        <v>0.0972146885884028</v>
      </c>
      <c r="U971" s="54" t="n">
        <f aca="true">RAND()</f>
        <v>0.318340483342512</v>
      </c>
    </row>
    <row r="972" customFormat="false" ht="15" hidden="false" customHeight="false" outlineLevel="0" collapsed="false">
      <c r="A972" s="50" t="n">
        <v>892</v>
      </c>
      <c r="B972" s="51" t="n">
        <f aca="false">1+IF($G$6=$E$6,$F$6,IF(P972&lt;($F$6-$E$6)/($G$6-$E$6),$E$6+SQRT(P972*($G$6-$E$6)*($F$6-$E$6)),$G$6-SQRT((1-P972)*($G$6-$E$6)*($G$6-$F$6))))</f>
        <v>0.969076424501995</v>
      </c>
      <c r="C972" s="51" t="n">
        <f aca="false">1+IF($G$7=$E$7,$F$7,IF(Q972&lt;($F$7-$E$7)/($G$7-$E$7),$E$7+SQRT(Q972*($G$7-$E$7)*($F$7-$E$7)),$G$7-SQRT((1-Q972)*($G$7-$E$7)*($G$7-$F$7))))</f>
        <v>0.868397265987232</v>
      </c>
      <c r="D972" s="51" t="n">
        <f aca="false">1+IF($G$8=$E$8,$F$8,IF(R972&lt;($F$8-$E$8)/($G$8-$E$8),$E$8+SQRT(R972*($G$8-$E$8)*($F$8-$E$8)),$G$8-SQRT((1-R972)*($G$8-$E$8)*($G$8-$F$8))))</f>
        <v>0.974342177152749</v>
      </c>
      <c r="E972" s="51" t="n">
        <f aca="false">1+IF($G$9=$E$9,$F$9,IF(S972&lt;($F$9-$E$9)/($G$9-$E$9),$E$9+SQRT(S972*($G$9-$E$9)*($F$9-$E$9)),$G$9-SQRT((1-S972)*($G$9-$E$9)*($G$9-$F$9))))</f>
        <v>0.979766136695097</v>
      </c>
      <c r="F972" s="51" t="n">
        <f aca="false">1+IF($G$10=$E$10,$F$10,IF(T972&lt;($F$10-$E$10)/($G$10-$E$10),$E$10+SQRT(T972*($G$10-$E$10)*($F$10-$E$10)),$G$10-SQRT((1-T972)*($G$10-$E$10)*($G$10-$F$10))))</f>
        <v>0.987552710896967</v>
      </c>
      <c r="G972" s="52" t="n">
        <f aca="false">IF($G$11=$E$11,$F$11,IF(U972&lt;($F$11-$E$11)/($G$11-$E$11),$E$11+SQRT(U972*($G$11-$E$11)*($F$11-$E$11)),$G$11-SQRT((1-U972)*($G$11-$E$11)*($G$11-$F$11))))</f>
        <v>0.117016104539512</v>
      </c>
      <c r="H972" s="53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-1975105421.79393</v>
      </c>
      <c r="I972" s="53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-25562798.1961399</v>
      </c>
      <c r="J972" s="53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230578024.9183</v>
      </c>
      <c r="K972" s="53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536096483.577587</v>
      </c>
      <c r="L972" s="53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650560495.004294</v>
      </c>
      <c r="M972" s="53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810521048.80804</v>
      </c>
      <c r="N972" s="53" t="n">
        <f aca="false">IF(COUNT('Business Case'!B11:G11)=0,"",H972+NPV(G972,I972:M972))</f>
        <v>-544576950.119932</v>
      </c>
      <c r="P972" s="54" t="n">
        <f aca="true">RAND()</f>
        <v>0.250884941864581</v>
      </c>
      <c r="Q972" s="54" t="n">
        <f aca="true">RAND()</f>
        <v>0.0668312284932588</v>
      </c>
      <c r="R972" s="54" t="n">
        <f aca="true">RAND()</f>
        <v>0.091160244390126</v>
      </c>
      <c r="S972" s="54" t="n">
        <f aca="true">RAND()</f>
        <v>0.118136385833493</v>
      </c>
      <c r="T972" s="54" t="n">
        <f aca="true">RAND()</f>
        <v>0.112816487656894</v>
      </c>
      <c r="U972" s="54" t="n">
        <f aca="true">RAND()</f>
        <v>0.985160613134795</v>
      </c>
    </row>
    <row r="973" customFormat="false" ht="15" hidden="false" customHeight="false" outlineLevel="0" collapsed="false">
      <c r="A973" s="50" t="n">
        <v>893</v>
      </c>
      <c r="B973" s="51" t="n">
        <f aca="false">1+IF($G$6=$E$6,$F$6,IF(P973&lt;($F$6-$E$6)/($G$6-$E$6),$E$6+SQRT(P973*($G$6-$E$6)*($F$6-$E$6)),$G$6-SQRT((1-P973)*($G$6-$E$6)*($G$6-$F$6))))</f>
        <v>1.00299411039051</v>
      </c>
      <c r="C973" s="51" t="n">
        <f aca="false">1+IF($G$7=$E$7,$F$7,IF(Q973&lt;($F$7-$E$7)/($G$7-$E$7),$E$7+SQRT(Q973*($G$7-$E$7)*($F$7-$E$7)),$G$7-SQRT((1-Q973)*($G$7-$E$7)*($G$7-$F$7))))</f>
        <v>1.03228714382356</v>
      </c>
      <c r="D973" s="51" t="n">
        <f aca="false">1+IF($G$8=$E$8,$F$8,IF(R973&lt;($F$8-$E$8)/($G$8-$E$8),$E$8+SQRT(R973*($G$8-$E$8)*($F$8-$E$8)),$G$8-SQRT((1-R973)*($G$8-$E$8)*($G$8-$F$8))))</f>
        <v>0.989340885939583</v>
      </c>
      <c r="E973" s="51" t="n">
        <f aca="false">1+IF($G$9=$E$9,$F$9,IF(S973&lt;($F$9-$E$9)/($G$9-$E$9),$E$9+SQRT(S973*($G$9-$E$9)*($F$9-$E$9)),$G$9-SQRT((1-S973)*($G$9-$E$9)*($G$9-$F$9))))</f>
        <v>0.996235009234989</v>
      </c>
      <c r="F973" s="51" t="n">
        <f aca="false">1+IF($G$10=$E$10,$F$10,IF(T973&lt;($F$10-$E$10)/($G$10-$E$10),$E$10+SQRT(T973*($G$10-$E$10)*($F$10-$E$10)),$G$10-SQRT((1-T973)*($G$10-$E$10)*($G$10-$F$10))))</f>
        <v>1.00662835490321</v>
      </c>
      <c r="G973" s="52" t="n">
        <f aca="false">IF($G$11=$E$11,$F$11,IF(U973&lt;($F$11-$E$11)/($G$11-$E$11),$E$11+SQRT(U973*($G$11-$E$11)*($F$11-$E$11)),$G$11-SQRT((1-U973)*($G$11-$E$11)*($G$11-$F$11))))</f>
        <v>0.103916098260258</v>
      </c>
      <c r="H973" s="53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-2013256709.80643</v>
      </c>
      <c r="I973" s="53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29231980.197608</v>
      </c>
      <c r="J973" s="53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354465405.855992</v>
      </c>
      <c r="K973" s="53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730030249.259537</v>
      </c>
      <c r="L973" s="53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874224052.250492</v>
      </c>
      <c r="M973" s="53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1071028688.32704</v>
      </c>
      <c r="N973" s="53" t="n">
        <f aca="false">IF(COUNT('Business Case'!B11:G11)=0,"",H973+NPV(G973,I973:M973))</f>
        <v>88752593.4808412</v>
      </c>
      <c r="P973" s="54" t="n">
        <f aca="true">RAND()</f>
        <v>0.714700861293833</v>
      </c>
      <c r="Q973" s="54" t="n">
        <f aca="true">RAND()</f>
        <v>0.736070161729238</v>
      </c>
      <c r="R973" s="54" t="n">
        <f aca="true">RAND()</f>
        <v>0.238108508694036</v>
      </c>
      <c r="S973" s="54" t="n">
        <f aca="true">RAND()</f>
        <v>0.285023477194599</v>
      </c>
      <c r="T973" s="54" t="n">
        <f aca="true">RAND()</f>
        <v>0.252148137451245</v>
      </c>
      <c r="U973" s="54" t="n">
        <f aca="true">RAND()</f>
        <v>0.568846841377226</v>
      </c>
    </row>
    <row r="974" customFormat="false" ht="15" hidden="false" customHeight="false" outlineLevel="0" collapsed="false">
      <c r="A974" s="50" t="n">
        <v>894</v>
      </c>
      <c r="B974" s="51" t="n">
        <f aca="false">1+IF($G$6=$E$6,$F$6,IF(P974&lt;($F$6-$E$6)/($G$6-$E$6),$E$6+SQRT(P974*($G$6-$E$6)*($F$6-$E$6)),$G$6-SQRT((1-P974)*($G$6-$E$6)*($G$6-$F$6))))</f>
        <v>1.00118663782004</v>
      </c>
      <c r="C974" s="51" t="n">
        <f aca="false">1+IF($G$7=$E$7,$F$7,IF(Q974&lt;($F$7-$E$7)/($G$7-$E$7),$E$7+SQRT(Q974*($G$7-$E$7)*($F$7-$E$7)),$G$7-SQRT((1-Q974)*($G$7-$E$7)*($G$7-$F$7))))</f>
        <v>1.03334081573053</v>
      </c>
      <c r="D974" s="51" t="n">
        <f aca="false">1+IF($G$8=$E$8,$F$8,IF(R974&lt;($F$8-$E$8)/($G$8-$E$8),$E$8+SQRT(R974*($G$8-$E$8)*($F$8-$E$8)),$G$8-SQRT((1-R974)*($G$8-$E$8)*($G$8-$F$8))))</f>
        <v>0.963045876842472</v>
      </c>
      <c r="E974" s="51" t="n">
        <f aca="false">1+IF($G$9=$E$9,$F$9,IF(S974&lt;($F$9-$E$9)/($G$9-$E$9),$E$9+SQRT(S974*($G$9-$E$9)*($F$9-$E$9)),$G$9-SQRT((1-S974)*($G$9-$E$9)*($G$9-$F$9))))</f>
        <v>0.99954208370529</v>
      </c>
      <c r="F974" s="51" t="n">
        <f aca="false">1+IF($G$10=$E$10,$F$10,IF(T974&lt;($F$10-$E$10)/($G$10-$E$10),$E$10+SQRT(T974*($G$10-$E$10)*($F$10-$E$10)),$G$10-SQRT((1-T974)*($G$10-$E$10)*($G$10-$F$10))))</f>
        <v>1.01415182225024</v>
      </c>
      <c r="G974" s="52" t="n">
        <f aca="false">IF($G$11=$E$11,$F$11,IF(U974&lt;($F$11-$E$11)/($G$11-$E$11),$E$11+SQRT(U974*($G$11-$E$11)*($F$11-$E$11)),$G$11-SQRT((1-U974)*($G$11-$E$11)*($G$11-$F$11))))</f>
        <v>0.0951135392955319</v>
      </c>
      <c r="H974" s="53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-2028303644.50048</v>
      </c>
      <c r="I974" s="53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40763306.1212824</v>
      </c>
      <c r="J974" s="53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378708632.932978</v>
      </c>
      <c r="K974" s="53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767361550.857186</v>
      </c>
      <c r="L974" s="53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915764629.236082</v>
      </c>
      <c r="M974" s="53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1112415127.8319</v>
      </c>
      <c r="N974" s="53" t="n">
        <f aca="false">IF(COUNT('Business Case'!B11:G11)=0,"",H974+NPV(G974,I974:M974))</f>
        <v>251971872.537212</v>
      </c>
      <c r="P974" s="54" t="n">
        <f aca="true">RAND()</f>
        <v>0.68615060755991</v>
      </c>
      <c r="Q974" s="54" t="n">
        <f aca="true">RAND()</f>
        <v>0.740773994772986</v>
      </c>
      <c r="R974" s="54" t="n">
        <f aca="true">RAND()</f>
        <v>0.0261838311675317</v>
      </c>
      <c r="S974" s="54" t="n">
        <f aca="true">RAND()</f>
        <v>0.327255741048263</v>
      </c>
      <c r="T974" s="54" t="n">
        <f aca="true">RAND()</f>
        <v>0.309209096541877</v>
      </c>
      <c r="U974" s="54" t="n">
        <f aca="true">RAND()</f>
        <v>0.0871609470898313</v>
      </c>
    </row>
    <row r="975" customFormat="false" ht="15" hidden="false" customHeight="false" outlineLevel="0" collapsed="false">
      <c r="A975" s="50" t="n">
        <v>895</v>
      </c>
      <c r="B975" s="51" t="n">
        <f aca="false">1+IF($G$6=$E$6,$F$6,IF(P975&lt;($F$6-$E$6)/($G$6-$E$6),$E$6+SQRT(P975*($G$6-$E$6)*($F$6-$E$6)),$G$6-SQRT((1-P975)*($G$6-$E$6)*($G$6-$F$6))))</f>
        <v>0.984782910805183</v>
      </c>
      <c r="C975" s="51" t="n">
        <f aca="false">1+IF($G$7=$E$7,$F$7,IF(Q975&lt;($F$7-$E$7)/($G$7-$E$7),$E$7+SQRT(Q975*($G$7-$E$7)*($F$7-$E$7)),$G$7-SQRT((1-Q975)*($G$7-$E$7)*($G$7-$F$7))))</f>
        <v>1.01001456535754</v>
      </c>
      <c r="D975" s="51" t="n">
        <f aca="false">1+IF($G$8=$E$8,$F$8,IF(R975&lt;($F$8-$E$8)/($G$8-$E$8),$E$8+SQRT(R975*($G$8-$E$8)*($F$8-$E$8)),$G$8-SQRT((1-R975)*($G$8-$E$8)*($G$8-$F$8))))</f>
        <v>1.04085856153596</v>
      </c>
      <c r="E975" s="51" t="n">
        <f aca="false">1+IF($G$9=$E$9,$F$9,IF(S975&lt;($F$9-$E$9)/($G$9-$E$9),$E$9+SQRT(S975*($G$9-$E$9)*($F$9-$E$9)),$G$9-SQRT((1-S975)*($G$9-$E$9)*($G$9-$F$9))))</f>
        <v>0.990853659328583</v>
      </c>
      <c r="F975" s="51" t="n">
        <f aca="false">1+IF($G$10=$E$10,$F$10,IF(T975&lt;($F$10-$E$10)/($G$10-$E$10),$E$10+SQRT(T975*($G$10-$E$10)*($F$10-$E$10)),$G$10-SQRT((1-T975)*($G$10-$E$10)*($G$10-$F$10))))</f>
        <v>0.960548245264415</v>
      </c>
      <c r="G975" s="52" t="n">
        <f aca="false">IF($G$11=$E$11,$F$11,IF(U975&lt;($F$11-$E$11)/($G$11-$E$11),$E$11+SQRT(U975*($G$11-$E$11)*($F$11-$E$11)),$G$11-SQRT((1-U975)*($G$11-$E$11)*($G$11-$F$11))))</f>
        <v>0.102553172629423</v>
      </c>
      <c r="H975" s="53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-1921096490.52883</v>
      </c>
      <c r="I975" s="53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-12003117.0016965</v>
      </c>
      <c r="J975" s="53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264510382.014871</v>
      </c>
      <c r="K975" s="53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589051293.294659</v>
      </c>
      <c r="L975" s="53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715597393.723714</v>
      </c>
      <c r="M975" s="53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904659531.219806</v>
      </c>
      <c r="N975" s="53" t="n">
        <f aca="false">IF(COUNT('Business Case'!B11:G11)=0,"",H975+NPV(G975,I975:M975))</f>
        <v>-235395613.653705</v>
      </c>
      <c r="P975" s="54" t="n">
        <f aca="true">RAND()</f>
        <v>0.43716932629087</v>
      </c>
      <c r="Q975" s="54" t="n">
        <f aca="true">RAND()</f>
        <v>0.626744344532616</v>
      </c>
      <c r="R975" s="54" t="n">
        <f aca="true">RAND()</f>
        <v>0.852687287977475</v>
      </c>
      <c r="S975" s="54" t="n">
        <f aca="true">RAND()</f>
        <v>0.222536197404793</v>
      </c>
      <c r="T975" s="54" t="n">
        <f aca="true">RAND()</f>
        <v>0.00890123825266016</v>
      </c>
      <c r="U975" s="54" t="n">
        <f aca="true">RAND()</f>
        <v>0.492680357835452</v>
      </c>
    </row>
    <row r="976" customFormat="false" ht="15" hidden="false" customHeight="false" outlineLevel="0" collapsed="false">
      <c r="A976" s="50" t="n">
        <v>896</v>
      </c>
      <c r="B976" s="51" t="n">
        <f aca="false">1+IF($G$6=$E$6,$F$6,IF(P976&lt;($F$6-$E$6)/($G$6-$E$6),$E$6+SQRT(P976*($G$6-$E$6)*($F$6-$E$6)),$G$6-SQRT((1-P976)*($G$6-$E$6)*($G$6-$F$6))))</f>
        <v>1.00248569781077</v>
      </c>
      <c r="C976" s="51" t="n">
        <f aca="false">1+IF($G$7=$E$7,$F$7,IF(Q976&lt;($F$7-$E$7)/($G$7-$E$7),$E$7+SQRT(Q976*($G$7-$E$7)*($F$7-$E$7)),$G$7-SQRT((1-Q976)*($G$7-$E$7)*($G$7-$F$7))))</f>
        <v>1.02585207963246</v>
      </c>
      <c r="D976" s="51" t="n">
        <f aca="false">1+IF($G$8=$E$8,$F$8,IF(R976&lt;($F$8-$E$8)/($G$8-$E$8),$E$8+SQRT(R976*($G$8-$E$8)*($F$8-$E$8)),$G$8-SQRT((1-R976)*($G$8-$E$8)*($G$8-$F$8))))</f>
        <v>1.00436749152202</v>
      </c>
      <c r="E976" s="51" t="n">
        <f aca="false">1+IF($G$9=$E$9,$F$9,IF(S976&lt;($F$9-$E$9)/($G$9-$E$9),$E$9+SQRT(S976*($G$9-$E$9)*($F$9-$E$9)),$G$9-SQRT((1-S976)*($G$9-$E$9)*($G$9-$F$9))))</f>
        <v>1.05950282504528</v>
      </c>
      <c r="F976" s="51" t="n">
        <f aca="false">1+IF($G$10=$E$10,$F$10,IF(T976&lt;($F$10-$E$10)/($G$10-$E$10),$E$10+SQRT(T976*($G$10-$E$10)*($F$10-$E$10)),$G$10-SQRT((1-T976)*($G$10-$E$10)*($G$10-$F$10))))</f>
        <v>1.07747136081811</v>
      </c>
      <c r="G976" s="52" t="n">
        <f aca="false">IF($G$11=$E$11,$F$11,IF(U976&lt;($F$11-$E$11)/($G$11-$E$11),$E$11+SQRT(U976*($G$11-$E$11)*($F$11-$E$11)),$G$11-SQRT((1-U976)*($G$11-$E$11)*($G$11-$F$11))))</f>
        <v>0.106133859860636</v>
      </c>
      <c r="H976" s="53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-2154942721.63622</v>
      </c>
      <c r="I976" s="53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3166711.43271402</v>
      </c>
      <c r="J976" s="53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318054222.313465</v>
      </c>
      <c r="K976" s="53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686815301.235121</v>
      </c>
      <c r="L976" s="53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827319379.291895</v>
      </c>
      <c r="M976" s="53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1022798038.65611</v>
      </c>
      <c r="N976" s="53" t="n">
        <f aca="false">IF(COUNT('Business Case'!B11:G11)=0,"",H976+NPV(G976,I976:M976))</f>
        <v>-214351658.893079</v>
      </c>
      <c r="P976" s="54" t="n">
        <f aca="true">RAND()</f>
        <v>0.706807735678082</v>
      </c>
      <c r="Q976" s="54" t="n">
        <f aca="true">RAND()</f>
        <v>0.706424645112678</v>
      </c>
      <c r="R976" s="54" t="n">
        <f aca="true">RAND()</f>
        <v>0.449973428973829</v>
      </c>
      <c r="S976" s="54" t="n">
        <f aca="true">RAND()</f>
        <v>0.890665254712469</v>
      </c>
      <c r="T976" s="54" t="n">
        <f aca="true">RAND()</f>
        <v>0.699734651604677</v>
      </c>
      <c r="U976" s="54" t="n">
        <f aca="true">RAND()</f>
        <v>0.679550262725881</v>
      </c>
    </row>
    <row r="977" customFormat="false" ht="15" hidden="false" customHeight="false" outlineLevel="0" collapsed="false">
      <c r="A977" s="50" t="n">
        <v>897</v>
      </c>
      <c r="B977" s="51" t="n">
        <f aca="false">1+IF($G$6=$E$6,$F$6,IF(P977&lt;($F$6-$E$6)/($G$6-$E$6),$E$6+SQRT(P977*($G$6-$E$6)*($F$6-$E$6)),$G$6-SQRT((1-P977)*($G$6-$E$6)*($G$6-$F$6))))</f>
        <v>0.997956105109554</v>
      </c>
      <c r="C977" s="51" t="n">
        <f aca="false">1+IF($G$7=$E$7,$F$7,IF(Q977&lt;($F$7-$E$7)/($G$7-$E$7),$E$7+SQRT(Q977*($G$7-$E$7)*($F$7-$E$7)),$G$7-SQRT((1-Q977)*($G$7-$E$7)*($G$7-$F$7))))</f>
        <v>0.838825495376214</v>
      </c>
      <c r="D977" s="51" t="n">
        <f aca="false">1+IF($G$8=$E$8,$F$8,IF(R977&lt;($F$8-$E$8)/($G$8-$E$8),$E$8+SQRT(R977*($G$8-$E$8)*($F$8-$E$8)),$G$8-SQRT((1-R977)*($G$8-$E$8)*($G$8-$F$8))))</f>
        <v>0.974949657149421</v>
      </c>
      <c r="E977" s="51" t="n">
        <f aca="false">1+IF($G$9=$E$9,$F$9,IF(S977&lt;($F$9-$E$9)/($G$9-$E$9),$E$9+SQRT(S977*($G$9-$E$9)*($F$9-$E$9)),$G$9-SQRT((1-S977)*($G$9-$E$9)*($G$9-$F$9))))</f>
        <v>1.0020443883813</v>
      </c>
      <c r="F977" s="51" t="n">
        <f aca="false">1+IF($G$10=$E$10,$F$10,IF(T977&lt;($F$10-$E$10)/($G$10-$E$10),$E$10+SQRT(T977*($G$10-$E$10)*($F$10-$E$10)),$G$10-SQRT((1-T977)*($G$10-$E$10)*($G$10-$F$10))))</f>
        <v>1.03873438418071</v>
      </c>
      <c r="G977" s="52" t="n">
        <f aca="false">IF($G$11=$E$11,$F$11,IF(U977&lt;($F$11-$E$11)/($G$11-$E$11),$E$11+SQRT(U977*($G$11-$E$11)*($F$11-$E$11)),$G$11-SQRT((1-U977)*($G$11-$E$11)*($G$11-$F$11))))</f>
        <v>0.105969460239733</v>
      </c>
      <c r="H977" s="53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-2077468768.36143</v>
      </c>
      <c r="I977" s="53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-22760426.2039326</v>
      </c>
      <c r="J977" s="53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244239133.534226</v>
      </c>
      <c r="K977" s="53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563175412.48142</v>
      </c>
      <c r="L977" s="53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681105822.72494</v>
      </c>
      <c r="M977" s="53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840223886.211003</v>
      </c>
      <c r="N977" s="53" t="n">
        <f aca="false">IF(COUNT('Business Case'!B11:G11)=0,"",H977+NPV(G977,I977:M977))</f>
        <v>-519037294.331595</v>
      </c>
      <c r="P977" s="54" t="n">
        <f aca="true">RAND()</f>
        <v>0.633036908734561</v>
      </c>
      <c r="Q977" s="54" t="n">
        <f aca="true">RAND()</f>
        <v>0.021534558445834</v>
      </c>
      <c r="R977" s="54" t="n">
        <f aca="true">RAND()</f>
        <v>0.0957669833651746</v>
      </c>
      <c r="S977" s="54" t="n">
        <f aca="true">RAND()</f>
        <v>0.360313210160429</v>
      </c>
      <c r="T977" s="54" t="n">
        <f aca="true">RAND()</f>
        <v>0.479868023088524</v>
      </c>
      <c r="U977" s="54" t="n">
        <f aca="true">RAND()</f>
        <v>0.67190659005928</v>
      </c>
    </row>
    <row r="978" customFormat="false" ht="15" hidden="false" customHeight="false" outlineLevel="0" collapsed="false">
      <c r="A978" s="50" t="n">
        <v>898</v>
      </c>
      <c r="B978" s="51" t="n">
        <f aca="false">1+IF($G$6=$E$6,$F$6,IF(P978&lt;($F$6-$E$6)/($G$6-$E$6),$E$6+SQRT(P978*($G$6-$E$6)*($F$6-$E$6)),$G$6-SQRT((1-P978)*($G$6-$E$6)*($G$6-$F$6))))</f>
        <v>1.00693749319016</v>
      </c>
      <c r="C978" s="51" t="n">
        <f aca="false">1+IF($G$7=$E$7,$F$7,IF(Q978&lt;($F$7-$E$7)/($G$7-$E$7),$E$7+SQRT(Q978*($G$7-$E$7)*($F$7-$E$7)),$G$7-SQRT((1-Q978)*($G$7-$E$7)*($G$7-$F$7))))</f>
        <v>0.988240048009073</v>
      </c>
      <c r="D978" s="51" t="n">
        <f aca="false">1+IF($G$8=$E$8,$F$8,IF(R978&lt;($F$8-$E$8)/($G$8-$E$8),$E$8+SQRT(R978*($G$8-$E$8)*($F$8-$E$8)),$G$8-SQRT((1-R978)*($G$8-$E$8)*($G$8-$F$8))))</f>
        <v>1.00454587900054</v>
      </c>
      <c r="E978" s="51" t="n">
        <f aca="false">1+IF($G$9=$E$9,$F$9,IF(S978&lt;($F$9-$E$9)/($G$9-$E$9),$E$9+SQRT(S978*($G$9-$E$9)*($F$9-$E$9)),$G$9-SQRT((1-S978)*($G$9-$E$9)*($G$9-$F$9))))</f>
        <v>0.964114961699853</v>
      </c>
      <c r="F978" s="51" t="n">
        <f aca="false">1+IF($G$10=$E$10,$F$10,IF(T978&lt;($F$10-$E$10)/($G$10-$E$10),$E$10+SQRT(T978*($G$10-$E$10)*($F$10-$E$10)),$G$10-SQRT((1-T978)*($G$10-$E$10)*($G$10-$F$10))))</f>
        <v>0.997181200779283</v>
      </c>
      <c r="G978" s="52" t="n">
        <f aca="false">IF($G$11=$E$11,$F$11,IF(U978&lt;($F$11-$E$11)/($G$11-$E$11),$E$11+SQRT(U978*($G$11-$E$11)*($F$11-$E$11)),$G$11-SQRT((1-U978)*($G$11-$E$11)*($G$11-$F$11))))</f>
        <v>0.118951923215524</v>
      </c>
      <c r="H978" s="53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-1994362401.55857</v>
      </c>
      <c r="I978" s="53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18454588.4917023</v>
      </c>
      <c r="J978" s="53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325310219.005838</v>
      </c>
      <c r="K978" s="53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682024909.558937</v>
      </c>
      <c r="L978" s="53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818700635.990839</v>
      </c>
      <c r="M978" s="53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1007848475.42372</v>
      </c>
      <c r="N978" s="53" t="n">
        <f aca="false">IF(COUNT('Business Case'!B11:G11)=0,"",H978+NPV(G978,I978:M978))</f>
        <v>-134416284.355734</v>
      </c>
      <c r="P978" s="54" t="n">
        <f aca="true">RAND()</f>
        <v>0.772264717385268</v>
      </c>
      <c r="Q978" s="54" t="n">
        <f aca="true">RAND()</f>
        <v>0.506204509635115</v>
      </c>
      <c r="R978" s="54" t="n">
        <f aca="true">RAND()</f>
        <v>0.452564963865271</v>
      </c>
      <c r="S978" s="54" t="n">
        <f aca="true">RAND()</f>
        <v>0.0265642858384404</v>
      </c>
      <c r="T978" s="54" t="n">
        <f aca="true">RAND()</f>
        <v>0.178085256558003</v>
      </c>
      <c r="U978" s="54" t="n">
        <f aca="true">RAND()</f>
        <v>0.998169225089739</v>
      </c>
    </row>
    <row r="979" customFormat="false" ht="15" hidden="false" customHeight="false" outlineLevel="0" collapsed="false">
      <c r="A979" s="50" t="n">
        <v>899</v>
      </c>
      <c r="B979" s="51" t="n">
        <f aca="false">1+IF($G$6=$E$6,$F$6,IF(P979&lt;($F$6-$E$6)/($G$6-$E$6),$E$6+SQRT(P979*($G$6-$E$6)*($F$6-$E$6)),$G$6-SQRT((1-P979)*($G$6-$E$6)*($G$6-$F$6))))</f>
        <v>0.940633576663028</v>
      </c>
      <c r="C979" s="51" t="n">
        <f aca="false">1+IF($G$7=$E$7,$F$7,IF(Q979&lt;($F$7-$E$7)/($G$7-$E$7),$E$7+SQRT(Q979*($G$7-$E$7)*($F$7-$E$7)),$G$7-SQRT((1-Q979)*($G$7-$E$7)*($G$7-$F$7))))</f>
        <v>1.11575452099318</v>
      </c>
      <c r="D979" s="51" t="n">
        <f aca="false">1+IF($G$8=$E$8,$F$8,IF(R979&lt;($F$8-$E$8)/($G$8-$E$8),$E$8+SQRT(R979*($G$8-$E$8)*($F$8-$E$8)),$G$8-SQRT((1-R979)*($G$8-$E$8)*($G$8-$F$8))))</f>
        <v>0.972374130617395</v>
      </c>
      <c r="E979" s="51" t="n">
        <f aca="false">1+IF($G$9=$E$9,$F$9,IF(S979&lt;($F$9-$E$9)/($G$9-$E$9),$E$9+SQRT(S979*($G$9-$E$9)*($F$9-$E$9)),$G$9-SQRT((1-S979)*($G$9-$E$9)*($G$9-$F$9))))</f>
        <v>0.99929636647008</v>
      </c>
      <c r="F979" s="51" t="n">
        <f aca="false">1+IF($G$10=$E$10,$F$10,IF(T979&lt;($F$10-$E$10)/($G$10-$E$10),$E$10+SQRT(T979*($G$10-$E$10)*($F$10-$E$10)),$G$10-SQRT((1-T979)*($G$10-$E$10)*($G$10-$F$10))))</f>
        <v>0.986492490837007</v>
      </c>
      <c r="G979" s="52" t="n">
        <f aca="false">IF($G$11=$E$11,$F$11,IF(U979&lt;($F$11-$E$11)/($G$11-$E$11),$E$11+SQRT(U979*($G$11-$E$11)*($F$11-$E$11)),$G$11-SQRT((1-U979)*($G$11-$E$11)*($G$11-$F$11))))</f>
        <v>0.110862969665006</v>
      </c>
      <c r="H979" s="53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-1972984981.67401</v>
      </c>
      <c r="I979" s="53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9075402.80444761</v>
      </c>
      <c r="J979" s="53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313306916.037627</v>
      </c>
      <c r="K979" s="53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666863053.812656</v>
      </c>
      <c r="L979" s="53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804544836.912373</v>
      </c>
      <c r="M979" s="53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1004036869.69999</v>
      </c>
      <c r="N979" s="53" t="n">
        <f aca="false">IF(COUNT('Business Case'!B11:G11)=0,"",H979+NPV(G979,I979:M979))</f>
        <v>-102584410.22465</v>
      </c>
      <c r="P979" s="54" t="n">
        <f aca="true">RAND()</f>
        <v>0.0443483839488608</v>
      </c>
      <c r="Q979" s="54" t="n">
        <f aca="true">RAND()</f>
        <v>0.977661850811299</v>
      </c>
      <c r="R979" s="54" t="n">
        <f aca="true">RAND()</f>
        <v>0.077015649366805</v>
      </c>
      <c r="S979" s="54" t="n">
        <f aca="true">RAND()</f>
        <v>0.324017566286992</v>
      </c>
      <c r="T979" s="54" t="n">
        <f aca="true">RAND()</f>
        <v>0.106536150999122</v>
      </c>
      <c r="U979" s="54" t="n">
        <f aca="true">RAND()</f>
        <v>0.860857794428992</v>
      </c>
    </row>
    <row r="980" customFormat="false" ht="15" hidden="false" customHeight="false" outlineLevel="0" collapsed="false">
      <c r="A980" s="50" t="n">
        <v>900</v>
      </c>
      <c r="B980" s="51" t="n">
        <f aca="false">1+IF($G$6=$E$6,$F$6,IF(P980&lt;($F$6-$E$6)/($G$6-$E$6),$E$6+SQRT(P980*($G$6-$E$6)*($F$6-$E$6)),$G$6-SQRT((1-P980)*($G$6-$E$6)*($G$6-$F$6))))</f>
        <v>0.995407188113894</v>
      </c>
      <c r="C980" s="51" t="n">
        <f aca="false">1+IF($G$7=$E$7,$F$7,IF(Q980&lt;($F$7-$E$7)/($G$7-$E$7),$E$7+SQRT(Q980*($G$7-$E$7)*($F$7-$E$7)),$G$7-SQRT((1-Q980)*($G$7-$E$7)*($G$7-$F$7))))</f>
        <v>0.902111495097149</v>
      </c>
      <c r="D980" s="51" t="n">
        <f aca="false">1+IF($G$8=$E$8,$F$8,IF(R980&lt;($F$8-$E$8)/($G$8-$E$8),$E$8+SQRT(R980*($G$8-$E$8)*($F$8-$E$8)),$G$8-SQRT((1-R980)*($G$8-$E$8)*($G$8-$F$8))))</f>
        <v>1.02509660361692</v>
      </c>
      <c r="E980" s="51" t="n">
        <f aca="false">1+IF($G$9=$E$9,$F$9,IF(S980&lt;($F$9-$E$9)/($G$9-$E$9),$E$9+SQRT(S980*($G$9-$E$9)*($F$9-$E$9)),$G$9-SQRT((1-S980)*($G$9-$E$9)*($G$9-$F$9))))</f>
        <v>1.04197923266226</v>
      </c>
      <c r="F980" s="51" t="n">
        <f aca="false">1+IF($G$10=$E$10,$F$10,IF(T980&lt;($F$10-$E$10)/($G$10-$E$10),$E$10+SQRT(T980*($G$10-$E$10)*($F$10-$E$10)),$G$10-SQRT((1-T980)*($G$10-$E$10)*($G$10-$F$10))))</f>
        <v>1.19728884801655</v>
      </c>
      <c r="G980" s="52" t="n">
        <f aca="false">IF($G$11=$E$11,$F$11,IF(U980&lt;($F$11-$E$11)/($G$11-$E$11),$E$11+SQRT(U980*($G$11-$E$11)*($F$11-$E$11)),$G$11-SQRT((1-U980)*($G$11-$E$11)*($G$11-$F$11))))</f>
        <v>0.112856757788698</v>
      </c>
      <c r="H980" s="53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-2394577696.0331</v>
      </c>
      <c r="I980" s="53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-52347094.3856043</v>
      </c>
      <c r="J980" s="53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209754817.860741</v>
      </c>
      <c r="K980" s="53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531721172.507915</v>
      </c>
      <c r="L980" s="53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650122259.887177</v>
      </c>
      <c r="M980" s="53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820808068.021489</v>
      </c>
      <c r="N980" s="53" t="n">
        <f aca="false">IF(COUNT('Business Case'!B11:G11)=0,"",H980+NPV(G980,I980:M980))</f>
        <v>-981679246.50738</v>
      </c>
      <c r="P980" s="54" t="n">
        <f aca="true">RAND()</f>
        <v>0.592317085337936</v>
      </c>
      <c r="Q980" s="54" t="n">
        <f aca="true">RAND()</f>
        <v>0.148953677585358</v>
      </c>
      <c r="R980" s="54" t="n">
        <f aca="true">RAND()</f>
        <v>0.710155487077174</v>
      </c>
      <c r="S980" s="54" t="n">
        <f aca="true">RAND()</f>
        <v>0.775572703836006</v>
      </c>
      <c r="T980" s="54" t="n">
        <f aca="true">RAND()</f>
        <v>0.999852993098453</v>
      </c>
      <c r="U980" s="54" t="n">
        <f aca="true">RAND()</f>
        <v>0.914956817851116</v>
      </c>
    </row>
    <row r="981" customFormat="false" ht="15" hidden="false" customHeight="false" outlineLevel="0" collapsed="false">
      <c r="A981" s="50" t="n">
        <v>901</v>
      </c>
      <c r="B981" s="51" t="n">
        <f aca="false">1+IF($G$6=$E$6,$F$6,IF(P981&lt;($F$6-$E$6)/($G$6-$E$6),$E$6+SQRT(P981*($G$6-$E$6)*($F$6-$E$6)),$G$6-SQRT((1-P981)*($G$6-$E$6)*($G$6-$F$6))))</f>
        <v>0.987702688543391</v>
      </c>
      <c r="C981" s="51" t="n">
        <f aca="false">1+IF($G$7=$E$7,$F$7,IF(Q981&lt;($F$7-$E$7)/($G$7-$E$7),$E$7+SQRT(Q981*($G$7-$E$7)*($F$7-$E$7)),$G$7-SQRT((1-Q981)*($G$7-$E$7)*($G$7-$F$7))))</f>
        <v>1.04637699195494</v>
      </c>
      <c r="D981" s="51" t="n">
        <f aca="false">1+IF($G$8=$E$8,$F$8,IF(R981&lt;($F$8-$E$8)/($G$8-$E$8),$E$8+SQRT(R981*($G$8-$E$8)*($F$8-$E$8)),$G$8-SQRT((1-R981)*($G$8-$E$8)*($G$8-$F$8))))</f>
        <v>1.00066539398063</v>
      </c>
      <c r="E981" s="51" t="n">
        <f aca="false">1+IF($G$9=$E$9,$F$9,IF(S981&lt;($F$9-$E$9)/($G$9-$E$9),$E$9+SQRT(S981*($G$9-$E$9)*($F$9-$E$9)),$G$9-SQRT((1-S981)*($G$9-$E$9)*($G$9-$F$9))))</f>
        <v>0.98339352253437</v>
      </c>
      <c r="F981" s="51" t="n">
        <f aca="false">1+IF($G$10=$E$10,$F$10,IF(T981&lt;($F$10-$E$10)/($G$10-$E$10),$E$10+SQRT(T981*($G$10-$E$10)*($F$10-$E$10)),$G$10-SQRT((1-T981)*($G$10-$E$10)*($G$10-$F$10))))</f>
        <v>1.04512320664718</v>
      </c>
      <c r="G981" s="52" t="n">
        <f aca="false">IF($G$11=$E$11,$F$11,IF(U981&lt;($F$11-$E$11)/($G$11-$E$11),$E$11+SQRT(U981*($G$11-$E$11)*($F$11-$E$11)),$G$11-SQRT((1-U981)*($G$11-$E$11)*($G$11-$F$11))))</f>
        <v>0.0965937152001815</v>
      </c>
      <c r="H981" s="53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-2090246413.29437</v>
      </c>
      <c r="I981" s="53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12572844.4685995</v>
      </c>
      <c r="J981" s="53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323073694.152955</v>
      </c>
      <c r="K981" s="53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685830704.16967</v>
      </c>
      <c r="L981" s="53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825049071.162222</v>
      </c>
      <c r="M981" s="53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1021498531.86661</v>
      </c>
      <c r="N981" s="53" t="n">
        <f aca="false">IF(COUNT('Business Case'!B11:G11)=0,"",H981+NPV(G981,I981:M981))</f>
        <v>-75288665.2613111</v>
      </c>
      <c r="P981" s="54" t="n">
        <f aca="true">RAND()</f>
        <v>0.477463962083693</v>
      </c>
      <c r="Q981" s="54" t="n">
        <f aca="true">RAND()</f>
        <v>0.795471851498926</v>
      </c>
      <c r="R981" s="54" t="n">
        <f aca="true">RAND()</f>
        <v>0.394809643053047</v>
      </c>
      <c r="S981" s="54" t="n">
        <f aca="true">RAND()</f>
        <v>0.148683646300468</v>
      </c>
      <c r="T981" s="54" t="n">
        <f aca="true">RAND()</f>
        <v>0.520263577614982</v>
      </c>
      <c r="U981" s="54" t="n">
        <f aca="true">RAND()</f>
        <v>0.144923600470347</v>
      </c>
    </row>
    <row r="982" customFormat="false" ht="15" hidden="false" customHeight="false" outlineLevel="0" collapsed="false">
      <c r="A982" s="50" t="n">
        <v>902</v>
      </c>
      <c r="B982" s="51" t="n">
        <f aca="false">1+IF($G$6=$E$6,$F$6,IF(P982&lt;($F$6-$E$6)/($G$6-$E$6),$E$6+SQRT(P982*($G$6-$E$6)*($F$6-$E$6)),$G$6-SQRT((1-P982)*($G$6-$E$6)*($G$6-$F$6))))</f>
        <v>0.997020344257471</v>
      </c>
      <c r="C982" s="51" t="n">
        <f aca="false">1+IF($G$7=$E$7,$F$7,IF(Q982&lt;($F$7-$E$7)/($G$7-$E$7),$E$7+SQRT(Q982*($G$7-$E$7)*($F$7-$E$7)),$G$7-SQRT((1-Q982)*($G$7-$E$7)*($G$7-$F$7))))</f>
        <v>1.03277358017711</v>
      </c>
      <c r="D982" s="51" t="n">
        <f aca="false">1+IF($G$8=$E$8,$F$8,IF(R982&lt;($F$8-$E$8)/($G$8-$E$8),$E$8+SQRT(R982*($G$8-$E$8)*($F$8-$E$8)),$G$8-SQRT((1-R982)*($G$8-$E$8)*($G$8-$F$8))))</f>
        <v>0.996275739746432</v>
      </c>
      <c r="E982" s="51" t="n">
        <f aca="false">1+IF($G$9=$E$9,$F$9,IF(S982&lt;($F$9-$E$9)/($G$9-$E$9),$E$9+SQRT(S982*($G$9-$E$9)*($F$9-$E$9)),$G$9-SQRT((1-S982)*($G$9-$E$9)*($G$9-$F$9))))</f>
        <v>1.03710750873293</v>
      </c>
      <c r="F982" s="51" t="n">
        <f aca="false">1+IF($G$10=$E$10,$F$10,IF(T982&lt;($F$10-$E$10)/($G$10-$E$10),$E$10+SQRT(T982*($G$10-$E$10)*($F$10-$E$10)),$G$10-SQRT((1-T982)*($G$10-$E$10)*($G$10-$F$10))))</f>
        <v>1.08061540879606</v>
      </c>
      <c r="G982" s="52" t="n">
        <f aca="false">IF($G$11=$E$11,$F$11,IF(U982&lt;($F$11-$E$11)/($G$11-$E$11),$E$11+SQRT(U982*($G$11-$E$11)*($F$11-$E$11)),$G$11-SQRT((1-U982)*($G$11-$E$11)*($G$11-$F$11))))</f>
        <v>0.109484037678756</v>
      </c>
      <c r="H982" s="53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-2161230817.59212</v>
      </c>
      <c r="I982" s="53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7749256.0863542</v>
      </c>
      <c r="J982" s="53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324416195.454172</v>
      </c>
      <c r="K982" s="53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695113905.261792</v>
      </c>
      <c r="L982" s="53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836255854.824421</v>
      </c>
      <c r="M982" s="53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1031980521.91121</v>
      </c>
      <c r="N982" s="53" t="n">
        <f aca="false">IF(COUNT('Business Case'!B11:G11)=0,"",H982+NPV(G982,I982:M982))</f>
        <v>-215978473.315146</v>
      </c>
      <c r="P982" s="54" t="n">
        <f aca="true">RAND()</f>
        <v>0.61793056557702</v>
      </c>
      <c r="Q982" s="54" t="n">
        <f aca="true">RAND()</f>
        <v>0.738246980866795</v>
      </c>
      <c r="R982" s="54" t="n">
        <f aca="true">RAND()</f>
        <v>0.329452936781465</v>
      </c>
      <c r="S982" s="54" t="n">
        <f aca="true">RAND()</f>
        <v>0.736302302814754</v>
      </c>
      <c r="T982" s="54" t="n">
        <f aca="true">RAND()</f>
        <v>0.714946387661365</v>
      </c>
      <c r="U982" s="54" t="n">
        <f aca="true">RAND()</f>
        <v>0.815690894096976</v>
      </c>
    </row>
    <row r="983" customFormat="false" ht="15" hidden="false" customHeight="false" outlineLevel="0" collapsed="false">
      <c r="A983" s="50" t="n">
        <v>903</v>
      </c>
      <c r="B983" s="51" t="n">
        <f aca="false">1+IF($G$6=$E$6,$F$6,IF(P983&lt;($F$6-$E$6)/($G$6-$E$6),$E$6+SQRT(P983*($G$6-$E$6)*($F$6-$E$6)),$G$6-SQRT((1-P983)*($G$6-$E$6)*($G$6-$F$6))))</f>
        <v>0.976327550635833</v>
      </c>
      <c r="C983" s="51" t="n">
        <f aca="false">1+IF($G$7=$E$7,$F$7,IF(Q983&lt;($F$7-$E$7)/($G$7-$E$7),$E$7+SQRT(Q983*($G$7-$E$7)*($F$7-$E$7)),$G$7-SQRT((1-Q983)*($G$7-$E$7)*($G$7-$F$7))))</f>
        <v>0.974270763371097</v>
      </c>
      <c r="D983" s="51" t="n">
        <f aca="false">1+IF($G$8=$E$8,$F$8,IF(R983&lt;($F$8-$E$8)/($G$8-$E$8),$E$8+SQRT(R983*($G$8-$E$8)*($F$8-$E$8)),$G$8-SQRT((1-R983)*($G$8-$E$8)*($G$8-$F$8))))</f>
        <v>0.956983228728197</v>
      </c>
      <c r="E983" s="51" t="n">
        <f aca="false">1+IF($G$9=$E$9,$F$9,IF(S983&lt;($F$9-$E$9)/($G$9-$E$9),$E$9+SQRT(S983*($G$9-$E$9)*($F$9-$E$9)),$G$9-SQRT((1-S983)*($G$9-$E$9)*($G$9-$F$9))))</f>
        <v>1.06817140775375</v>
      </c>
      <c r="F983" s="51" t="n">
        <f aca="false">1+IF($G$10=$E$10,$F$10,IF(T983&lt;($F$10-$E$10)/($G$10-$E$10),$E$10+SQRT(T983*($G$10-$E$10)*($F$10-$E$10)),$G$10-SQRT((1-T983)*($G$10-$E$10)*($G$10-$F$10))))</f>
        <v>1.02699072912482</v>
      </c>
      <c r="G983" s="52" t="n">
        <f aca="false">IF($G$11=$E$11,$F$11,IF(U983&lt;($F$11-$E$11)/($G$11-$E$11),$E$11+SQRT(U983*($G$11-$E$11)*($F$11-$E$11)),$G$11-SQRT((1-U983)*($G$11-$E$11)*($G$11-$F$11))))</f>
        <v>0.0981484019286786</v>
      </c>
      <c r="H983" s="53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-2053981458.24965</v>
      </c>
      <c r="I983" s="53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-2090431.2405439</v>
      </c>
      <c r="J983" s="53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299722775.610915</v>
      </c>
      <c r="K983" s="53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652885518.918616</v>
      </c>
      <c r="L983" s="53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786363648.533727</v>
      </c>
      <c r="M983" s="53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967169148.855831</v>
      </c>
      <c r="N983" s="53" t="n">
        <f aca="false">IF(COUNT('Business Case'!B11:G11)=0,"",H983+NPV(G983,I983:M983))</f>
        <v>-167991862.965064</v>
      </c>
      <c r="P983" s="54" t="n">
        <f aca="true">RAND()</f>
        <v>0.330499266732533</v>
      </c>
      <c r="Q983" s="54" t="n">
        <f aca="true">RAND()</f>
        <v>0.433861413799215</v>
      </c>
      <c r="R983" s="54" t="n">
        <f aca="true">RAND()</f>
        <v>0.00750238207235515</v>
      </c>
      <c r="S983" s="54" t="n">
        <f aca="true">RAND()</f>
        <v>0.932462714374804</v>
      </c>
      <c r="T983" s="54" t="n">
        <f aca="true">RAND()</f>
        <v>0.401355843824792</v>
      </c>
      <c r="U983" s="54" t="n">
        <f aca="true">RAND()</f>
        <v>0.221321513304313</v>
      </c>
    </row>
    <row r="984" customFormat="false" ht="15" hidden="false" customHeight="false" outlineLevel="0" collapsed="false">
      <c r="A984" s="50" t="n">
        <v>904</v>
      </c>
      <c r="B984" s="51" t="n">
        <f aca="false">1+IF($G$6=$E$6,$F$6,IF(P984&lt;($F$6-$E$6)/($G$6-$E$6),$E$6+SQRT(P984*($G$6-$E$6)*($F$6-$E$6)),$G$6-SQRT((1-P984)*($G$6-$E$6)*($G$6-$F$6))))</f>
        <v>1.033455284036</v>
      </c>
      <c r="C984" s="51" t="n">
        <f aca="false">1+IF($G$7=$E$7,$F$7,IF(Q984&lt;($F$7-$E$7)/($G$7-$E$7),$E$7+SQRT(Q984*($G$7-$E$7)*($F$7-$E$7)),$G$7-SQRT((1-Q984)*($G$7-$E$7)*($G$7-$F$7))))</f>
        <v>1.02520081493007</v>
      </c>
      <c r="D984" s="51" t="n">
        <f aca="false">1+IF($G$8=$E$8,$F$8,IF(R984&lt;($F$8-$E$8)/($G$8-$E$8),$E$8+SQRT(R984*($G$8-$E$8)*($F$8-$E$8)),$G$8-SQRT((1-R984)*($G$8-$E$8)*($G$8-$F$8))))</f>
        <v>0.985098867960962</v>
      </c>
      <c r="E984" s="51" t="n">
        <f aca="false">1+IF($G$9=$E$9,$F$9,IF(S984&lt;($F$9-$E$9)/($G$9-$E$9),$E$9+SQRT(S984*($G$9-$E$9)*($F$9-$E$9)),$G$9-SQRT((1-S984)*($G$9-$E$9)*($G$9-$F$9))))</f>
        <v>1.04350147289702</v>
      </c>
      <c r="F984" s="51" t="n">
        <f aca="false">1+IF($G$10=$E$10,$F$10,IF(T984&lt;($F$10-$E$10)/($G$10-$E$10),$E$10+SQRT(T984*($G$10-$E$10)*($F$10-$E$10)),$G$10-SQRT((1-T984)*($G$10-$E$10)*($G$10-$F$10))))</f>
        <v>1.12250231578649</v>
      </c>
      <c r="G984" s="52" t="n">
        <f aca="false">IF($G$11=$E$11,$F$11,IF(U984&lt;($F$11-$E$11)/($G$11-$E$11),$E$11+SQRT(U984*($G$11-$E$11)*($F$11-$E$11)),$G$11-SQRT((1-U984)*($G$11-$E$11)*($G$11-$F$11))))</f>
        <v>0.107773972486947</v>
      </c>
      <c r="H984" s="53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-2245004631.57299</v>
      </c>
      <c r="I984" s="53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35245171.5960562</v>
      </c>
      <c r="J984" s="53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386050922.712966</v>
      </c>
      <c r="K984" s="53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792981789.619201</v>
      </c>
      <c r="L984" s="53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946533332.322335</v>
      </c>
      <c r="M984" s="53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1147922940.14191</v>
      </c>
      <c r="N984" s="53" t="n">
        <f aca="false">IF(COUNT('Business Case'!B11:G11)=0,"",H984+NPV(G984,I984:M984))</f>
        <v>1369709.92318916</v>
      </c>
      <c r="P984" s="54" t="n">
        <f aca="true">RAND()</f>
        <v>0.991076394364691</v>
      </c>
      <c r="Q984" s="54" t="n">
        <f aca="true">RAND()</f>
        <v>0.703336445826295</v>
      </c>
      <c r="R984" s="54" t="n">
        <f aca="true">RAND()</f>
        <v>0.189527774175549</v>
      </c>
      <c r="S984" s="54" t="n">
        <f aca="true">RAND()</f>
        <v>0.787194429012958</v>
      </c>
      <c r="T984" s="54" t="n">
        <f aca="true">RAND()</f>
        <v>0.879882178830872</v>
      </c>
      <c r="U984" s="54" t="n">
        <f aca="true">RAND()</f>
        <v>0.750873752083443</v>
      </c>
    </row>
    <row r="985" customFormat="false" ht="15" hidden="false" customHeight="false" outlineLevel="0" collapsed="false">
      <c r="A985" s="50" t="n">
        <v>905</v>
      </c>
      <c r="B985" s="51" t="n">
        <f aca="false">1+IF($G$6=$E$6,$F$6,IF(P985&lt;($F$6-$E$6)/($G$6-$E$6),$E$6+SQRT(P985*($G$6-$E$6)*($F$6-$E$6)),$G$6-SQRT((1-P985)*($G$6-$E$6)*($G$6-$F$6))))</f>
        <v>0.991892926664285</v>
      </c>
      <c r="C985" s="51" t="n">
        <f aca="false">1+IF($G$7=$E$7,$F$7,IF(Q985&lt;($F$7-$E$7)/($G$7-$E$7),$E$7+SQRT(Q985*($G$7-$E$7)*($F$7-$E$7)),$G$7-SQRT((1-Q985)*($G$7-$E$7)*($G$7-$F$7))))</f>
        <v>0.860954100223869</v>
      </c>
      <c r="D985" s="51" t="n">
        <f aca="false">1+IF($G$8=$E$8,$F$8,IF(R985&lt;($F$8-$E$8)/($G$8-$E$8),$E$8+SQRT(R985*($G$8-$E$8)*($F$8-$E$8)),$G$8-SQRT((1-R985)*($G$8-$E$8)*($G$8-$F$8))))</f>
        <v>1.05775033094989</v>
      </c>
      <c r="E985" s="51" t="n">
        <f aca="false">1+IF($G$9=$E$9,$F$9,IF(S985&lt;($F$9-$E$9)/($G$9-$E$9),$E$9+SQRT(S985*($G$9-$E$9)*($F$9-$E$9)),$G$9-SQRT((1-S985)*($G$9-$E$9)*($G$9-$F$9))))</f>
        <v>1.05873979114458</v>
      </c>
      <c r="F985" s="51" t="n">
        <f aca="false">1+IF($G$10=$E$10,$F$10,IF(T985&lt;($F$10-$E$10)/($G$10-$E$10),$E$10+SQRT(T985*($G$10-$E$10)*($F$10-$E$10)),$G$10-SQRT((1-T985)*($G$10-$E$10)*($G$10-$F$10))))</f>
        <v>0.978948580374923</v>
      </c>
      <c r="G985" s="52" t="n">
        <f aca="false">IF($G$11=$E$11,$F$11,IF(U985&lt;($F$11-$E$11)/($G$11-$E$11),$E$11+SQRT(U985*($G$11-$E$11)*($F$11-$E$11)),$G$11-SQRT((1-U985)*($G$11-$E$11)*($G$11-$F$11))))</f>
        <v>0.100020048172412</v>
      </c>
      <c r="H985" s="53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-1957897160.74985</v>
      </c>
      <c r="I985" s="53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-59443741.9382811</v>
      </c>
      <c r="J985" s="53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173830199.250662</v>
      </c>
      <c r="K985" s="53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456051569.45835</v>
      </c>
      <c r="L985" s="53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563322901.047313</v>
      </c>
      <c r="M985" s="53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725646332.606875</v>
      </c>
      <c r="N985" s="53" t="n">
        <f aca="false">IF(COUNT('Business Case'!B11:G11)=0,"",H985+NPV(G985,I985:M985))</f>
        <v>-690402999.30608</v>
      </c>
      <c r="P985" s="54" t="n">
        <f aca="true">RAND()</f>
        <v>0.538395094203776</v>
      </c>
      <c r="Q985" s="54" t="n">
        <f aca="true">RAND()</f>
        <v>0.0530771762014496</v>
      </c>
      <c r="R985" s="54" t="n">
        <f aca="true">RAND()</f>
        <v>0.952399252611599</v>
      </c>
      <c r="S985" s="54" t="n">
        <f aca="true">RAND()</f>
        <v>0.886506344347164</v>
      </c>
      <c r="T985" s="54" t="n">
        <f aca="true">RAND()</f>
        <v>0.0670416244578698</v>
      </c>
      <c r="U985" s="54" t="n">
        <f aca="true">RAND()</f>
        <v>0.334669208278746</v>
      </c>
    </row>
    <row r="986" customFormat="false" ht="15" hidden="false" customHeight="false" outlineLevel="0" collapsed="false">
      <c r="A986" s="50" t="n">
        <v>906</v>
      </c>
      <c r="B986" s="51" t="n">
        <f aca="false">1+IF($G$6=$E$6,$F$6,IF(P986&lt;($F$6-$E$6)/($G$6-$E$6),$E$6+SQRT(P986*($G$6-$E$6)*($F$6-$E$6)),$G$6-SQRT((1-P986)*($G$6-$E$6)*($G$6-$F$6))))</f>
        <v>0.956263290621399</v>
      </c>
      <c r="C986" s="51" t="n">
        <f aca="false">1+IF($G$7=$E$7,$F$7,IF(Q986&lt;($F$7-$E$7)/($G$7-$E$7),$E$7+SQRT(Q986*($G$7-$E$7)*($F$7-$E$7)),$G$7-SQRT((1-Q986)*($G$7-$E$7)*($G$7-$F$7))))</f>
        <v>1.0208785817906</v>
      </c>
      <c r="D986" s="51" t="n">
        <f aca="false">1+IF($G$8=$E$8,$F$8,IF(R986&lt;($F$8-$E$8)/($G$8-$E$8),$E$8+SQRT(R986*($G$8-$E$8)*($F$8-$E$8)),$G$8-SQRT((1-R986)*($G$8-$E$8)*($G$8-$F$8))))</f>
        <v>0.995782900009759</v>
      </c>
      <c r="E986" s="51" t="n">
        <f aca="false">1+IF($G$9=$E$9,$F$9,IF(S986&lt;($F$9-$E$9)/($G$9-$E$9),$E$9+SQRT(S986*($G$9-$E$9)*($F$9-$E$9)),$G$9-SQRT((1-S986)*($G$9-$E$9)*($G$9-$F$9))))</f>
        <v>1.06866771228018</v>
      </c>
      <c r="F986" s="51" t="n">
        <f aca="false">1+IF($G$10=$E$10,$F$10,IF(T986&lt;($F$10-$E$10)/($G$10-$E$10),$E$10+SQRT(T986*($G$10-$E$10)*($F$10-$E$10)),$G$10-SQRT((1-T986)*($G$10-$E$10)*($G$10-$F$10))))</f>
        <v>1.01326931556139</v>
      </c>
      <c r="G986" s="52" t="n">
        <f aca="false">IF($G$11=$E$11,$F$11,IF(U986&lt;($F$11-$E$11)/($G$11-$E$11),$E$11+SQRT(U986*($G$11-$E$11)*($F$11-$E$11)),$G$11-SQRT((1-U986)*($G$11-$E$11)*($G$11-$F$11))))</f>
        <v>0.0971581788620991</v>
      </c>
      <c r="H986" s="53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-2026538631.12278</v>
      </c>
      <c r="I986" s="53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-24701845.8257715</v>
      </c>
      <c r="J986" s="53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254495485.018222</v>
      </c>
      <c r="K986" s="53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584356281.640285</v>
      </c>
      <c r="L986" s="53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711160522.873205</v>
      </c>
      <c r="M986" s="53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896722076.440278</v>
      </c>
      <c r="N986" s="53" t="n">
        <f aca="false">IF(COUNT('Business Case'!B11:G11)=0,"",H986+NPV(G986,I986:M986))</f>
        <v>-340352757.504959</v>
      </c>
      <c r="P986" s="54" t="n">
        <f aca="true">RAND()</f>
        <v>0.136981900697091</v>
      </c>
      <c r="Q986" s="54" t="n">
        <f aca="true">RAND()</f>
        <v>0.682431606849385</v>
      </c>
      <c r="R986" s="54" t="n">
        <f aca="true">RAND()</f>
        <v>0.32247291281593</v>
      </c>
      <c r="S986" s="54" t="n">
        <f aca="true">RAND()</f>
        <v>0.934552516416178</v>
      </c>
      <c r="T986" s="54" t="n">
        <f aca="true">RAND()</f>
        <v>0.302633029781762</v>
      </c>
      <c r="U986" s="54" t="n">
        <f aca="true">RAND()</f>
        <v>0.170798415406009</v>
      </c>
    </row>
    <row r="987" customFormat="false" ht="15" hidden="false" customHeight="false" outlineLevel="0" collapsed="false">
      <c r="A987" s="50" t="n">
        <v>907</v>
      </c>
      <c r="B987" s="51" t="n">
        <f aca="false">1+IF($G$6=$E$6,$F$6,IF(P987&lt;($F$6-$E$6)/($G$6-$E$6),$E$6+SQRT(P987*($G$6-$E$6)*($F$6-$E$6)),$G$6-SQRT((1-P987)*($G$6-$E$6)*($G$6-$F$6))))</f>
        <v>1.01862439116899</v>
      </c>
      <c r="C987" s="51" t="n">
        <f aca="false">1+IF($G$7=$E$7,$F$7,IF(Q987&lt;($F$7-$E$7)/($G$7-$E$7),$E$7+SQRT(Q987*($G$7-$E$7)*($F$7-$E$7)),$G$7-SQRT((1-Q987)*($G$7-$E$7)*($G$7-$F$7))))</f>
        <v>0.887715166188328</v>
      </c>
      <c r="D987" s="51" t="n">
        <f aca="false">1+IF($G$8=$E$8,$F$8,IF(R987&lt;($F$8-$E$8)/($G$8-$E$8),$E$8+SQRT(R987*($G$8-$E$8)*($F$8-$E$8)),$G$8-SQRT((1-R987)*($G$8-$E$8)*($G$8-$F$8))))</f>
        <v>1.05879906982921</v>
      </c>
      <c r="E987" s="51" t="n">
        <f aca="false">1+IF($G$9=$E$9,$F$9,IF(S987&lt;($F$9-$E$9)/($G$9-$E$9),$E$9+SQRT(S987*($G$9-$E$9)*($F$9-$E$9)),$G$9-SQRT((1-S987)*($G$9-$E$9)*($G$9-$F$9))))</f>
        <v>1.00030244941951</v>
      </c>
      <c r="F987" s="51" t="n">
        <f aca="false">1+IF($G$10=$E$10,$F$10,IF(T987&lt;($F$10-$E$10)/($G$10-$E$10),$E$10+SQRT(T987*($G$10-$E$10)*($F$10-$E$10)),$G$10-SQRT((1-T987)*($G$10-$E$10)*($G$10-$F$10))))</f>
        <v>1.11969794308692</v>
      </c>
      <c r="G987" s="52" t="n">
        <f aca="false">IF($G$11=$E$11,$F$11,IF(U987&lt;($F$11-$E$11)/($G$11-$E$11),$E$11+SQRT(U987*($G$11-$E$11)*($F$11-$E$11)),$G$11-SQRT((1-U987)*($G$11-$E$11)*($G$11-$F$11))))</f>
        <v>0.0955087285281785</v>
      </c>
      <c r="H987" s="53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-2239395886.17383</v>
      </c>
      <c r="I987" s="53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-41604302.1006304</v>
      </c>
      <c r="J987" s="53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217880431.359459</v>
      </c>
      <c r="K987" s="53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533350061.973894</v>
      </c>
      <c r="L987" s="53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651095795.090306</v>
      </c>
      <c r="M987" s="53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822975315.887074</v>
      </c>
      <c r="N987" s="53" t="n">
        <f aca="false">IF(COUNT('Business Case'!B11:G11)=0,"",H987+NPV(G987,I987:M987))</f>
        <v>-716555799.983399</v>
      </c>
      <c r="P987" s="54" t="n">
        <f aca="true">RAND()</f>
        <v>0.904809030646617</v>
      </c>
      <c r="Q987" s="54" t="n">
        <f aca="true">RAND()</f>
        <v>0.109913576849229</v>
      </c>
      <c r="R987" s="54" t="n">
        <f aca="true">RAND()</f>
        <v>0.956780823066662</v>
      </c>
      <c r="S987" s="54" t="n">
        <f aca="true">RAND()</f>
        <v>0.337359893883434</v>
      </c>
      <c r="T987" s="54" t="n">
        <f aca="true">RAND()</f>
        <v>0.871031593110558</v>
      </c>
      <c r="U987" s="54" t="n">
        <f aca="true">RAND()</f>
        <v>0.101153633323892</v>
      </c>
    </row>
    <row r="988" customFormat="false" ht="15" hidden="false" customHeight="false" outlineLevel="0" collapsed="false">
      <c r="A988" s="50" t="n">
        <v>908</v>
      </c>
      <c r="B988" s="51" t="n">
        <f aca="false">1+IF($G$6=$E$6,$F$6,IF(P988&lt;($F$6-$E$6)/($G$6-$E$6),$E$6+SQRT(P988*($G$6-$E$6)*($F$6-$E$6)),$G$6-SQRT((1-P988)*($G$6-$E$6)*($G$6-$F$6))))</f>
        <v>0.949423095862759</v>
      </c>
      <c r="C988" s="51" t="n">
        <f aca="false">1+IF($G$7=$E$7,$F$7,IF(Q988&lt;($F$7-$E$7)/($G$7-$E$7),$E$7+SQRT(Q988*($G$7-$E$7)*($F$7-$E$7)),$G$7-SQRT((1-Q988)*($G$7-$E$7)*($G$7-$F$7))))</f>
        <v>0.968402057899389</v>
      </c>
      <c r="D988" s="51" t="n">
        <f aca="false">1+IF($G$8=$E$8,$F$8,IF(R988&lt;($F$8-$E$8)/($G$8-$E$8),$E$8+SQRT(R988*($G$8-$E$8)*($F$8-$E$8)),$G$8-SQRT((1-R988)*($G$8-$E$8)*($G$8-$F$8))))</f>
        <v>1.03261147374871</v>
      </c>
      <c r="E988" s="51" t="n">
        <f aca="false">1+IF($G$9=$E$9,$F$9,IF(S988&lt;($F$9-$E$9)/($G$9-$E$9),$E$9+SQRT(S988*($G$9-$E$9)*($F$9-$E$9)),$G$9-SQRT((1-S988)*($G$9-$E$9)*($G$9-$F$9))))</f>
        <v>1.02368068118249</v>
      </c>
      <c r="F988" s="51" t="n">
        <f aca="false">1+IF($G$10=$E$10,$F$10,IF(T988&lt;($F$10-$E$10)/($G$10-$E$10),$E$10+SQRT(T988*($G$10-$E$10)*($F$10-$E$10)),$G$10-SQRT((1-T988)*($G$10-$E$10)*($G$10-$F$10))))</f>
        <v>1.09280098529919</v>
      </c>
      <c r="G988" s="52" t="n">
        <f aca="false">IF($G$11=$E$11,$F$11,IF(U988&lt;($F$11-$E$11)/($G$11-$E$11),$E$11+SQRT(U988*($G$11-$E$11)*($F$11-$E$11)),$G$11-SQRT((1-U988)*($G$11-$E$11)*($G$11-$F$11))))</f>
        <v>0.0980458293371313</v>
      </c>
      <c r="H988" s="53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-2185601970.59838</v>
      </c>
      <c r="I988" s="53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-61347865.9102096</v>
      </c>
      <c r="J988" s="53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179814662.401111</v>
      </c>
      <c r="K988" s="53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475617239.977391</v>
      </c>
      <c r="L988" s="53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587780017.966138</v>
      </c>
      <c r="M988" s="53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762543995.00016</v>
      </c>
      <c r="N988" s="53" t="n">
        <f aca="false">IF(COUNT('Business Case'!B11:G11)=0,"",H988+NPV(G988,I988:M988))</f>
        <v>-851050666.308453</v>
      </c>
      <c r="P988" s="54" t="n">
        <f aca="true">RAND()</f>
        <v>0.0901790177238642</v>
      </c>
      <c r="Q988" s="54" t="n">
        <f aca="true">RAND()</f>
        <v>0.405132187210701</v>
      </c>
      <c r="R988" s="54" t="n">
        <f aca="true">RAND()</f>
        <v>0.784069959589493</v>
      </c>
      <c r="S988" s="54" t="n">
        <f aca="true">RAND()</f>
        <v>0.611690771682128</v>
      </c>
      <c r="T988" s="54" t="n">
        <f aca="true">RAND()</f>
        <v>0.770167424943507</v>
      </c>
      <c r="U988" s="54" t="n">
        <f aca="true">RAND()</f>
        <v>0.215784565740809</v>
      </c>
    </row>
    <row r="989" customFormat="false" ht="15" hidden="false" customHeight="false" outlineLevel="0" collapsed="false">
      <c r="A989" s="50" t="n">
        <v>909</v>
      </c>
      <c r="B989" s="51" t="n">
        <f aca="false">1+IF($G$6=$E$6,$F$6,IF(P989&lt;($F$6-$E$6)/($G$6-$E$6),$E$6+SQRT(P989*($G$6-$E$6)*($F$6-$E$6)),$G$6-SQRT((1-P989)*($G$6-$E$6)*($G$6-$F$6))))</f>
        <v>0.993493006668817</v>
      </c>
      <c r="C989" s="51" t="n">
        <f aca="false">1+IF($G$7=$E$7,$F$7,IF(Q989&lt;($F$7-$E$7)/($G$7-$E$7),$E$7+SQRT(Q989*($G$7-$E$7)*($F$7-$E$7)),$G$7-SQRT((1-Q989)*($G$7-$E$7)*($G$7-$F$7))))</f>
        <v>1.03199255729593</v>
      </c>
      <c r="D989" s="51" t="n">
        <f aca="false">1+IF($G$8=$E$8,$F$8,IF(R989&lt;($F$8-$E$8)/($G$8-$E$8),$E$8+SQRT(R989*($G$8-$E$8)*($F$8-$E$8)),$G$8-SQRT((1-R989)*($G$8-$E$8)*($G$8-$F$8))))</f>
        <v>0.990939186022893</v>
      </c>
      <c r="E989" s="51" t="n">
        <f aca="false">1+IF($G$9=$E$9,$F$9,IF(S989&lt;($F$9-$E$9)/($G$9-$E$9),$E$9+SQRT(S989*($G$9-$E$9)*($F$9-$E$9)),$G$9-SQRT((1-S989)*($G$9-$E$9)*($G$9-$F$9))))</f>
        <v>1.03515164678447</v>
      </c>
      <c r="F989" s="51" t="n">
        <f aca="false">1+IF($G$10=$E$10,$F$10,IF(T989&lt;($F$10-$E$10)/($G$10-$E$10),$E$10+SQRT(T989*($G$10-$E$10)*($F$10-$E$10)),$G$10-SQRT((1-T989)*($G$10-$E$10)*($G$10-$F$10))))</f>
        <v>1.10944206578994</v>
      </c>
      <c r="G989" s="52" t="n">
        <f aca="false">IF($G$11=$E$11,$F$11,IF(U989&lt;($F$11-$E$11)/($G$11-$E$11),$E$11+SQRT(U989*($G$11-$E$11)*($F$11-$E$11)),$G$11-SQRT((1-U989)*($G$11-$E$11)*($G$11-$F$11))))</f>
        <v>0.0954496799450464</v>
      </c>
      <c r="H989" s="53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-2218884131.57989</v>
      </c>
      <c r="I989" s="53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4972027.28299196</v>
      </c>
      <c r="J989" s="53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321237205.143157</v>
      </c>
      <c r="K989" s="53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692974486.29282</v>
      </c>
      <c r="L989" s="53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833829798.796493</v>
      </c>
      <c r="M989" s="53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1028714524.82306</v>
      </c>
      <c r="N989" s="53" t="n">
        <f aca="false">IF(COUNT('Business Case'!B11:G11)=0,"",H989+NPV(G989,I989:M989))</f>
        <v>-188326319.635783</v>
      </c>
      <c r="P989" s="54" t="n">
        <f aca="true">RAND()</f>
        <v>0.562627294710708</v>
      </c>
      <c r="Q989" s="54" t="n">
        <f aca="true">RAND()</f>
        <v>0.734747494598963</v>
      </c>
      <c r="R989" s="54" t="n">
        <f aca="true">RAND()</f>
        <v>0.257848761879548</v>
      </c>
      <c r="S989" s="54" t="n">
        <f aca="true">RAND()</f>
        <v>0.719646072348955</v>
      </c>
      <c r="T989" s="54" t="n">
        <f aca="true">RAND()</f>
        <v>0.835985211032141</v>
      </c>
      <c r="U989" s="54" t="n">
        <f aca="true">RAND()</f>
        <v>0.098996705011469</v>
      </c>
    </row>
    <row r="990" customFormat="false" ht="15" hidden="false" customHeight="false" outlineLevel="0" collapsed="false">
      <c r="A990" s="50" t="n">
        <v>910</v>
      </c>
      <c r="B990" s="51" t="n">
        <f aca="false">1+IF($G$6=$E$6,$F$6,IF(P990&lt;($F$6-$E$6)/($G$6-$E$6),$E$6+SQRT(P990*($G$6-$E$6)*($F$6-$E$6)),$G$6-SQRT((1-P990)*($G$6-$E$6)*($G$6-$F$6))))</f>
        <v>0.992490790207468</v>
      </c>
      <c r="C990" s="51" t="n">
        <f aca="false">1+IF($G$7=$E$7,$F$7,IF(Q990&lt;($F$7-$E$7)/($G$7-$E$7),$E$7+SQRT(Q990*($G$7-$E$7)*($F$7-$E$7)),$G$7-SQRT((1-Q990)*($G$7-$E$7)*($G$7-$F$7))))</f>
        <v>0.892667666864169</v>
      </c>
      <c r="D990" s="51" t="n">
        <f aca="false">1+IF($G$8=$E$8,$F$8,IF(R990&lt;($F$8-$E$8)/($G$8-$E$8),$E$8+SQRT(R990*($G$8-$E$8)*($F$8-$E$8)),$G$8-SQRT((1-R990)*($G$8-$E$8)*($G$8-$F$8))))</f>
        <v>0.968698469184171</v>
      </c>
      <c r="E990" s="51" t="n">
        <f aca="false">1+IF($G$9=$E$9,$F$9,IF(S990&lt;($F$9-$E$9)/($G$9-$E$9),$E$9+SQRT(S990*($G$9-$E$9)*($F$9-$E$9)),$G$9-SQRT((1-S990)*($G$9-$E$9)*($G$9-$F$9))))</f>
        <v>1.03925621721864</v>
      </c>
      <c r="F990" s="51" t="n">
        <f aca="false">1+IF($G$10=$E$10,$F$10,IF(T990&lt;($F$10-$E$10)/($G$10-$E$10),$E$10+SQRT(T990*($G$10-$E$10)*($F$10-$E$10)),$G$10-SQRT((1-T990)*($G$10-$E$10)*($G$10-$F$10))))</f>
        <v>1.02783500032652</v>
      </c>
      <c r="G990" s="52" t="n">
        <f aca="false">IF($G$11=$E$11,$F$11,IF(U990&lt;($F$11-$E$11)/($G$11-$E$11),$E$11+SQRT(U990*($G$11-$E$11)*($F$11-$E$11)),$G$11-SQRT((1-U990)*($G$11-$E$11)*($G$11-$F$11))))</f>
        <v>0.103337915797687</v>
      </c>
      <c r="H990" s="53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-2055670000.65303</v>
      </c>
      <c r="I990" s="53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-13495899.1203145</v>
      </c>
      <c r="J990" s="53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269502332.350512</v>
      </c>
      <c r="K990" s="53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603892313.837665</v>
      </c>
      <c r="L990" s="53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728843988.641273</v>
      </c>
      <c r="M990" s="53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897248109.031268</v>
      </c>
      <c r="N990" s="53" t="n">
        <f aca="false">IF(COUNT('Business Case'!B11:G11)=0,"",H990+NPV(G990,I990:M990))</f>
        <v>-356352925.250506</v>
      </c>
      <c r="P990" s="54" t="n">
        <f aca="true">RAND()</f>
        <v>0.54738694426075</v>
      </c>
      <c r="Q990" s="54" t="n">
        <f aca="true">RAND()</f>
        <v>0.122675664029266</v>
      </c>
      <c r="R990" s="54" t="n">
        <f aca="true">RAND()</f>
        <v>0.0537896538202137</v>
      </c>
      <c r="S990" s="54" t="n">
        <f aca="true">RAND()</f>
        <v>0.754012856894094</v>
      </c>
      <c r="T990" s="54" t="n">
        <f aca="true">RAND()</f>
        <v>0.407184257748586</v>
      </c>
      <c r="U990" s="54" t="n">
        <f aca="true">RAND()</f>
        <v>0.537291583391717</v>
      </c>
    </row>
    <row r="991" customFormat="false" ht="15" hidden="false" customHeight="false" outlineLevel="0" collapsed="false">
      <c r="A991" s="50" t="n">
        <v>911</v>
      </c>
      <c r="B991" s="51" t="n">
        <f aca="false">1+IF($G$6=$E$6,$F$6,IF(P991&lt;($F$6-$E$6)/($G$6-$E$6),$E$6+SQRT(P991*($G$6-$E$6)*($F$6-$E$6)),$G$6-SQRT((1-P991)*($G$6-$E$6)*($G$6-$F$6))))</f>
        <v>1.00456086243828</v>
      </c>
      <c r="C991" s="51" t="n">
        <f aca="false">1+IF($G$7=$E$7,$F$7,IF(Q991&lt;($F$7-$E$7)/($G$7-$E$7),$E$7+SQRT(Q991*($G$7-$E$7)*($F$7-$E$7)),$G$7-SQRT((1-Q991)*($G$7-$E$7)*($G$7-$F$7))))</f>
        <v>0.952372447313189</v>
      </c>
      <c r="D991" s="51" t="n">
        <f aca="false">1+IF($G$8=$E$8,$F$8,IF(R991&lt;($F$8-$E$8)/($G$8-$E$8),$E$8+SQRT(R991*($G$8-$E$8)*($F$8-$E$8)),$G$8-SQRT((1-R991)*($G$8-$E$8)*($G$8-$F$8))))</f>
        <v>1.00431697397801</v>
      </c>
      <c r="E991" s="51" t="n">
        <f aca="false">1+IF($G$9=$E$9,$F$9,IF(S991&lt;($F$9-$E$9)/($G$9-$E$9),$E$9+SQRT(S991*($G$9-$E$9)*($F$9-$E$9)),$G$9-SQRT((1-S991)*($G$9-$E$9)*($G$9-$F$9))))</f>
        <v>1.01263006900972</v>
      </c>
      <c r="F991" s="51" t="n">
        <f aca="false">1+IF($G$10=$E$10,$F$10,IF(T991&lt;($F$10-$E$10)/($G$10-$E$10),$E$10+SQRT(T991*($G$10-$E$10)*($F$10-$E$10)),$G$10-SQRT((1-T991)*($G$10-$E$10)*($G$10-$F$10))))</f>
        <v>1.02274259489889</v>
      </c>
      <c r="G991" s="52" t="n">
        <f aca="false">IF($G$11=$E$11,$F$11,IF(U991&lt;($F$11-$E$11)/($G$11-$E$11),$E$11+SQRT(U991*($G$11-$E$11)*($F$11-$E$11)),$G$11-SQRT((1-U991)*($G$11-$E$11)*($G$11-$F$11))))</f>
        <v>0.0937624475639227</v>
      </c>
      <c r="H991" s="53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-2045485189.79778</v>
      </c>
      <c r="I991" s="53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-1890252.675018</v>
      </c>
      <c r="J991" s="53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292085911.90495</v>
      </c>
      <c r="K991" s="53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637199206.229863</v>
      </c>
      <c r="L991" s="53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768255369.057796</v>
      </c>
      <c r="M991" s="53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950107962.881483</v>
      </c>
      <c r="N991" s="53" t="n">
        <f aca="false">IF(COUNT('Business Case'!B11:G11)=0,"",H991+NPV(G991,I991:M991))</f>
        <v>-172326201.530492</v>
      </c>
      <c r="P991" s="54" t="n">
        <f aca="true">RAND()</f>
        <v>0.738347401850289</v>
      </c>
      <c r="Q991" s="54" t="n">
        <f aca="true">RAND()</f>
        <v>0.331676610003008</v>
      </c>
      <c r="R991" s="54" t="n">
        <f aca="true">RAND()</f>
        <v>0.449238420399507</v>
      </c>
      <c r="S991" s="54" t="n">
        <f aca="true">RAND()</f>
        <v>0.491099677250297</v>
      </c>
      <c r="T991" s="54" t="n">
        <f aca="true">RAND()</f>
        <v>0.371596246736411</v>
      </c>
      <c r="U991" s="54" t="n">
        <f aca="true">RAND()</f>
        <v>0.0471867055708941</v>
      </c>
    </row>
    <row r="992" customFormat="false" ht="15" hidden="false" customHeight="false" outlineLevel="0" collapsed="false">
      <c r="A992" s="50" t="n">
        <v>912</v>
      </c>
      <c r="B992" s="51" t="n">
        <f aca="false">1+IF($G$6=$E$6,$F$6,IF(P992&lt;($F$6-$E$6)/($G$6-$E$6),$E$6+SQRT(P992*($G$6-$E$6)*($F$6-$E$6)),$G$6-SQRT((1-P992)*($G$6-$E$6)*($G$6-$F$6))))</f>
        <v>0.967604981786936</v>
      </c>
      <c r="C992" s="51" t="n">
        <f aca="false">1+IF($G$7=$E$7,$F$7,IF(Q992&lt;($F$7-$E$7)/($G$7-$E$7),$E$7+SQRT(Q992*($G$7-$E$7)*($F$7-$E$7)),$G$7-SQRT((1-Q992)*($G$7-$E$7)*($G$7-$F$7))))</f>
        <v>1.0066656311623</v>
      </c>
      <c r="D992" s="51" t="n">
        <f aca="false">1+IF($G$8=$E$8,$F$8,IF(R992&lt;($F$8-$E$8)/($G$8-$E$8),$E$8+SQRT(R992*($G$8-$E$8)*($F$8-$E$8)),$G$8-SQRT((1-R992)*($G$8-$E$8)*($G$8-$F$8))))</f>
        <v>0.993896327003402</v>
      </c>
      <c r="E992" s="51" t="n">
        <f aca="false">1+IF($G$9=$E$9,$F$9,IF(S992&lt;($F$9-$E$9)/($G$9-$E$9),$E$9+SQRT(S992*($G$9-$E$9)*($F$9-$E$9)),$G$9-SQRT((1-S992)*($G$9-$E$9)*($G$9-$F$9))))</f>
        <v>1.06725877956428</v>
      </c>
      <c r="F992" s="51" t="n">
        <f aca="false">1+IF($G$10=$E$10,$F$10,IF(T992&lt;($F$10-$E$10)/($G$10-$E$10),$E$10+SQRT(T992*($G$10-$E$10)*($F$10-$E$10)),$G$10-SQRT((1-T992)*($G$10-$E$10)*($G$10-$F$10))))</f>
        <v>1.02689752023661</v>
      </c>
      <c r="G992" s="52" t="n">
        <f aca="false">IF($G$11=$E$11,$F$11,IF(U992&lt;($F$11-$E$11)/($G$11-$E$11),$E$11+SQRT(U992*($G$11-$E$11)*($F$11-$E$11)),$G$11-SQRT((1-U992)*($G$11-$E$11)*($G$11-$F$11))))</f>
        <v>0.101919630329466</v>
      </c>
      <c r="H992" s="53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-2053795040.47321</v>
      </c>
      <c r="I992" s="53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-19314880.7017646</v>
      </c>
      <c r="J992" s="53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266319183.670149</v>
      </c>
      <c r="K992" s="53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603298124.053892</v>
      </c>
      <c r="L992" s="53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732172808.575181</v>
      </c>
      <c r="M992" s="53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917321122.093761</v>
      </c>
      <c r="N992" s="53" t="n">
        <f aca="false">IF(COUNT('Business Case'!B11:G11)=0,"",H992+NPV(G992,I992:M992))</f>
        <v>-339840636.210273</v>
      </c>
      <c r="P992" s="54" t="n">
        <f aca="true">RAND()</f>
        <v>0.236066071972348</v>
      </c>
      <c r="Q992" s="54" t="n">
        <f aca="true">RAND()</f>
        <v>0.608671594474261</v>
      </c>
      <c r="R992" s="54" t="n">
        <f aca="true">RAND()</f>
        <v>0.296444234521474</v>
      </c>
      <c r="S992" s="54" t="n">
        <f aca="true">RAND()</f>
        <v>0.928534165625311</v>
      </c>
      <c r="T992" s="54" t="n">
        <f aca="true">RAND()</f>
        <v>0.400710629995273</v>
      </c>
      <c r="U992" s="54" t="n">
        <f aca="true">RAND()</f>
        <v>0.455167054294703</v>
      </c>
    </row>
    <row r="993" customFormat="false" ht="15" hidden="false" customHeight="false" outlineLevel="0" collapsed="false">
      <c r="A993" s="50" t="n">
        <v>913</v>
      </c>
      <c r="B993" s="51" t="n">
        <f aca="false">1+IF($G$6=$E$6,$F$6,IF(P993&lt;($F$6-$E$6)/($G$6-$E$6),$E$6+SQRT(P993*($G$6-$E$6)*($F$6-$E$6)),$G$6-SQRT((1-P993)*($G$6-$E$6)*($G$6-$F$6))))</f>
        <v>0.95370363194976</v>
      </c>
      <c r="C993" s="51" t="n">
        <f aca="false">1+IF($G$7=$E$7,$F$7,IF(Q993&lt;($F$7-$E$7)/($G$7-$E$7),$E$7+SQRT(Q993*($G$7-$E$7)*($F$7-$E$7)),$G$7-SQRT((1-Q993)*($G$7-$E$7)*($G$7-$F$7))))</f>
        <v>1.00602806397418</v>
      </c>
      <c r="D993" s="51" t="n">
        <f aca="false">1+IF($G$8=$E$8,$F$8,IF(R993&lt;($F$8-$E$8)/($G$8-$E$8),$E$8+SQRT(R993*($G$8-$E$8)*($F$8-$E$8)),$G$8-SQRT((1-R993)*($G$8-$E$8)*($G$8-$F$8))))</f>
        <v>1.00515210046781</v>
      </c>
      <c r="E993" s="51" t="n">
        <f aca="false">1+IF($G$9=$E$9,$F$9,IF(S993&lt;($F$9-$E$9)/($G$9-$E$9),$E$9+SQRT(S993*($G$9-$E$9)*($F$9-$E$9)),$G$9-SQRT((1-S993)*($G$9-$E$9)*($G$9-$F$9))))</f>
        <v>1.00912822921116</v>
      </c>
      <c r="F993" s="51" t="n">
        <f aca="false">1+IF($G$10=$E$10,$F$10,IF(T993&lt;($F$10-$E$10)/($G$10-$E$10),$E$10+SQRT(T993*($G$10-$E$10)*($F$10-$E$10)),$G$10-SQRT((1-T993)*($G$10-$E$10)*($G$10-$F$10))))</f>
        <v>1.07418904559328</v>
      </c>
      <c r="G993" s="52" t="n">
        <f aca="false">IF($G$11=$E$11,$F$11,IF(U993&lt;($F$11-$E$11)/($G$11-$E$11),$E$11+SQRT(U993*($G$11-$E$11)*($F$11-$E$11)),$G$11-SQRT((1-U993)*($G$11-$E$11)*($G$11-$F$11))))</f>
        <v>0.112851199980668</v>
      </c>
      <c r="H993" s="53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-2148378091.18656</v>
      </c>
      <c r="I993" s="53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-32453435.9687291</v>
      </c>
      <c r="J993" s="53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235748090.556434</v>
      </c>
      <c r="K993" s="53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557659069.36126</v>
      </c>
      <c r="L993" s="53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680218260.696805</v>
      </c>
      <c r="M993" s="53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862591014.412839</v>
      </c>
      <c r="N993" s="53" t="n">
        <f aca="false">IF(COUNT('Business Case'!B11:G11)=0,"",H993+NPV(G993,I993:M993))</f>
        <v>-633663810.322298</v>
      </c>
      <c r="P993" s="54" t="n">
        <f aca="true">RAND()</f>
        <v>0.118326542354675</v>
      </c>
      <c r="Q993" s="54" t="n">
        <f aca="true">RAND()</f>
        <v>0.605182507371007</v>
      </c>
      <c r="R993" s="54" t="n">
        <f aca="true">RAND()</f>
        <v>0.461326147655625</v>
      </c>
      <c r="S993" s="54" t="n">
        <f aca="true">RAND()</f>
        <v>0.449488084913379</v>
      </c>
      <c r="T993" s="54" t="n">
        <f aca="true">RAND()</f>
        <v>0.683432075025415</v>
      </c>
      <c r="U993" s="54" t="n">
        <f aca="true">RAND()</f>
        <v>0.914824430472672</v>
      </c>
    </row>
    <row r="994" customFormat="false" ht="15" hidden="false" customHeight="false" outlineLevel="0" collapsed="false">
      <c r="A994" s="50" t="n">
        <v>914</v>
      </c>
      <c r="B994" s="51" t="n">
        <f aca="false">1+IF($G$6=$E$6,$F$6,IF(P994&lt;($F$6-$E$6)/($G$6-$E$6),$E$6+SQRT(P994*($G$6-$E$6)*($F$6-$E$6)),$G$6-SQRT((1-P994)*($G$6-$E$6)*($G$6-$F$6))))</f>
        <v>0.976070639884334</v>
      </c>
      <c r="C994" s="51" t="n">
        <f aca="false">1+IF($G$7=$E$7,$F$7,IF(Q994&lt;($F$7-$E$7)/($G$7-$E$7),$E$7+SQRT(Q994*($G$7-$E$7)*($F$7-$E$7)),$G$7-SQRT((1-Q994)*($G$7-$E$7)*($G$7-$F$7))))</f>
        <v>0.907182933760633</v>
      </c>
      <c r="D994" s="51" t="n">
        <f aca="false">1+IF($G$8=$E$8,$F$8,IF(R994&lt;($F$8-$E$8)/($G$8-$E$8),$E$8+SQRT(R994*($G$8-$E$8)*($F$8-$E$8)),$G$8-SQRT((1-R994)*($G$8-$E$8)*($G$8-$F$8))))</f>
        <v>1.03499930896236</v>
      </c>
      <c r="E994" s="51" t="n">
        <f aca="false">1+IF($G$9=$E$9,$F$9,IF(S994&lt;($F$9-$E$9)/($G$9-$E$9),$E$9+SQRT(S994*($G$9-$E$9)*($F$9-$E$9)),$G$9-SQRT((1-S994)*($G$9-$E$9)*($G$9-$F$9))))</f>
        <v>0.976179078710606</v>
      </c>
      <c r="F994" s="51" t="n">
        <f aca="false">1+IF($G$10=$E$10,$F$10,IF(T994&lt;($F$10-$E$10)/($G$10-$E$10),$E$10+SQRT(T994*($G$10-$E$10)*($F$10-$E$10)),$G$10-SQRT((1-T994)*($G$10-$E$10)*($G$10-$F$10))))</f>
        <v>1.07437895917769</v>
      </c>
      <c r="G994" s="52" t="n">
        <f aca="false">IF($G$11=$E$11,$F$11,IF(U994&lt;($F$11-$E$11)/($G$11-$E$11),$E$11+SQRT(U994*($G$11-$E$11)*($F$11-$E$11)),$G$11-SQRT((1-U994)*($G$11-$E$11)*($G$11-$F$11))))</f>
        <v>0.10878571019677</v>
      </c>
      <c r="H994" s="53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-2148757918.35538</v>
      </c>
      <c r="I994" s="53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-47545036.748228</v>
      </c>
      <c r="J994" s="53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197063492.059388</v>
      </c>
      <c r="K994" s="53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495390968.825888</v>
      </c>
      <c r="L994" s="53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607529148.192044</v>
      </c>
      <c r="M994" s="53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775840165.225274</v>
      </c>
      <c r="N994" s="53" t="n">
        <f aca="false">IF(COUNT('Business Case'!B11:G11)=0,"",H994+NPV(G994,I994:M994))</f>
        <v>-803025206.29068</v>
      </c>
      <c r="P994" s="54" t="n">
        <f aca="true">RAND()</f>
        <v>0.327491318441529</v>
      </c>
      <c r="Q994" s="54" t="n">
        <f aca="true">RAND()</f>
        <v>0.164116875564803</v>
      </c>
      <c r="R994" s="54" t="n">
        <f aca="true">RAND()</f>
        <v>0.805282481359123</v>
      </c>
      <c r="S994" s="54" t="n">
        <f aca="true">RAND()</f>
        <v>0.0913792216181489</v>
      </c>
      <c r="T994" s="54" t="n">
        <f aca="true">RAND()</f>
        <v>0.684387082054382</v>
      </c>
      <c r="U994" s="54" t="n">
        <f aca="true">RAND()</f>
        <v>0.790399507015268</v>
      </c>
    </row>
    <row r="995" customFormat="false" ht="15" hidden="false" customHeight="false" outlineLevel="0" collapsed="false">
      <c r="A995" s="50" t="n">
        <v>915</v>
      </c>
      <c r="B995" s="51" t="n">
        <f aca="false">1+IF($G$6=$E$6,$F$6,IF(P995&lt;($F$6-$E$6)/($G$6-$E$6),$E$6+SQRT(P995*($G$6-$E$6)*($F$6-$E$6)),$G$6-SQRT((1-P995)*($G$6-$E$6)*($G$6-$F$6))))</f>
        <v>1.00475196236203</v>
      </c>
      <c r="C995" s="51" t="n">
        <f aca="false">1+IF($G$7=$E$7,$F$7,IF(Q995&lt;($F$7-$E$7)/($G$7-$E$7),$E$7+SQRT(Q995*($G$7-$E$7)*($F$7-$E$7)),$G$7-SQRT((1-Q995)*($G$7-$E$7)*($G$7-$F$7))))</f>
        <v>1.12894962497582</v>
      </c>
      <c r="D995" s="51" t="n">
        <f aca="false">1+IF($G$8=$E$8,$F$8,IF(R995&lt;($F$8-$E$8)/($G$8-$E$8),$E$8+SQRT(R995*($G$8-$E$8)*($F$8-$E$8)),$G$8-SQRT((1-R995)*($G$8-$E$8)*($G$8-$F$8))))</f>
        <v>1.02267941601027</v>
      </c>
      <c r="E995" s="51" t="n">
        <f aca="false">1+IF($G$9=$E$9,$F$9,IF(S995&lt;($F$9-$E$9)/($G$9-$E$9),$E$9+SQRT(S995*($G$9-$E$9)*($F$9-$E$9)),$G$9-SQRT((1-S995)*($G$9-$E$9)*($G$9-$F$9))))</f>
        <v>0.988125236290179</v>
      </c>
      <c r="F995" s="51" t="n">
        <f aca="false">1+IF($G$10=$E$10,$F$10,IF(T995&lt;($F$10-$E$10)/($G$10-$E$10),$E$10+SQRT(T995*($G$10-$E$10)*($F$10-$E$10)),$G$10-SQRT((1-T995)*($G$10-$E$10)*($G$10-$F$10))))</f>
        <v>1.0041245592592</v>
      </c>
      <c r="G995" s="52" t="n">
        <f aca="false">IF($G$11=$E$11,$F$11,IF(U995&lt;($F$11-$E$11)/($G$11-$E$11),$E$11+SQRT(U995*($G$11-$E$11)*($F$11-$E$11)),$G$11-SQRT((1-U995)*($G$11-$E$11)*($G$11-$F$11))))</f>
        <v>0.0990443682928844</v>
      </c>
      <c r="H995" s="53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-2008249118.5184</v>
      </c>
      <c r="I995" s="53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38319353.8762659</v>
      </c>
      <c r="J995" s="53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376365428.24006</v>
      </c>
      <c r="K995" s="53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764617730.566815</v>
      </c>
      <c r="L995" s="53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916501659.328843</v>
      </c>
      <c r="M995" s="53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1132112131.18637</v>
      </c>
      <c r="N995" s="53" t="n">
        <f aca="false">IF(COUNT('Business Case'!B11:G11)=0,"",H995+NPV(G995,I995:M995))</f>
        <v>248349362.140205</v>
      </c>
      <c r="P995" s="54" t="n">
        <f aca="true">RAND()</f>
        <v>0.741161633889999</v>
      </c>
      <c r="Q995" s="54" t="n">
        <f aca="true">RAND()</f>
        <v>0.9915596516446</v>
      </c>
      <c r="R995" s="54" t="n">
        <f aca="true">RAND()</f>
        <v>0.684072177988124</v>
      </c>
      <c r="S995" s="54" t="n">
        <f aca="true">RAND()</f>
        <v>0.193804485624264</v>
      </c>
      <c r="T995" s="54" t="n">
        <f aca="true">RAND()</f>
        <v>0.232656234291964</v>
      </c>
      <c r="U995" s="54" t="n">
        <f aca="true">RAND()</f>
        <v>0.272668659391111</v>
      </c>
    </row>
    <row r="996" customFormat="false" ht="15" hidden="false" customHeight="false" outlineLevel="0" collapsed="false">
      <c r="A996" s="50" t="n">
        <v>916</v>
      </c>
      <c r="B996" s="51" t="n">
        <f aca="false">1+IF($G$6=$E$6,$F$6,IF(P996&lt;($F$6-$E$6)/($G$6-$E$6),$E$6+SQRT(P996*($G$6-$E$6)*($F$6-$E$6)),$G$6-SQRT((1-P996)*($G$6-$E$6)*($G$6-$F$6))))</f>
        <v>0.970857246568899</v>
      </c>
      <c r="C996" s="51" t="n">
        <f aca="false">1+IF($G$7=$E$7,$F$7,IF(Q996&lt;($F$7-$E$7)/($G$7-$E$7),$E$7+SQRT(Q996*($G$7-$E$7)*($F$7-$E$7)),$G$7-SQRT((1-Q996)*($G$7-$E$7)*($G$7-$F$7))))</f>
        <v>0.995463412638178</v>
      </c>
      <c r="D996" s="51" t="n">
        <f aca="false">1+IF($G$8=$E$8,$F$8,IF(R996&lt;($F$8-$E$8)/($G$8-$E$8),$E$8+SQRT(R996*($G$8-$E$8)*($F$8-$E$8)),$G$8-SQRT((1-R996)*($G$8-$E$8)*($G$8-$F$8))))</f>
        <v>1.05707398535485</v>
      </c>
      <c r="E996" s="51" t="n">
        <f aca="false">1+IF($G$9=$E$9,$F$9,IF(S996&lt;($F$9-$E$9)/($G$9-$E$9),$E$9+SQRT(S996*($G$9-$E$9)*($F$9-$E$9)),$G$9-SQRT((1-S996)*($G$9-$E$9)*($G$9-$F$9))))</f>
        <v>1.06058509563301</v>
      </c>
      <c r="F996" s="51" t="n">
        <f aca="false">1+IF($G$10=$E$10,$F$10,IF(T996&lt;($F$10-$E$10)/($G$10-$E$10),$E$10+SQRT(T996*($G$10-$E$10)*($F$10-$E$10)),$G$10-SQRT((1-T996)*($G$10-$E$10)*($G$10-$F$10))))</f>
        <v>1.0300085128778</v>
      </c>
      <c r="G996" s="52" t="n">
        <f aca="false">IF($G$11=$E$11,$F$11,IF(U996&lt;($F$11-$E$11)/($G$11-$E$11),$E$11+SQRT(U996*($G$11-$E$11)*($F$11-$E$11)),$G$11-SQRT((1-U996)*($G$11-$E$11)*($G$11-$F$11))))</f>
        <v>0.0975515167026739</v>
      </c>
      <c r="H996" s="53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-2060017025.7556</v>
      </c>
      <c r="I996" s="53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-51004883.0579567</v>
      </c>
      <c r="J996" s="53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201907202.440431</v>
      </c>
      <c r="K996" s="53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506319713.582709</v>
      </c>
      <c r="L996" s="53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624024353.195205</v>
      </c>
      <c r="M996" s="53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807727714.31689</v>
      </c>
      <c r="N996" s="53" t="n">
        <f aca="false">IF(COUNT('Business Case'!B11:G11)=0,"",H996+NPV(G996,I996:M996))</f>
        <v>-618732927.192479</v>
      </c>
      <c r="P996" s="54" t="n">
        <f aca="true">RAND()</f>
        <v>0.269422867559354</v>
      </c>
      <c r="Q996" s="54" t="n">
        <f aca="true">RAND()</f>
        <v>0.545799224002325</v>
      </c>
      <c r="R996" s="54" t="n">
        <f aca="true">RAND()</f>
        <v>0.949461331970231</v>
      </c>
      <c r="S996" s="54" t="n">
        <f aca="true">RAND()</f>
        <v>0.896431020916078</v>
      </c>
      <c r="T996" s="54" t="n">
        <f aca="true">RAND()</f>
        <v>0.422057886119647</v>
      </c>
      <c r="U996" s="54" t="n">
        <f aca="true">RAND()</f>
        <v>0.190084681702543</v>
      </c>
    </row>
    <row r="997" customFormat="false" ht="15" hidden="false" customHeight="false" outlineLevel="0" collapsed="false">
      <c r="A997" s="50" t="n">
        <v>917</v>
      </c>
      <c r="B997" s="51" t="n">
        <f aca="false">1+IF($G$6=$E$6,$F$6,IF(P997&lt;($F$6-$E$6)/($G$6-$E$6),$E$6+SQRT(P997*($G$6-$E$6)*($F$6-$E$6)),$G$6-SQRT((1-P997)*($G$6-$E$6)*($G$6-$F$6))))</f>
        <v>0.984659576406431</v>
      </c>
      <c r="C997" s="51" t="n">
        <f aca="false">1+IF($G$7=$E$7,$F$7,IF(Q997&lt;($F$7-$E$7)/($G$7-$E$7),$E$7+SQRT(Q997*($G$7-$E$7)*($F$7-$E$7)),$G$7-SQRT((1-Q997)*($G$7-$E$7)*($G$7-$F$7))))</f>
        <v>0.936160002253601</v>
      </c>
      <c r="D997" s="51" t="n">
        <f aca="false">1+IF($G$8=$E$8,$F$8,IF(R997&lt;($F$8-$E$8)/($G$8-$E$8),$E$8+SQRT(R997*($G$8-$E$8)*($F$8-$E$8)),$G$8-SQRT((1-R997)*($G$8-$E$8)*($G$8-$F$8))))</f>
        <v>0.996073218715735</v>
      </c>
      <c r="E997" s="51" t="n">
        <f aca="false">1+IF($G$9=$E$9,$F$9,IF(S997&lt;($F$9-$E$9)/($G$9-$E$9),$E$9+SQRT(S997*($G$9-$E$9)*($F$9-$E$9)),$G$9-SQRT((1-S997)*($G$9-$E$9)*($G$9-$F$9))))</f>
        <v>1.00601298308305</v>
      </c>
      <c r="F997" s="51" t="n">
        <f aca="false">1+IF($G$10=$E$10,$F$10,IF(T997&lt;($F$10-$E$10)/($G$10-$E$10),$E$10+SQRT(T997*($G$10-$E$10)*($F$10-$E$10)),$G$10-SQRT((1-T997)*($G$10-$E$10)*($G$10-$F$10))))</f>
        <v>1.0656737914354</v>
      </c>
      <c r="G997" s="52" t="n">
        <f aca="false">IF($G$11=$E$11,$F$11,IF(U997&lt;($F$11-$E$11)/($G$11-$E$11),$E$11+SQRT(U997*($G$11-$E$11)*($F$11-$E$11)),$G$11-SQRT((1-U997)*($G$11-$E$11)*($G$11-$F$11))))</f>
        <v>0.0985836635206235</v>
      </c>
      <c r="H997" s="53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-2131347582.87081</v>
      </c>
      <c r="I997" s="53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-19745964.5546654</v>
      </c>
      <c r="J997" s="53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257916551.788736</v>
      </c>
      <c r="K997" s="53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588862757.703907</v>
      </c>
      <c r="L997" s="53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713274300.191785</v>
      </c>
      <c r="M997" s="53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888489837.245544</v>
      </c>
      <c r="N997" s="53" t="n">
        <f aca="false">IF(COUNT('Business Case'!B11:G11)=0,"",H997+NPV(G997,I997:M997))</f>
        <v>-446541919.118101</v>
      </c>
      <c r="P997" s="54" t="n">
        <f aca="true">RAND()</f>
        <v>0.435506335526986</v>
      </c>
      <c r="Q997" s="54" t="n">
        <f aca="true">RAND()</f>
        <v>0.264850660195722</v>
      </c>
      <c r="R997" s="54" t="n">
        <f aca="true">RAND()</f>
        <v>0.326575612742767</v>
      </c>
      <c r="S997" s="54" t="n">
        <f aca="true">RAND()</f>
        <v>0.411096043403549</v>
      </c>
      <c r="T997" s="54" t="n">
        <f aca="true">RAND()</f>
        <v>0.639129393853218</v>
      </c>
      <c r="U997" s="54" t="n">
        <f aca="true">RAND()</f>
        <v>0.245597598117606</v>
      </c>
    </row>
    <row r="998" customFormat="false" ht="15" hidden="false" customHeight="false" outlineLevel="0" collapsed="false">
      <c r="A998" s="50" t="n">
        <v>918</v>
      </c>
      <c r="B998" s="51" t="n">
        <f aca="false">1+IF($G$6=$E$6,$F$6,IF(P998&lt;($F$6-$E$6)/($G$6-$E$6),$E$6+SQRT(P998*($G$6-$E$6)*($F$6-$E$6)),$G$6-SQRT((1-P998)*($G$6-$E$6)*($G$6-$F$6))))</f>
        <v>0.99895535209153</v>
      </c>
      <c r="C998" s="51" t="n">
        <f aca="false">1+IF($G$7=$E$7,$F$7,IF(Q998&lt;($F$7-$E$7)/($G$7-$E$7),$E$7+SQRT(Q998*($G$7-$E$7)*($F$7-$E$7)),$G$7-SQRT((1-Q998)*($G$7-$E$7)*($G$7-$F$7))))</f>
        <v>1.00853630517743</v>
      </c>
      <c r="D998" s="51" t="n">
        <f aca="false">1+IF($G$8=$E$8,$F$8,IF(R998&lt;($F$8-$E$8)/($G$8-$E$8),$E$8+SQRT(R998*($G$8-$E$8)*($F$8-$E$8)),$G$8-SQRT((1-R998)*($G$8-$E$8)*($G$8-$F$8))))</f>
        <v>1.00822281532577</v>
      </c>
      <c r="E998" s="51" t="n">
        <f aca="false">1+IF($G$9=$E$9,$F$9,IF(S998&lt;($F$9-$E$9)/($G$9-$E$9),$E$9+SQRT(S998*($G$9-$E$9)*($F$9-$E$9)),$G$9-SQRT((1-S998)*($G$9-$E$9)*($G$9-$F$9))))</f>
        <v>0.971799250365904</v>
      </c>
      <c r="F998" s="51" t="n">
        <f aca="false">1+IF($G$10=$E$10,$F$10,IF(T998&lt;($F$10-$E$10)/($G$10-$E$10),$E$10+SQRT(T998*($G$10-$E$10)*($F$10-$E$10)),$G$10-SQRT((1-T998)*($G$10-$E$10)*($G$10-$F$10))))</f>
        <v>1.10021644231878</v>
      </c>
      <c r="G998" s="52" t="n">
        <f aca="false">IF($G$11=$E$11,$F$11,IF(U998&lt;($F$11-$E$11)/($G$11-$E$11),$E$11+SQRT(U998*($G$11-$E$11)*($F$11-$E$11)),$G$11-SQRT((1-U998)*($G$11-$E$11)*($G$11-$F$11))))</f>
        <v>0.0987829904051561</v>
      </c>
      <c r="H998" s="53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-2200432884.63756</v>
      </c>
      <c r="I998" s="53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4226237.92299266</v>
      </c>
      <c r="J998" s="53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308891878.712973</v>
      </c>
      <c r="K998" s="53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668568341.618892</v>
      </c>
      <c r="L998" s="53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804942158.70427</v>
      </c>
      <c r="M998" s="53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996444477.892223</v>
      </c>
      <c r="N998" s="53" t="n">
        <f aca="false">IF(COUNT('Business Case'!B11:G11)=0,"",H998+NPV(G998,I998:M998))</f>
        <v>-262388245.202894</v>
      </c>
      <c r="P998" s="54" t="n">
        <f aca="true">RAND()</f>
        <v>0.649369544155983</v>
      </c>
      <c r="Q998" s="54" t="n">
        <f aca="true">RAND()</f>
        <v>0.618819486612327</v>
      </c>
      <c r="R998" s="54" t="n">
        <f aca="true">RAND()</f>
        <v>0.504618823100148</v>
      </c>
      <c r="S998" s="54" t="n">
        <f aca="true">RAND()</f>
        <v>0.0633609755353794</v>
      </c>
      <c r="T998" s="54" t="n">
        <f aca="true">RAND()</f>
        <v>0.800864832329566</v>
      </c>
      <c r="U998" s="54" t="n">
        <f aca="true">RAND()</f>
        <v>0.257136401523548</v>
      </c>
    </row>
    <row r="999" customFormat="false" ht="15" hidden="false" customHeight="false" outlineLevel="0" collapsed="false">
      <c r="A999" s="50" t="n">
        <v>919</v>
      </c>
      <c r="B999" s="51" t="n">
        <f aca="false">1+IF($G$6=$E$6,$F$6,IF(P999&lt;($F$6-$E$6)/($G$6-$E$6),$E$6+SQRT(P999*($G$6-$E$6)*($F$6-$E$6)),$G$6-SQRT((1-P999)*($G$6-$E$6)*($G$6-$F$6))))</f>
        <v>1.00472519029434</v>
      </c>
      <c r="C999" s="51" t="n">
        <f aca="false">1+IF($G$7=$E$7,$F$7,IF(Q999&lt;($F$7-$E$7)/($G$7-$E$7),$E$7+SQRT(Q999*($G$7-$E$7)*($F$7-$E$7)),$G$7-SQRT((1-Q999)*($G$7-$E$7)*($G$7-$F$7))))</f>
        <v>1.0708553800178</v>
      </c>
      <c r="D999" s="51" t="n">
        <f aca="false">1+IF($G$8=$E$8,$F$8,IF(R999&lt;($F$8-$E$8)/($G$8-$E$8),$E$8+SQRT(R999*($G$8-$E$8)*($F$8-$E$8)),$G$8-SQRT((1-R999)*($G$8-$E$8)*($G$8-$F$8))))</f>
        <v>0.973913035906635</v>
      </c>
      <c r="E999" s="51" t="n">
        <f aca="false">1+IF($G$9=$E$9,$F$9,IF(S999&lt;($F$9-$E$9)/($G$9-$E$9),$E$9+SQRT(S999*($G$9-$E$9)*($F$9-$E$9)),$G$9-SQRT((1-S999)*($G$9-$E$9)*($G$9-$F$9))))</f>
        <v>0.990067701587249</v>
      </c>
      <c r="F999" s="51" t="n">
        <f aca="false">1+IF($G$10=$E$10,$F$10,IF(T999&lt;($F$10-$E$10)/($G$10-$E$10),$E$10+SQRT(T999*($G$10-$E$10)*($F$10-$E$10)),$G$10-SQRT((1-T999)*($G$10-$E$10)*($G$10-$F$10))))</f>
        <v>1.0214496839886</v>
      </c>
      <c r="G999" s="52" t="n">
        <f aca="false">IF($G$11=$E$11,$F$11,IF(U999&lt;($F$11-$E$11)/($G$11-$E$11),$E$11+SQRT(U999*($G$11-$E$11)*($F$11-$E$11)),$G$11-SQRT((1-U999)*($G$11-$E$11)*($G$11-$F$11))))</f>
        <v>0.0975166603604576</v>
      </c>
      <c r="H999" s="53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-2042899367.9772</v>
      </c>
      <c r="I999" s="53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48652496.1310928</v>
      </c>
      <c r="J999" s="53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396013040.890915</v>
      </c>
      <c r="K999" s="53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794446069.850168</v>
      </c>
      <c r="L999" s="53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947416553.479551</v>
      </c>
      <c r="M999" s="53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1151926548.04815</v>
      </c>
      <c r="N999" s="53" t="n">
        <f aca="false">IF(COUNT('Business Case'!B11:G11)=0,"",H999+NPV(G999,I999:M999))</f>
        <v>307495795.873219</v>
      </c>
      <c r="P999" s="54" t="n">
        <f aca="true">RAND()</f>
        <v>0.740768291714537</v>
      </c>
      <c r="Q999" s="54" t="n">
        <f aca="true">RAND()</f>
        <v>0.880688173864245</v>
      </c>
      <c r="R999" s="54" t="n">
        <f aca="true">RAND()</f>
        <v>0.0879743517341548</v>
      </c>
      <c r="S999" s="54" t="n">
        <f aca="true">RAND()</f>
        <v>0.214056094731307</v>
      </c>
      <c r="T999" s="54" t="n">
        <f aca="true">RAND()</f>
        <v>0.362395693044584</v>
      </c>
      <c r="U999" s="54" t="n">
        <f aca="true">RAND()</f>
        <v>0.188333943248249</v>
      </c>
    </row>
    <row r="1000" customFormat="false" ht="15" hidden="false" customHeight="false" outlineLevel="0" collapsed="false">
      <c r="A1000" s="50" t="n">
        <v>920</v>
      </c>
      <c r="B1000" s="51" t="n">
        <f aca="false">1+IF($G$6=$E$6,$F$6,IF(P1000&lt;($F$6-$E$6)/($G$6-$E$6),$E$6+SQRT(P1000*($G$6-$E$6)*($F$6-$E$6)),$G$6-SQRT((1-P1000)*($G$6-$E$6)*($G$6-$F$6))))</f>
        <v>0.992059599368561</v>
      </c>
      <c r="C1000" s="51" t="n">
        <f aca="false">1+IF($G$7=$E$7,$F$7,IF(Q1000&lt;($F$7-$E$7)/($G$7-$E$7),$E$7+SQRT(Q1000*($G$7-$E$7)*($F$7-$E$7)),$G$7-SQRT((1-Q1000)*($G$7-$E$7)*($G$7-$F$7))))</f>
        <v>1.12061696902594</v>
      </c>
      <c r="D1000" s="51" t="n">
        <f aca="false">1+IF($G$8=$E$8,$F$8,IF(R1000&lt;($F$8-$E$8)/($G$8-$E$8),$E$8+SQRT(R1000*($G$8-$E$8)*($F$8-$E$8)),$G$8-SQRT((1-R1000)*($G$8-$E$8)*($G$8-$F$8))))</f>
        <v>1.05296074926391</v>
      </c>
      <c r="E1000" s="51" t="n">
        <f aca="false">1+IF($G$9=$E$9,$F$9,IF(S1000&lt;($F$9-$E$9)/($G$9-$E$9),$E$9+SQRT(S1000*($G$9-$E$9)*($F$9-$E$9)),$G$9-SQRT((1-S1000)*($G$9-$E$9)*($G$9-$F$9))))</f>
        <v>1.06432529494945</v>
      </c>
      <c r="F1000" s="51" t="n">
        <f aca="false">1+IF($G$10=$E$10,$F$10,IF(T1000&lt;($F$10-$E$10)/($G$10-$E$10),$E$10+SQRT(T1000*($G$10-$E$10)*($F$10-$E$10)),$G$10-SQRT((1-T1000)*($G$10-$E$10)*($G$10-$F$10))))</f>
        <v>0.969878816172651</v>
      </c>
      <c r="G1000" s="52" t="n">
        <f aca="false">IF($G$11=$E$11,$F$11,IF(U1000&lt;($F$11-$E$11)/($G$11-$E$11),$E$11+SQRT(U1000*($G$11-$E$11)*($F$11-$E$11)),$G$11-SQRT((1-U1000)*($G$11-$E$11)*($G$11-$F$11))))</f>
        <v>0.0978105511978713</v>
      </c>
      <c r="H1000" s="53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-1939757632.3453</v>
      </c>
      <c r="I1000" s="53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563283.556171611</v>
      </c>
      <c r="J1000" s="53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307093009.369555</v>
      </c>
      <c r="K1000" s="53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662116675.991572</v>
      </c>
      <c r="L1000" s="53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802714253.728123</v>
      </c>
      <c r="M1000" s="53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1014029767.28795</v>
      </c>
      <c r="N1000" s="53" t="n">
        <f aca="false">IF(COUNT('Business Case'!B11:G11)=0,"",H1000+NPV(G1000,I1000:M1000))</f>
        <v>4592986.11855626</v>
      </c>
      <c r="P1000" s="54" t="n">
        <f aca="true">RAND()</f>
        <v>0.540894360537246</v>
      </c>
      <c r="Q1000" s="54" t="n">
        <f aca="true">RAND()</f>
        <v>0.983554999824335</v>
      </c>
      <c r="R1000" s="54" t="n">
        <f aca="true">RAND()</f>
        <v>0.929699896118332</v>
      </c>
      <c r="S1000" s="54" t="n">
        <f aca="true">RAND()</f>
        <v>0.915154361303743</v>
      </c>
      <c r="T1000" s="54" t="n">
        <f aca="true">RAND()</f>
        <v>0.031613386594084</v>
      </c>
      <c r="U1000" s="54" t="n">
        <f aca="true">RAND()</f>
        <v>0.203349033381898</v>
      </c>
    </row>
    <row r="1001" customFormat="false" ht="15" hidden="false" customHeight="false" outlineLevel="0" collapsed="false">
      <c r="A1001" s="50" t="n">
        <v>921</v>
      </c>
      <c r="B1001" s="51" t="n">
        <f aca="false">1+IF($G$6=$E$6,$F$6,IF(P1001&lt;($F$6-$E$6)/($G$6-$E$6),$E$6+SQRT(P1001*($G$6-$E$6)*($F$6-$E$6)),$G$6-SQRT((1-P1001)*($G$6-$E$6)*($G$6-$F$6))))</f>
        <v>0.96303220944866</v>
      </c>
      <c r="C1001" s="51" t="n">
        <f aca="false">1+IF($G$7=$E$7,$F$7,IF(Q1001&lt;($F$7-$E$7)/($G$7-$E$7),$E$7+SQRT(Q1001*($G$7-$E$7)*($F$7-$E$7)),$G$7-SQRT((1-Q1001)*($G$7-$E$7)*($G$7-$F$7))))</f>
        <v>1.03159689284182</v>
      </c>
      <c r="D1001" s="51" t="n">
        <f aca="false">1+IF($G$8=$E$8,$F$8,IF(R1001&lt;($F$8-$E$8)/($G$8-$E$8),$E$8+SQRT(R1001*($G$8-$E$8)*($F$8-$E$8)),$G$8-SQRT((1-R1001)*($G$8-$E$8)*($G$8-$F$8))))</f>
        <v>0.979440558409466</v>
      </c>
      <c r="E1001" s="51" t="n">
        <f aca="false">1+IF($G$9=$E$9,$F$9,IF(S1001&lt;($F$9-$E$9)/($G$9-$E$9),$E$9+SQRT(S1001*($G$9-$E$9)*($F$9-$E$9)),$G$9-SQRT((1-S1001)*($G$9-$E$9)*($G$9-$F$9))))</f>
        <v>1.00367149863799</v>
      </c>
      <c r="F1001" s="51" t="n">
        <f aca="false">1+IF($G$10=$E$10,$F$10,IF(T1001&lt;($F$10-$E$10)/($G$10-$E$10),$E$10+SQRT(T1001*($G$10-$E$10)*($F$10-$E$10)),$G$10-SQRT((1-T1001)*($G$10-$E$10)*($G$10-$F$10))))</f>
        <v>1.02318156752155</v>
      </c>
      <c r="G1001" s="52" t="n">
        <f aca="false">IF($G$11=$E$11,$F$11,IF(U1001&lt;($F$11-$E$11)/($G$11-$E$11),$E$11+SQRT(U1001*($G$11-$E$11)*($F$11-$E$11)),$G$11-SQRT((1-U1001)*($G$11-$E$11)*($G$11-$F$11))))</f>
        <v>0.105234082916178</v>
      </c>
      <c r="H1001" s="53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-2046363135.0431</v>
      </c>
      <c r="I1001" s="53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-62888.4770658463</v>
      </c>
      <c r="J1001" s="53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296415486.957388</v>
      </c>
      <c r="K1001" s="53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644052940.767919</v>
      </c>
      <c r="L1001" s="53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777213079.281432</v>
      </c>
      <c r="M1001" s="53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966050152.809257</v>
      </c>
      <c r="N1001" s="53" t="n">
        <f aca="false">IF(COUNT('Business Case'!B11:G11)=0,"",H1001+NPV(G1001,I1001:M1001))</f>
        <v>-220084903.812495</v>
      </c>
      <c r="P1001" s="54" t="n">
        <f aca="true">RAND()</f>
        <v>0.192892817711809</v>
      </c>
      <c r="Q1001" s="54" t="n">
        <f aca="true">RAND()</f>
        <v>0.732965794576903</v>
      </c>
      <c r="R1001" s="54" t="n">
        <f aca="true">RAND()</f>
        <v>0.133345612224796</v>
      </c>
      <c r="S1001" s="54" t="n">
        <f aca="true">RAND()</f>
        <v>0.381387988356571</v>
      </c>
      <c r="T1001" s="54" t="n">
        <f aca="true">RAND()</f>
        <v>0.374704838717264</v>
      </c>
      <c r="U1001" s="54" t="n">
        <f aca="true">RAND()</f>
        <v>0.636612821122843</v>
      </c>
    </row>
    <row r="1002" customFormat="false" ht="15" hidden="false" customHeight="false" outlineLevel="0" collapsed="false">
      <c r="A1002" s="50" t="n">
        <v>922</v>
      </c>
      <c r="B1002" s="51" t="n">
        <f aca="false">1+IF($G$6=$E$6,$F$6,IF(P1002&lt;($F$6-$E$6)/($G$6-$E$6),$E$6+SQRT(P1002*($G$6-$E$6)*($F$6-$E$6)),$G$6-SQRT((1-P1002)*($G$6-$E$6)*($G$6-$F$6))))</f>
        <v>0.985169958160567</v>
      </c>
      <c r="C1002" s="51" t="n">
        <f aca="false">1+IF($G$7=$E$7,$F$7,IF(Q1002&lt;($F$7-$E$7)/($G$7-$E$7),$E$7+SQRT(Q1002*($G$7-$E$7)*($F$7-$E$7)),$G$7-SQRT((1-Q1002)*($G$7-$E$7)*($G$7-$F$7))))</f>
        <v>1.06555577874882</v>
      </c>
      <c r="D1002" s="51" t="n">
        <f aca="false">1+IF($G$8=$E$8,$F$8,IF(R1002&lt;($F$8-$E$8)/($G$8-$E$8),$E$8+SQRT(R1002*($G$8-$E$8)*($F$8-$E$8)),$G$8-SQRT((1-R1002)*($G$8-$E$8)*($G$8-$F$8))))</f>
        <v>1.01060958892228</v>
      </c>
      <c r="E1002" s="51" t="n">
        <f aca="false">1+IF($G$9=$E$9,$F$9,IF(S1002&lt;($F$9-$E$9)/($G$9-$E$9),$E$9+SQRT(S1002*($G$9-$E$9)*($F$9-$E$9)),$G$9-SQRT((1-S1002)*($G$9-$E$9)*($G$9-$F$9))))</f>
        <v>1.03417395522136</v>
      </c>
      <c r="F1002" s="51" t="n">
        <f aca="false">1+IF($G$10=$E$10,$F$10,IF(T1002&lt;($F$10-$E$10)/($G$10-$E$10),$E$10+SQRT(T1002*($G$10-$E$10)*($F$10-$E$10)),$G$10-SQRT((1-T1002)*($G$10-$E$10)*($G$10-$F$10))))</f>
        <v>1.08392991775082</v>
      </c>
      <c r="G1002" s="52" t="n">
        <f aca="false">IF($G$11=$E$11,$F$11,IF(U1002&lt;($F$11-$E$11)/($G$11-$E$11),$E$11+SQRT(U1002*($G$11-$E$11)*($F$11-$E$11)),$G$11-SQRT((1-U1002)*($G$11-$E$11)*($G$11-$F$11))))</f>
        <v>0.111883704395149</v>
      </c>
      <c r="H1002" s="53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-2167859835.50164</v>
      </c>
      <c r="I1002" s="53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-1314644.24354732</v>
      </c>
      <c r="J1002" s="53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307242463.336071</v>
      </c>
      <c r="K1002" s="53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669996066.803231</v>
      </c>
      <c r="L1002" s="53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809127918.406842</v>
      </c>
      <c r="M1002" s="53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1008665071.66407</v>
      </c>
      <c r="N1002" s="53" t="n">
        <f aca="false">IF(COUNT('Business Case'!B11:G11)=0,"",H1002+NPV(G1002,I1002:M1002))</f>
        <v>-310176750.691786</v>
      </c>
      <c r="P1002" s="54" t="n">
        <f aca="true">RAND()</f>
        <v>0.442408692359379</v>
      </c>
      <c r="Q1002" s="54" t="n">
        <f aca="true">RAND()</f>
        <v>0.864174733281565</v>
      </c>
      <c r="R1002" s="54" t="n">
        <f aca="true">RAND()</f>
        <v>0.537016427929331</v>
      </c>
      <c r="S1002" s="54" t="n">
        <f aca="true">RAND()</f>
        <v>0.711128788586653</v>
      </c>
      <c r="T1002" s="54" t="n">
        <f aca="true">RAND()</f>
        <v>0.730554720133375</v>
      </c>
      <c r="U1002" s="54" t="n">
        <f aca="true">RAND()</f>
        <v>0.890209576091125</v>
      </c>
    </row>
    <row r="1003" customFormat="false" ht="15" hidden="false" customHeight="false" outlineLevel="0" collapsed="false">
      <c r="A1003" s="50" t="n">
        <v>923</v>
      </c>
      <c r="B1003" s="51" t="n">
        <f aca="false">1+IF($G$6=$E$6,$F$6,IF(P1003&lt;($F$6-$E$6)/($G$6-$E$6),$E$6+SQRT(P1003*($G$6-$E$6)*($F$6-$E$6)),$G$6-SQRT((1-P1003)*($G$6-$E$6)*($G$6-$F$6))))</f>
        <v>0.968815384473232</v>
      </c>
      <c r="C1003" s="51" t="n">
        <f aca="false">1+IF($G$7=$E$7,$F$7,IF(Q1003&lt;($F$7-$E$7)/($G$7-$E$7),$E$7+SQRT(Q1003*($G$7-$E$7)*($F$7-$E$7)),$G$7-SQRT((1-Q1003)*($G$7-$E$7)*($G$7-$F$7))))</f>
        <v>0.942452760208999</v>
      </c>
      <c r="D1003" s="51" t="n">
        <f aca="false">1+IF($G$8=$E$8,$F$8,IF(R1003&lt;($F$8-$E$8)/($G$8-$E$8),$E$8+SQRT(R1003*($G$8-$E$8)*($F$8-$E$8)),$G$8-SQRT((1-R1003)*($G$8-$E$8)*($G$8-$F$8))))</f>
        <v>0.979815737148158</v>
      </c>
      <c r="E1003" s="51" t="n">
        <f aca="false">1+IF($G$9=$E$9,$F$9,IF(S1003&lt;($F$9-$E$9)/($G$9-$E$9),$E$9+SQRT(S1003*($G$9-$E$9)*($F$9-$E$9)),$G$9-SQRT((1-S1003)*($G$9-$E$9)*($G$9-$F$9))))</f>
        <v>1.06063663595017</v>
      </c>
      <c r="F1003" s="51" t="n">
        <f aca="false">1+IF($G$10=$E$10,$F$10,IF(T1003&lt;($F$10-$E$10)/($G$10-$E$10),$E$10+SQRT(T1003*($G$10-$E$10)*($F$10-$E$10)),$G$10-SQRT((1-T1003)*($G$10-$E$10)*($G$10-$F$10))))</f>
        <v>1.06344495004121</v>
      </c>
      <c r="G1003" s="52" t="n">
        <f aca="false">IF($G$11=$E$11,$F$11,IF(U1003&lt;($F$11-$E$11)/($G$11-$E$11),$E$11+SQRT(U1003*($G$11-$E$11)*($F$11-$E$11)),$G$11-SQRT((1-U1003)*($G$11-$E$11)*($G$11-$F$11))))</f>
        <v>0.0966042324356771</v>
      </c>
      <c r="H1003" s="53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-2126889900.08242</v>
      </c>
      <c r="I1003" s="53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-29358386.8286437</v>
      </c>
      <c r="J1003" s="53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245783423.069578</v>
      </c>
      <c r="K1003" s="53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574097480.469859</v>
      </c>
      <c r="L1003" s="53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697366865.16302</v>
      </c>
      <c r="M1003" s="53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870921829.495329</v>
      </c>
      <c r="N1003" s="53" t="n">
        <f aca="false">IF(COUNT('Business Case'!B11:G11)=0,"",H1003+NPV(G1003,I1003:M1003))</f>
        <v>-482490859.498217</v>
      </c>
      <c r="P1003" s="54" t="n">
        <f aca="true">RAND()</f>
        <v>0.248223100132239</v>
      </c>
      <c r="Q1003" s="54" t="n">
        <f aca="true">RAND()</f>
        <v>0.289896984159463</v>
      </c>
      <c r="R1003" s="54" t="n">
        <f aca="true">RAND()</f>
        <v>0.136765874105855</v>
      </c>
      <c r="S1003" s="54" t="n">
        <f aca="true">RAND()</f>
        <v>0.896701704712043</v>
      </c>
      <c r="T1003" s="54" t="n">
        <f aca="true">RAND()</f>
        <v>0.627054366615037</v>
      </c>
      <c r="U1003" s="54" t="n">
        <f aca="true">RAND()</f>
        <v>0.145386286881497</v>
      </c>
    </row>
    <row r="1004" customFormat="false" ht="15" hidden="false" customHeight="false" outlineLevel="0" collapsed="false">
      <c r="A1004" s="50" t="n">
        <v>924</v>
      </c>
      <c r="B1004" s="51" t="n">
        <f aca="false">1+IF($G$6=$E$6,$F$6,IF(P1004&lt;($F$6-$E$6)/($G$6-$E$6),$E$6+SQRT(P1004*($G$6-$E$6)*($F$6-$E$6)),$G$6-SQRT((1-P1004)*($G$6-$E$6)*($G$6-$F$6))))</f>
        <v>1.017250482154</v>
      </c>
      <c r="C1004" s="51" t="n">
        <f aca="false">1+IF($G$7=$E$7,$F$7,IF(Q1004&lt;($F$7-$E$7)/($G$7-$E$7),$E$7+SQRT(Q1004*($G$7-$E$7)*($F$7-$E$7)),$G$7-SQRT((1-Q1004)*($G$7-$E$7)*($G$7-$F$7))))</f>
        <v>0.938133831566253</v>
      </c>
      <c r="D1004" s="51" t="n">
        <f aca="false">1+IF($G$8=$E$8,$F$8,IF(R1004&lt;($F$8-$E$8)/($G$8-$E$8),$E$8+SQRT(R1004*($G$8-$E$8)*($F$8-$E$8)),$G$8-SQRT((1-R1004)*($G$8-$E$8)*($G$8-$F$8))))</f>
        <v>1.02679266504434</v>
      </c>
      <c r="E1004" s="51" t="n">
        <f aca="false">1+IF($G$9=$E$9,$F$9,IF(S1004&lt;($F$9-$E$9)/($G$9-$E$9),$E$9+SQRT(S1004*($G$9-$E$9)*($F$9-$E$9)),$G$9-SQRT((1-S1004)*($G$9-$E$9)*($G$9-$F$9))))</f>
        <v>0.999353083100841</v>
      </c>
      <c r="F1004" s="51" t="n">
        <f aca="false">1+IF($G$10=$E$10,$F$10,IF(T1004&lt;($F$10-$E$10)/($G$10-$E$10),$E$10+SQRT(T1004*($G$10-$E$10)*($F$10-$E$10)),$G$10-SQRT((1-T1004)*($G$10-$E$10)*($G$10-$F$10))))</f>
        <v>1.10181257678472</v>
      </c>
      <c r="G1004" s="52" t="n">
        <f aca="false">IF($G$11=$E$11,$F$11,IF(U1004&lt;($F$11-$E$11)/($G$11-$E$11),$E$11+SQRT(U1004*($G$11-$E$11)*($F$11-$E$11)),$G$11-SQRT((1-U1004)*($G$11-$E$11)*($G$11-$F$11))))</f>
        <v>0.0920011676451868</v>
      </c>
      <c r="H1004" s="53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-2203625153.56945</v>
      </c>
      <c r="I1004" s="53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-13223288.8644925</v>
      </c>
      <c r="J1004" s="53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275314486.440888</v>
      </c>
      <c r="K1004" s="53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618942890.585505</v>
      </c>
      <c r="L1004" s="53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748103347.73694</v>
      </c>
      <c r="M1004" s="53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929499940.676631</v>
      </c>
      <c r="N1004" s="53" t="n">
        <f aca="false">IF(COUNT('Business Case'!B11:G11)=0,"",H1004+NPV(G1004,I1004:M1004))</f>
        <v>-384844358.757161</v>
      </c>
      <c r="P1004" s="54" t="n">
        <f aca="true">RAND()</f>
        <v>0.892179049536341</v>
      </c>
      <c r="Q1004" s="54" t="n">
        <f aca="true">RAND()</f>
        <v>0.272585077473913</v>
      </c>
      <c r="R1004" s="54" t="n">
        <f aca="true">RAND()</f>
        <v>0.727786491049661</v>
      </c>
      <c r="S1004" s="54" t="n">
        <f aca="true">RAND()</f>
        <v>0.324763574874473</v>
      </c>
      <c r="T1004" s="54" t="n">
        <f aca="true">RAND()</f>
        <v>0.807184598446883</v>
      </c>
      <c r="U1004" s="54" t="n">
        <f aca="true">RAND()</f>
        <v>0.0133489064804751</v>
      </c>
    </row>
    <row r="1005" customFormat="false" ht="15" hidden="false" customHeight="false" outlineLevel="0" collapsed="false">
      <c r="A1005" s="50" t="n">
        <v>925</v>
      </c>
      <c r="B1005" s="51" t="n">
        <f aca="false">1+IF($G$6=$E$6,$F$6,IF(P1005&lt;($F$6-$E$6)/($G$6-$E$6),$E$6+SQRT(P1005*($G$6-$E$6)*($F$6-$E$6)),$G$6-SQRT((1-P1005)*($G$6-$E$6)*($G$6-$F$6))))</f>
        <v>0.956448472412543</v>
      </c>
      <c r="C1005" s="51" t="n">
        <f aca="false">1+IF($G$7=$E$7,$F$7,IF(Q1005&lt;($F$7-$E$7)/($G$7-$E$7),$E$7+SQRT(Q1005*($G$7-$E$7)*($F$7-$E$7)),$G$7-SQRT((1-Q1005)*($G$7-$E$7)*($G$7-$F$7))))</f>
        <v>0.862378289169867</v>
      </c>
      <c r="D1005" s="51" t="n">
        <f aca="false">1+IF($G$8=$E$8,$F$8,IF(R1005&lt;($F$8-$E$8)/($G$8-$E$8),$E$8+SQRT(R1005*($G$8-$E$8)*($F$8-$E$8)),$G$8-SQRT((1-R1005)*($G$8-$E$8)*($G$8-$F$8))))</f>
        <v>1.01810428435313</v>
      </c>
      <c r="E1005" s="51" t="n">
        <f aca="false">1+IF($G$9=$E$9,$F$9,IF(S1005&lt;($F$9-$E$9)/($G$9-$E$9),$E$9+SQRT(S1005*($G$9-$E$9)*($F$9-$E$9)),$G$9-SQRT((1-S1005)*($G$9-$E$9)*($G$9-$F$9))))</f>
        <v>0.988715626735428</v>
      </c>
      <c r="F1005" s="51" t="n">
        <f aca="false">1+IF($G$10=$E$10,$F$10,IF(T1005&lt;($F$10-$E$10)/($G$10-$E$10),$E$10+SQRT(T1005*($G$10-$E$10)*($F$10-$E$10)),$G$10-SQRT((1-T1005)*($G$10-$E$10)*($G$10-$F$10))))</f>
        <v>1.04030017592675</v>
      </c>
      <c r="G1005" s="52" t="n">
        <f aca="false">IF($G$11=$E$11,$F$11,IF(U1005&lt;($F$11-$E$11)/($G$11-$E$11),$E$11+SQRT(U1005*($G$11-$E$11)*($F$11-$E$11)),$G$11-SQRT((1-U1005)*($G$11-$E$11)*($G$11-$F$11))))</f>
        <v>0.111581024554438</v>
      </c>
      <c r="H1005" s="53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-2080600351.85351</v>
      </c>
      <c r="I1005" s="53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-61257945.1964206</v>
      </c>
      <c r="J1005" s="53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164868178.718591</v>
      </c>
      <c r="K1005" s="53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443009311.42994</v>
      </c>
      <c r="L1005" s="53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546890478.999596</v>
      </c>
      <c r="M1005" s="53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703672340.121851</v>
      </c>
      <c r="N1005" s="53" t="n">
        <f aca="false">IF(COUNT('Business Case'!B11:G11)=0,"",H1005+NPV(G1005,I1005:M1005))</f>
        <v>-906892044.183305</v>
      </c>
      <c r="P1005" s="54" t="n">
        <f aca="true">RAND()</f>
        <v>0.138384493875822</v>
      </c>
      <c r="Q1005" s="54" t="n">
        <f aca="true">RAND()</f>
        <v>0.0555864422822792</v>
      </c>
      <c r="R1005" s="54" t="n">
        <f aca="true">RAND()</f>
        <v>0.631626960054046</v>
      </c>
      <c r="S1005" s="54" t="n">
        <f aca="true">RAND()</f>
        <v>0.199853300468935</v>
      </c>
      <c r="T1005" s="54" t="n">
        <f aca="true">RAND()</f>
        <v>0.48991932381949</v>
      </c>
      <c r="U1005" s="54" t="n">
        <f aca="true">RAND()</f>
        <v>0.881868087411702</v>
      </c>
    </row>
    <row r="1006" customFormat="false" ht="15" hidden="false" customHeight="false" outlineLevel="0" collapsed="false">
      <c r="A1006" s="50" t="n">
        <v>926</v>
      </c>
      <c r="B1006" s="51" t="n">
        <f aca="false">1+IF($G$6=$E$6,$F$6,IF(P1006&lt;($F$6-$E$6)/($G$6-$E$6),$E$6+SQRT(P1006*($G$6-$E$6)*($F$6-$E$6)),$G$6-SQRT((1-P1006)*($G$6-$E$6)*($G$6-$F$6))))</f>
        <v>0.961471233642353</v>
      </c>
      <c r="C1006" s="51" t="n">
        <f aca="false">1+IF($G$7=$E$7,$F$7,IF(Q1006&lt;($F$7-$E$7)/($G$7-$E$7),$E$7+SQRT(Q1006*($G$7-$E$7)*($F$7-$E$7)),$G$7-SQRT((1-Q1006)*($G$7-$E$7)*($G$7-$F$7))))</f>
        <v>0.926563593904097</v>
      </c>
      <c r="D1006" s="51" t="n">
        <f aca="false">1+IF($G$8=$E$8,$F$8,IF(R1006&lt;($F$8-$E$8)/($G$8-$E$8),$E$8+SQRT(R1006*($G$8-$E$8)*($F$8-$E$8)),$G$8-SQRT((1-R1006)*($G$8-$E$8)*($G$8-$F$8))))</f>
        <v>0.960771172257997</v>
      </c>
      <c r="E1006" s="51" t="n">
        <f aca="false">1+IF($G$9=$E$9,$F$9,IF(S1006&lt;($F$9-$E$9)/($G$9-$E$9),$E$9+SQRT(S1006*($G$9-$E$9)*($F$9-$E$9)),$G$9-SQRT((1-S1006)*($G$9-$E$9)*($G$9-$F$9))))</f>
        <v>1.07267470492318</v>
      </c>
      <c r="F1006" s="51" t="n">
        <f aca="false">1+IF($G$10=$E$10,$F$10,IF(T1006&lt;($F$10-$E$10)/($G$10-$E$10),$E$10+SQRT(T1006*($G$10-$E$10)*($F$10-$E$10)),$G$10-SQRT((1-T1006)*($G$10-$E$10)*($G$10-$F$10))))</f>
        <v>0.988801605742178</v>
      </c>
      <c r="G1006" s="52" t="n">
        <f aca="false">IF($G$11=$E$11,$F$11,IF(U1006&lt;($F$11-$E$11)/($G$11-$E$11),$E$11+SQRT(U1006*($G$11-$E$11)*($F$11-$E$11)),$G$11-SQRT((1-U1006)*($G$11-$E$11)*($G$11-$F$11))))</f>
        <v>0.0988515787364531</v>
      </c>
      <c r="H1006" s="53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-1977603211.48436</v>
      </c>
      <c r="I1006" s="53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-23634114.7220127</v>
      </c>
      <c r="J1006" s="53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250328676.458912</v>
      </c>
      <c r="K1006" s="53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573731547.926945</v>
      </c>
      <c r="L1006" s="53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695840746.513015</v>
      </c>
      <c r="M1006" s="53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865176221.571371</v>
      </c>
      <c r="N1006" s="53" t="n">
        <f aca="false">IF(COUNT('Business Case'!B11:G11)=0,"",H1006+NPV(G1006,I1006:M1006))</f>
        <v>-342111473.112117</v>
      </c>
      <c r="P1006" s="54" t="n">
        <f aca="true">RAND()</f>
        <v>0.179152418731104</v>
      </c>
      <c r="Q1006" s="54" t="n">
        <f aca="true">RAND()</f>
        <v>0.228833475741733</v>
      </c>
      <c r="R1006" s="54" t="n">
        <f aca="true">RAND()</f>
        <v>0.0178489464325309</v>
      </c>
      <c r="S1006" s="54" t="n">
        <f aca="true">RAND()</f>
        <v>0.950221883264322</v>
      </c>
      <c r="T1006" s="54" t="n">
        <f aca="true">RAND()</f>
        <v>0.120445168653711</v>
      </c>
      <c r="U1006" s="54" t="n">
        <f aca="true">RAND()</f>
        <v>0.261168153758763</v>
      </c>
    </row>
    <row r="1007" customFormat="false" ht="15" hidden="false" customHeight="false" outlineLevel="0" collapsed="false">
      <c r="A1007" s="50" t="n">
        <v>927</v>
      </c>
      <c r="B1007" s="51" t="n">
        <f aca="false">1+IF($G$6=$E$6,$F$6,IF(P1007&lt;($F$6-$E$6)/($G$6-$E$6),$E$6+SQRT(P1007*($G$6-$E$6)*($F$6-$E$6)),$G$6-SQRT((1-P1007)*($G$6-$E$6)*($G$6-$F$6))))</f>
        <v>0.957598514426999</v>
      </c>
      <c r="C1007" s="51" t="n">
        <f aca="false">1+IF($G$7=$E$7,$F$7,IF(Q1007&lt;($F$7-$E$7)/($G$7-$E$7),$E$7+SQRT(Q1007*($G$7-$E$7)*($F$7-$E$7)),$G$7-SQRT((1-Q1007)*($G$7-$E$7)*($G$7-$F$7))))</f>
        <v>0.935065727582596</v>
      </c>
      <c r="D1007" s="51" t="n">
        <f aca="false">1+IF($G$8=$E$8,$F$8,IF(R1007&lt;($F$8-$E$8)/($G$8-$E$8),$E$8+SQRT(R1007*($G$8-$E$8)*($F$8-$E$8)),$G$8-SQRT((1-R1007)*($G$8-$E$8)*($G$8-$F$8))))</f>
        <v>1.02988170892696</v>
      </c>
      <c r="E1007" s="51" t="n">
        <f aca="false">1+IF($G$9=$E$9,$F$9,IF(S1007&lt;($F$9-$E$9)/($G$9-$E$9),$E$9+SQRT(S1007*($G$9-$E$9)*($F$9-$E$9)),$G$9-SQRT((1-S1007)*($G$9-$E$9)*($G$9-$F$9))))</f>
        <v>0.997380244626226</v>
      </c>
      <c r="F1007" s="51" t="n">
        <f aca="false">1+IF($G$10=$E$10,$F$10,IF(T1007&lt;($F$10-$E$10)/($G$10-$E$10),$E$10+SQRT(T1007*($G$10-$E$10)*($F$10-$E$10)),$G$10-SQRT((1-T1007)*($G$10-$E$10)*($G$10-$F$10))))</f>
        <v>1.080518216534</v>
      </c>
      <c r="G1007" s="52" t="n">
        <f aca="false">IF($G$11=$E$11,$F$11,IF(U1007&lt;($F$11-$E$11)/($G$11-$E$11),$E$11+SQRT(U1007*($G$11-$E$11)*($F$11-$E$11)),$G$11-SQRT((1-U1007)*($G$11-$E$11)*($G$11-$F$11))))</f>
        <v>0.107484942812118</v>
      </c>
      <c r="H1007" s="53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-2161036433.06799</v>
      </c>
      <c r="I1007" s="53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-55868882.7186511</v>
      </c>
      <c r="J1007" s="53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184559972.878171</v>
      </c>
      <c r="K1007" s="53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479014739.301693</v>
      </c>
      <c r="L1007" s="53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590103321.751449</v>
      </c>
      <c r="M1007" s="53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760304289.964271</v>
      </c>
      <c r="N1007" s="53" t="n">
        <f aca="false">IF(COUNT('Business Case'!B11:G11)=0,"",H1007+NPV(G1007,I1007:M1007))</f>
        <v>-859753133.378359</v>
      </c>
      <c r="P1007" s="54" t="n">
        <f aca="true">RAND()</f>
        <v>0.14725502990805</v>
      </c>
      <c r="Q1007" s="54" t="n">
        <f aca="true">RAND()</f>
        <v>0.260610725248801</v>
      </c>
      <c r="R1007" s="54" t="n">
        <f aca="true">RAND()</f>
        <v>0.758476624992117</v>
      </c>
      <c r="S1007" s="54" t="n">
        <f aca="true">RAND()</f>
        <v>0.299318344112133</v>
      </c>
      <c r="T1007" s="54" t="n">
        <f aca="true">RAND()</f>
        <v>0.714482068395655</v>
      </c>
      <c r="U1007" s="54" t="n">
        <f aca="true">RAND()</f>
        <v>0.738955572640054</v>
      </c>
    </row>
    <row r="1008" customFormat="false" ht="15" hidden="false" customHeight="false" outlineLevel="0" collapsed="false">
      <c r="A1008" s="50" t="n">
        <v>928</v>
      </c>
      <c r="B1008" s="51" t="n">
        <f aca="false">1+IF($G$6=$E$6,$F$6,IF(P1008&lt;($F$6-$E$6)/($G$6-$E$6),$E$6+SQRT(P1008*($G$6-$E$6)*($F$6-$E$6)),$G$6-SQRT((1-P1008)*($G$6-$E$6)*($G$6-$F$6))))</f>
        <v>1.00099253632101</v>
      </c>
      <c r="C1008" s="51" t="n">
        <f aca="false">1+IF($G$7=$E$7,$F$7,IF(Q1008&lt;($F$7-$E$7)/($G$7-$E$7),$E$7+SQRT(Q1008*($G$7-$E$7)*($F$7-$E$7)),$G$7-SQRT((1-Q1008)*($G$7-$E$7)*($G$7-$F$7))))</f>
        <v>1.03020548584148</v>
      </c>
      <c r="D1008" s="51" t="n">
        <f aca="false">1+IF($G$8=$E$8,$F$8,IF(R1008&lt;($F$8-$E$8)/($G$8-$E$8),$E$8+SQRT(R1008*($G$8-$E$8)*($F$8-$E$8)),$G$8-SQRT((1-R1008)*($G$8-$E$8)*($G$8-$F$8))))</f>
        <v>0.999444633136718</v>
      </c>
      <c r="E1008" s="51" t="n">
        <f aca="false">1+IF($G$9=$E$9,$F$9,IF(S1008&lt;($F$9-$E$9)/($G$9-$E$9),$E$9+SQRT(S1008*($G$9-$E$9)*($F$9-$E$9)),$G$9-SQRT((1-S1008)*($G$9-$E$9)*($G$9-$F$9))))</f>
        <v>1.02564868749517</v>
      </c>
      <c r="F1008" s="51" t="n">
        <f aca="false">1+IF($G$10=$E$10,$F$10,IF(T1008&lt;($F$10-$E$10)/($G$10-$E$10),$E$10+SQRT(T1008*($G$10-$E$10)*($F$10-$E$10)),$G$10-SQRT((1-T1008)*($G$10-$E$10)*($G$10-$F$10))))</f>
        <v>0.987698502964454</v>
      </c>
      <c r="G1008" s="52" t="n">
        <f aca="false">IF($G$11=$E$11,$F$11,IF(U1008&lt;($F$11-$E$11)/($G$11-$E$11),$E$11+SQRT(U1008*($G$11-$E$11)*($F$11-$E$11)),$G$11-SQRT((1-U1008)*($G$11-$E$11)*($G$11-$F$11))))</f>
        <v>0.104903849876485</v>
      </c>
      <c r="H1008" s="53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-1975397005.92891</v>
      </c>
      <c r="I1008" s="53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19484127.5440783</v>
      </c>
      <c r="J1008" s="53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337044208.380685</v>
      </c>
      <c r="K1008" s="53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703989214.365514</v>
      </c>
      <c r="L1008" s="53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845481814.400562</v>
      </c>
      <c r="M1008" s="53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1041497633.05955</v>
      </c>
      <c r="N1008" s="53" t="n">
        <f aca="false">IF(COUNT('Business Case'!B11:G11)=0,"",H1008+NPV(G1008,I1008:M1008))</f>
        <v>39981028.4910691</v>
      </c>
      <c r="P1008" s="54" t="n">
        <f aca="true">RAND()</f>
        <v>0.68300370361085</v>
      </c>
      <c r="Q1008" s="54" t="n">
        <f aca="true">RAND()</f>
        <v>0.726652845286153</v>
      </c>
      <c r="R1008" s="54" t="n">
        <f aca="true">RAND()</f>
        <v>0.376118730157632</v>
      </c>
      <c r="S1008" s="54" t="n">
        <f aca="true">RAND()</f>
        <v>0.631458821920608</v>
      </c>
      <c r="T1008" s="54" t="n">
        <f aca="true">RAND()</f>
        <v>0.113694170060878</v>
      </c>
      <c r="U1008" s="54" t="n">
        <f aca="true">RAND()</f>
        <v>0.620177085747177</v>
      </c>
    </row>
    <row r="1009" customFormat="false" ht="15" hidden="false" customHeight="false" outlineLevel="0" collapsed="false">
      <c r="A1009" s="50" t="n">
        <v>929</v>
      </c>
      <c r="B1009" s="51" t="n">
        <f aca="false">1+IF($G$6=$E$6,$F$6,IF(P1009&lt;($F$6-$E$6)/($G$6-$E$6),$E$6+SQRT(P1009*($G$6-$E$6)*($F$6-$E$6)),$G$6-SQRT((1-P1009)*($G$6-$E$6)*($G$6-$F$6))))</f>
        <v>1.00269744711219</v>
      </c>
      <c r="C1009" s="51" t="n">
        <f aca="false">1+IF($G$7=$E$7,$F$7,IF(Q1009&lt;($F$7-$E$7)/($G$7-$E$7),$E$7+SQRT(Q1009*($G$7-$E$7)*($F$7-$E$7)),$G$7-SQRT((1-Q1009)*($G$7-$E$7)*($G$7-$F$7))))</f>
        <v>0.995437616856345</v>
      </c>
      <c r="D1009" s="51" t="n">
        <f aca="false">1+IF($G$8=$E$8,$F$8,IF(R1009&lt;($F$8-$E$8)/($G$8-$E$8),$E$8+SQRT(R1009*($G$8-$E$8)*($F$8-$E$8)),$G$8-SQRT((1-R1009)*($G$8-$E$8)*($G$8-$F$8))))</f>
        <v>1.04491526159544</v>
      </c>
      <c r="E1009" s="51" t="n">
        <f aca="false">1+IF($G$9=$E$9,$F$9,IF(S1009&lt;($F$9-$E$9)/($G$9-$E$9),$E$9+SQRT(S1009*($G$9-$E$9)*($F$9-$E$9)),$G$9-SQRT((1-S1009)*($G$9-$E$9)*($G$9-$F$9))))</f>
        <v>1.03873579260829</v>
      </c>
      <c r="F1009" s="51" t="n">
        <f aca="false">1+IF($G$10=$E$10,$F$10,IF(T1009&lt;($F$10-$E$10)/($G$10-$E$10),$E$10+SQRT(T1009*($G$10-$E$10)*($F$10-$E$10)),$G$10-SQRT((1-T1009)*($G$10-$E$10)*($G$10-$F$10))))</f>
        <v>1.01759011372641</v>
      </c>
      <c r="G1009" s="52" t="n">
        <f aca="false">IF($G$11=$E$11,$F$11,IF(U1009&lt;($F$11-$E$11)/($G$11-$E$11),$E$11+SQRT(U1009*($G$11-$E$11)*($F$11-$E$11)),$G$11-SQRT((1-U1009)*($G$11-$E$11)*($G$11-$F$11))))</f>
        <v>0.104308778510102</v>
      </c>
      <c r="H1009" s="53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-2035180227.45282</v>
      </c>
      <c r="I1009" s="53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-16148064.4107141</v>
      </c>
      <c r="J1009" s="53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268913795.992391</v>
      </c>
      <c r="K1009" s="53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604855162.081816</v>
      </c>
      <c r="L1009" s="53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734370904.704371</v>
      </c>
      <c r="M1009" s="53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924094078.389393</v>
      </c>
      <c r="N1009" s="53" t="n">
        <f aca="false">IF(COUNT('Business Case'!B11:G11)=0,"",H1009+NPV(G1009,I1009:M1009))</f>
        <v>-323667795.343261</v>
      </c>
      <c r="P1009" s="54" t="n">
        <f aca="true">RAND()</f>
        <v>0.71010823917759</v>
      </c>
      <c r="Q1009" s="54" t="n">
        <f aca="true">RAND()</f>
        <v>0.545655172606961</v>
      </c>
      <c r="R1009" s="54" t="n">
        <f aca="true">RAND()</f>
        <v>0.881640493373391</v>
      </c>
      <c r="S1009" s="54" t="n">
        <f aca="true">RAND()</f>
        <v>0.749779792844392</v>
      </c>
      <c r="T1009" s="54" t="n">
        <f aca="true">RAND()</f>
        <v>0.334532667793122</v>
      </c>
      <c r="U1009" s="54" t="n">
        <f aca="true">RAND()</f>
        <v>0.589642613591628</v>
      </c>
    </row>
    <row r="1010" customFormat="false" ht="15" hidden="false" customHeight="false" outlineLevel="0" collapsed="false">
      <c r="A1010" s="50" t="n">
        <v>930</v>
      </c>
      <c r="B1010" s="51" t="n">
        <f aca="false">1+IF($G$6=$E$6,$F$6,IF(P1010&lt;($F$6-$E$6)/($G$6-$E$6),$E$6+SQRT(P1010*($G$6-$E$6)*($F$6-$E$6)),$G$6-SQRT((1-P1010)*($G$6-$E$6)*($G$6-$F$6))))</f>
        <v>0.997482629928712</v>
      </c>
      <c r="C1010" s="51" t="n">
        <f aca="false">1+IF($G$7=$E$7,$F$7,IF(Q1010&lt;($F$7-$E$7)/($G$7-$E$7),$E$7+SQRT(Q1010*($G$7-$E$7)*($F$7-$E$7)),$G$7-SQRT((1-Q1010)*($G$7-$E$7)*($G$7-$F$7))))</f>
        <v>1.02124612120242</v>
      </c>
      <c r="D1010" s="51" t="n">
        <f aca="false">1+IF($G$8=$E$8,$F$8,IF(R1010&lt;($F$8-$E$8)/($G$8-$E$8),$E$8+SQRT(R1010*($G$8-$E$8)*($F$8-$E$8)),$G$8-SQRT((1-R1010)*($G$8-$E$8)*($G$8-$F$8))))</f>
        <v>1.02741611887882</v>
      </c>
      <c r="E1010" s="51" t="n">
        <f aca="false">1+IF($G$9=$E$9,$F$9,IF(S1010&lt;($F$9-$E$9)/($G$9-$E$9),$E$9+SQRT(S1010*($G$9-$E$9)*($F$9-$E$9)),$G$9-SQRT((1-S1010)*($G$9-$E$9)*($G$9-$F$9))))</f>
        <v>0.976141555830236</v>
      </c>
      <c r="F1010" s="51" t="n">
        <f aca="false">1+IF($G$10=$E$10,$F$10,IF(T1010&lt;($F$10-$E$10)/($G$10-$E$10),$E$10+SQRT(T1010*($G$10-$E$10)*($F$10-$E$10)),$G$10-SQRT((1-T1010)*($G$10-$E$10)*($G$10-$F$10))))</f>
        <v>1.09321428225771</v>
      </c>
      <c r="G1010" s="52" t="n">
        <f aca="false">IF($G$11=$E$11,$F$11,IF(U1010&lt;($F$11-$E$11)/($G$11-$E$11),$E$11+SQRT(U1010*($G$11-$E$11)*($F$11-$E$11)),$G$11-SQRT((1-U1010)*($G$11-$E$11)*($G$11-$F$11))))</f>
        <v>0.095275824535415</v>
      </c>
      <c r="H1010" s="53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-2186428564.51541</v>
      </c>
      <c r="I1010" s="53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-3697855.45154624</v>
      </c>
      <c r="J1010" s="53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293541172.39169</v>
      </c>
      <c r="K1010" s="53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645440914.347812</v>
      </c>
      <c r="L1010" s="53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779726007.515524</v>
      </c>
      <c r="M1010" s="53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973355802.225349</v>
      </c>
      <c r="N1010" s="53" t="n">
        <f aca="false">IF(COUNT('Business Case'!B11:G11)=0,"",H1010+NPV(G1010,I1010:M1010))</f>
        <v>-294544603.985662</v>
      </c>
      <c r="P1010" s="54" t="n">
        <f aca="true">RAND()</f>
        <v>0.625370618819762</v>
      </c>
      <c r="Q1010" s="54" t="n">
        <f aca="true">RAND()</f>
        <v>0.684236927515754</v>
      </c>
      <c r="R1010" s="54" t="n">
        <f aca="true">RAND()</f>
        <v>0.734128408291688</v>
      </c>
      <c r="S1010" s="54" t="n">
        <f aca="true">RAND()</f>
        <v>0.0911174588300465</v>
      </c>
      <c r="T1010" s="54" t="n">
        <f aca="true">RAND()</f>
        <v>0.771936209725261</v>
      </c>
      <c r="U1010" s="54" t="n">
        <f aca="true">RAND()</f>
        <v>0.0927810817616221</v>
      </c>
    </row>
    <row r="1011" customFormat="false" ht="15" hidden="false" customHeight="false" outlineLevel="0" collapsed="false">
      <c r="A1011" s="50" t="n">
        <v>931</v>
      </c>
      <c r="B1011" s="51" t="n">
        <f aca="false">1+IF($G$6=$E$6,$F$6,IF(P1011&lt;($F$6-$E$6)/($G$6-$E$6),$E$6+SQRT(P1011*($G$6-$E$6)*($F$6-$E$6)),$G$6-SQRT((1-P1011)*($G$6-$E$6)*($G$6-$F$6))))</f>
        <v>1.01203693498321</v>
      </c>
      <c r="C1011" s="51" t="n">
        <f aca="false">1+IF($G$7=$E$7,$F$7,IF(Q1011&lt;($F$7-$E$7)/($G$7-$E$7),$E$7+SQRT(Q1011*($G$7-$E$7)*($F$7-$E$7)),$G$7-SQRT((1-Q1011)*($G$7-$E$7)*($G$7-$F$7))))</f>
        <v>0.969106519126954</v>
      </c>
      <c r="D1011" s="51" t="n">
        <f aca="false">1+IF($G$8=$E$8,$F$8,IF(R1011&lt;($F$8-$E$8)/($G$8-$E$8),$E$8+SQRT(R1011*($G$8-$E$8)*($F$8-$E$8)),$G$8-SQRT((1-R1011)*($G$8-$E$8)*($G$8-$F$8))))</f>
        <v>0.97843302928973</v>
      </c>
      <c r="E1011" s="51" t="n">
        <f aca="false">1+IF($G$9=$E$9,$F$9,IF(S1011&lt;($F$9-$E$9)/($G$9-$E$9),$E$9+SQRT(S1011*($G$9-$E$9)*($F$9-$E$9)),$G$9-SQRT((1-S1011)*($G$9-$E$9)*($G$9-$F$9))))</f>
        <v>1.02627418458532</v>
      </c>
      <c r="F1011" s="51" t="n">
        <f aca="false">1+IF($G$10=$E$10,$F$10,IF(T1011&lt;($F$10-$E$10)/($G$10-$E$10),$E$10+SQRT(T1011*($G$10-$E$10)*($F$10-$E$10)),$G$10-SQRT((1-T1011)*($G$10-$E$10)*($G$10-$F$10))))</f>
        <v>0.970199344877541</v>
      </c>
      <c r="G1011" s="52" t="n">
        <f aca="false">IF($G$11=$E$11,$F$11,IF(U1011&lt;($F$11-$E$11)/($G$11-$E$11),$E$11+SQRT(U1011*($G$11-$E$11)*($F$11-$E$11)),$G$11-SQRT((1-U1011)*($G$11-$E$11)*($G$11-$F$11))))</f>
        <v>0.0965701381830748</v>
      </c>
      <c r="H1011" s="53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-1940398689.75508</v>
      </c>
      <c r="I1011" s="53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24117698.9251387</v>
      </c>
      <c r="J1011" s="53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342034720.678512</v>
      </c>
      <c r="K1011" s="53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708461709.675761</v>
      </c>
      <c r="L1011" s="53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848329516.455184</v>
      </c>
      <c r="M1011" s="53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1034754580.52749</v>
      </c>
      <c r="N1011" s="53" t="n">
        <f aca="false">IF(COUNT('Business Case'!B11:G11)=0,"",H1011+NPV(G1011,I1011:M1011))</f>
        <v>142643614.124471</v>
      </c>
      <c r="P1011" s="54" t="n">
        <f aca="true">RAND()</f>
        <v>0.837097290597275</v>
      </c>
      <c r="Q1011" s="54" t="n">
        <f aca="true">RAND()</f>
        <v>0.40852878301764</v>
      </c>
      <c r="R1011" s="54" t="n">
        <f aca="true">RAND()</f>
        <v>0.1243749468601</v>
      </c>
      <c r="S1011" s="54" t="n">
        <f aca="true">RAND()</f>
        <v>0.637633609429386</v>
      </c>
      <c r="T1011" s="54" t="n">
        <f aca="true">RAND()</f>
        <v>0.0326410826785481</v>
      </c>
      <c r="U1011" s="54" t="n">
        <f aca="true">RAND()</f>
        <v>0.143889052482324</v>
      </c>
    </row>
    <row r="1012" customFormat="false" ht="15" hidden="false" customHeight="false" outlineLevel="0" collapsed="false">
      <c r="A1012" s="50" t="n">
        <v>932</v>
      </c>
      <c r="B1012" s="51" t="n">
        <f aca="false">1+IF($G$6=$E$6,$F$6,IF(P1012&lt;($F$6-$E$6)/($G$6-$E$6),$E$6+SQRT(P1012*($G$6-$E$6)*($F$6-$E$6)),$G$6-SQRT((1-P1012)*($G$6-$E$6)*($G$6-$F$6))))</f>
        <v>1.00225091020478</v>
      </c>
      <c r="C1012" s="51" t="n">
        <f aca="false">1+IF($G$7=$E$7,$F$7,IF(Q1012&lt;($F$7-$E$7)/($G$7-$E$7),$E$7+SQRT(Q1012*($G$7-$E$7)*($F$7-$E$7)),$G$7-SQRT((1-Q1012)*($G$7-$E$7)*($G$7-$F$7))))</f>
        <v>0.982340001301655</v>
      </c>
      <c r="D1012" s="51" t="n">
        <f aca="false">1+IF($G$8=$E$8,$F$8,IF(R1012&lt;($F$8-$E$8)/($G$8-$E$8),$E$8+SQRT(R1012*($G$8-$E$8)*($F$8-$E$8)),$G$8-SQRT((1-R1012)*($G$8-$E$8)*($G$8-$F$8))))</f>
        <v>0.99816193085131</v>
      </c>
      <c r="E1012" s="51" t="n">
        <f aca="false">1+IF($G$9=$E$9,$F$9,IF(S1012&lt;($F$9-$E$9)/($G$9-$E$9),$E$9+SQRT(S1012*($G$9-$E$9)*($F$9-$E$9)),$G$9-SQRT((1-S1012)*($G$9-$E$9)*($G$9-$F$9))))</f>
        <v>0.988682818758721</v>
      </c>
      <c r="F1012" s="51" t="n">
        <f aca="false">1+IF($G$10=$E$10,$F$10,IF(T1012&lt;($F$10-$E$10)/($G$10-$E$10),$E$10+SQRT(T1012*($G$10-$E$10)*($F$10-$E$10)),$G$10-SQRT((1-T1012)*($G$10-$E$10)*($G$10-$F$10))))</f>
        <v>1.02967694096512</v>
      </c>
      <c r="G1012" s="52" t="n">
        <f aca="false">IF($G$11=$E$11,$F$11,IF(U1012&lt;($F$11-$E$11)/($G$11-$E$11),$E$11+SQRT(U1012*($G$11-$E$11)*($F$11-$E$11)),$G$11-SQRT((1-U1012)*($G$11-$E$11)*($G$11-$F$11))))</f>
        <v>0.107100607703411</v>
      </c>
      <c r="H1012" s="53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-2059353881.93024</v>
      </c>
      <c r="I1012" s="53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9865598.81508288</v>
      </c>
      <c r="J1012" s="53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314328720.711126</v>
      </c>
      <c r="K1012" s="53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670275689.655425</v>
      </c>
      <c r="L1012" s="53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805789485.058745</v>
      </c>
      <c r="M1012" s="53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992932969.634258</v>
      </c>
      <c r="N1012" s="53" t="n">
        <f aca="false">IF(COUNT('Business Case'!B11:G11)=0,"",H1012+NPV(G1012,I1012:M1012))</f>
        <v>-166633182.261174</v>
      </c>
      <c r="P1012" s="54" t="n">
        <f aca="true">RAND()</f>
        <v>0.703126295756735</v>
      </c>
      <c r="Q1012" s="54" t="n">
        <f aca="true">RAND()</f>
        <v>0.474969658209825</v>
      </c>
      <c r="R1012" s="54" t="n">
        <f aca="true">RAND()</f>
        <v>0.356857166665594</v>
      </c>
      <c r="S1012" s="54" t="n">
        <f aca="true">RAND()</f>
        <v>0.19951472894934</v>
      </c>
      <c r="T1012" s="54" t="n">
        <f aca="true">RAND()</f>
        <v>0.419801111220028</v>
      </c>
      <c r="U1012" s="54" t="n">
        <f aca="true">RAND()</f>
        <v>0.722676130631178</v>
      </c>
    </row>
    <row r="1013" customFormat="false" ht="15" hidden="false" customHeight="false" outlineLevel="0" collapsed="false">
      <c r="A1013" s="50" t="n">
        <v>933</v>
      </c>
      <c r="B1013" s="51" t="n">
        <f aca="false">1+IF($G$6=$E$6,$F$6,IF(P1013&lt;($F$6-$E$6)/($G$6-$E$6),$E$6+SQRT(P1013*($G$6-$E$6)*($F$6-$E$6)),$G$6-SQRT((1-P1013)*($G$6-$E$6)*($G$6-$F$6))))</f>
        <v>0.995279630450747</v>
      </c>
      <c r="C1013" s="51" t="n">
        <f aca="false">1+IF($G$7=$E$7,$F$7,IF(Q1013&lt;($F$7-$E$7)/($G$7-$E$7),$E$7+SQRT(Q1013*($G$7-$E$7)*($F$7-$E$7)),$G$7-SQRT((1-Q1013)*($G$7-$E$7)*($G$7-$F$7))))</f>
        <v>0.949814154671369</v>
      </c>
      <c r="D1013" s="51" t="n">
        <f aca="false">1+IF($G$8=$E$8,$F$8,IF(R1013&lt;($F$8-$E$8)/($G$8-$E$8),$E$8+SQRT(R1013*($G$8-$E$8)*($F$8-$E$8)),$G$8-SQRT((1-R1013)*($G$8-$E$8)*($G$8-$F$8))))</f>
        <v>0.973552644953763</v>
      </c>
      <c r="E1013" s="51" t="n">
        <f aca="false">1+IF($G$9=$E$9,$F$9,IF(S1013&lt;($F$9-$E$9)/($G$9-$E$9),$E$9+SQRT(S1013*($G$9-$E$9)*($F$9-$E$9)),$G$9-SQRT((1-S1013)*($G$9-$E$9)*($G$9-$F$9))))</f>
        <v>1.08351885581482</v>
      </c>
      <c r="F1013" s="51" t="n">
        <f aca="false">1+IF($G$10=$E$10,$F$10,IF(T1013&lt;($F$10-$E$10)/($G$10-$E$10),$E$10+SQRT(T1013*($G$10-$E$10)*($F$10-$E$10)),$G$10-SQRT((1-T1013)*($G$10-$E$10)*($G$10-$F$10))))</f>
        <v>0.967113767598887</v>
      </c>
      <c r="G1013" s="52" t="n">
        <f aca="false">IF($G$11=$E$11,$F$11,IF(U1013&lt;($F$11-$E$11)/($G$11-$E$11),$E$11+SQRT(U1013*($G$11-$E$11)*($F$11-$E$11)),$G$11-SQRT((1-U1013)*($G$11-$E$11)*($G$11-$F$11))))</f>
        <v>0.104585765778616</v>
      </c>
      <c r="H1013" s="53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-1934227535.19777</v>
      </c>
      <c r="I1013" s="53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1130796.16869378</v>
      </c>
      <c r="J1013" s="53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302055292.889834</v>
      </c>
      <c r="K1013" s="53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651335477.990918</v>
      </c>
      <c r="L1013" s="53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784314271.895091</v>
      </c>
      <c r="M1013" s="53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964002727.712619</v>
      </c>
      <c r="N1013" s="53" t="n">
        <f aca="false">IF(COUNT('Business Case'!B11:G11)=0,"",H1013+NPV(G1013,I1013:M1013))</f>
        <v>-89247253.2852814</v>
      </c>
      <c r="P1013" s="54" t="n">
        <f aca="true">RAND()</f>
        <v>0.590314870916778</v>
      </c>
      <c r="Q1013" s="54" t="n">
        <f aca="true">RAND()</f>
        <v>0.320632584855672</v>
      </c>
      <c r="R1013" s="54" t="n">
        <f aca="true">RAND()</f>
        <v>0.0853426283566171</v>
      </c>
      <c r="S1013" s="54" t="n">
        <f aca="true">RAND()</f>
        <v>0.981891459089826</v>
      </c>
      <c r="T1013" s="54" t="n">
        <f aca="true">RAND()</f>
        <v>0.0234304833142981</v>
      </c>
      <c r="U1013" s="54" t="n">
        <f aca="true">RAND()</f>
        <v>0.604002305613843</v>
      </c>
    </row>
    <row r="1014" customFormat="false" ht="15" hidden="false" customHeight="false" outlineLevel="0" collapsed="false">
      <c r="A1014" s="50" t="n">
        <v>934</v>
      </c>
      <c r="B1014" s="51" t="n">
        <f aca="false">1+IF($G$6=$E$6,$F$6,IF(P1014&lt;($F$6-$E$6)/($G$6-$E$6),$E$6+SQRT(P1014*($G$6-$E$6)*($F$6-$E$6)),$G$6-SQRT((1-P1014)*($G$6-$E$6)*($G$6-$F$6))))</f>
        <v>1.01025206890096</v>
      </c>
      <c r="C1014" s="51" t="n">
        <f aca="false">1+IF($G$7=$E$7,$F$7,IF(Q1014&lt;($F$7-$E$7)/($G$7-$E$7),$E$7+SQRT(Q1014*($G$7-$E$7)*($F$7-$E$7)),$G$7-SQRT((1-Q1014)*($G$7-$E$7)*($G$7-$F$7))))</f>
        <v>0.909929687117199</v>
      </c>
      <c r="D1014" s="51" t="n">
        <f aca="false">1+IF($G$8=$E$8,$F$8,IF(R1014&lt;($F$8-$E$8)/($G$8-$E$8),$E$8+SQRT(R1014*($G$8-$E$8)*($F$8-$E$8)),$G$8-SQRT((1-R1014)*($G$8-$E$8)*($G$8-$F$8))))</f>
        <v>0.976115889584263</v>
      </c>
      <c r="E1014" s="51" t="n">
        <f aca="false">1+IF($G$9=$E$9,$F$9,IF(S1014&lt;($F$9-$E$9)/($G$9-$E$9),$E$9+SQRT(S1014*($G$9-$E$9)*($F$9-$E$9)),$G$9-SQRT((1-S1014)*($G$9-$E$9)*($G$9-$F$9))))</f>
        <v>1.04062421462405</v>
      </c>
      <c r="F1014" s="51" t="n">
        <f aca="false">1+IF($G$10=$E$10,$F$10,IF(T1014&lt;($F$10-$E$10)/($G$10-$E$10),$E$10+SQRT(T1014*($G$10-$E$10)*($F$10-$E$10)),$G$10-SQRT((1-T1014)*($G$10-$E$10)*($G$10-$F$10))))</f>
        <v>1.07720964450124</v>
      </c>
      <c r="G1014" s="52" t="n">
        <f aca="false">IF($G$11=$E$11,$F$11,IF(U1014&lt;($F$11-$E$11)/($G$11-$E$11),$E$11+SQRT(U1014*($G$11-$E$11)*($F$11-$E$11)),$G$11-SQRT((1-U1014)*($G$11-$E$11)*($G$11-$F$11))))</f>
        <v>0.0905703920264414</v>
      </c>
      <c r="H1014" s="53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-2154419289.00247</v>
      </c>
      <c r="I1014" s="53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-5099025.34257439</v>
      </c>
      <c r="J1014" s="53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293154029.894838</v>
      </c>
      <c r="K1014" s="53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645267567.357311</v>
      </c>
      <c r="L1014" s="53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776454820.976664</v>
      </c>
      <c r="M1014" s="53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951187447.947846</v>
      </c>
      <c r="N1014" s="53" t="n">
        <f aca="false">IF(COUNT('Business Case'!B11:G11)=0,"",H1014+NPV(G1014,I1014:M1014))</f>
        <v>-249625557.465516</v>
      </c>
      <c r="P1014" s="54" t="n">
        <f aca="true">RAND()</f>
        <v>0.815637624026395</v>
      </c>
      <c r="Q1014" s="54" t="n">
        <f aca="true">RAND()</f>
        <v>0.172636230138361</v>
      </c>
      <c r="R1014" s="54" t="n">
        <f aca="true">RAND()</f>
        <v>0.104929182888833</v>
      </c>
      <c r="S1014" s="54" t="n">
        <f aca="true">RAND()</f>
        <v>0.764967740732631</v>
      </c>
      <c r="T1014" s="54" t="n">
        <f aca="true">RAND()</f>
        <v>0.698450571929739</v>
      </c>
      <c r="U1014" s="54" t="n">
        <f aca="true">RAND()</f>
        <v>0.00108449021275965</v>
      </c>
    </row>
    <row r="1015" customFormat="false" ht="15" hidden="false" customHeight="false" outlineLevel="0" collapsed="false">
      <c r="A1015" s="50" t="n">
        <v>935</v>
      </c>
      <c r="B1015" s="51" t="n">
        <f aca="false">1+IF($G$6=$E$6,$F$6,IF(P1015&lt;($F$6-$E$6)/($G$6-$E$6),$E$6+SQRT(P1015*($G$6-$E$6)*($F$6-$E$6)),$G$6-SQRT((1-P1015)*($G$6-$E$6)*($G$6-$F$6))))</f>
        <v>0.957034767442824</v>
      </c>
      <c r="C1015" s="51" t="n">
        <f aca="false">1+IF($G$7=$E$7,$F$7,IF(Q1015&lt;($F$7-$E$7)/($G$7-$E$7),$E$7+SQRT(Q1015*($G$7-$E$7)*($F$7-$E$7)),$G$7-SQRT((1-Q1015)*($G$7-$E$7)*($G$7-$F$7))))</f>
        <v>0.99127830640868</v>
      </c>
      <c r="D1015" s="51" t="n">
        <f aca="false">1+IF($G$8=$E$8,$F$8,IF(R1015&lt;($F$8-$E$8)/($G$8-$E$8),$E$8+SQRT(R1015*($G$8-$E$8)*($F$8-$E$8)),$G$8-SQRT((1-R1015)*($G$8-$E$8)*($G$8-$F$8))))</f>
        <v>1.06927895877131</v>
      </c>
      <c r="E1015" s="51" t="n">
        <f aca="false">1+IF($G$9=$E$9,$F$9,IF(S1015&lt;($F$9-$E$9)/($G$9-$E$9),$E$9+SQRT(S1015*($G$9-$E$9)*($F$9-$E$9)),$G$9-SQRT((1-S1015)*($G$9-$E$9)*($G$9-$F$9))))</f>
        <v>1.03190586758161</v>
      </c>
      <c r="F1015" s="51" t="n">
        <f aca="false">1+IF($G$10=$E$10,$F$10,IF(T1015&lt;($F$10-$E$10)/($G$10-$E$10),$E$10+SQRT(T1015*($G$10-$E$10)*($F$10-$E$10)),$G$10-SQRT((1-T1015)*($G$10-$E$10)*($G$10-$F$10))))</f>
        <v>1.04896094648599</v>
      </c>
      <c r="G1015" s="52" t="n">
        <f aca="false">IF($G$11=$E$11,$F$11,IF(U1015&lt;($F$11-$E$11)/($G$11-$E$11),$E$11+SQRT(U1015*($G$11-$E$11)*($F$11-$E$11)),$G$11-SQRT((1-U1015)*($G$11-$E$11)*($G$11-$F$11))))</f>
        <v>0.095718960483301</v>
      </c>
      <c r="H1015" s="53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-2097921892.97199</v>
      </c>
      <c r="I1015" s="53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-66380626.0517828</v>
      </c>
      <c r="J1015" s="53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168051832.645725</v>
      </c>
      <c r="K1015" s="53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454932338.667532</v>
      </c>
      <c r="L1015" s="53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565863142.053759</v>
      </c>
      <c r="M1015" s="53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746189719.732575</v>
      </c>
      <c r="N1015" s="53" t="n">
        <f aca="false">IF(COUNT('Business Case'!B11:G11)=0,"",H1015+NPV(G1015,I1015:M1015))</f>
        <v>-807696018.900691</v>
      </c>
      <c r="P1015" s="54" t="n">
        <f aca="true">RAND()</f>
        <v>0.142872291619175</v>
      </c>
      <c r="Q1015" s="54" t="n">
        <f aca="true">RAND()</f>
        <v>0.522677007179613</v>
      </c>
      <c r="R1015" s="54" t="n">
        <f aca="true">RAND()</f>
        <v>0.988948007208906</v>
      </c>
      <c r="S1015" s="54" t="n">
        <f aca="true">RAND()</f>
        <v>0.690879275345775</v>
      </c>
      <c r="T1015" s="54" t="n">
        <f aca="true">RAND()</f>
        <v>0.543744086271865</v>
      </c>
      <c r="U1015" s="54" t="n">
        <f aca="true">RAND()</f>
        <v>0.109021696698526</v>
      </c>
    </row>
    <row r="1016" customFormat="false" ht="15" hidden="false" customHeight="false" outlineLevel="0" collapsed="false">
      <c r="A1016" s="50" t="n">
        <v>936</v>
      </c>
      <c r="B1016" s="51" t="n">
        <f aca="false">1+IF($G$6=$E$6,$F$6,IF(P1016&lt;($F$6-$E$6)/($G$6-$E$6),$E$6+SQRT(P1016*($G$6-$E$6)*($F$6-$E$6)),$G$6-SQRT((1-P1016)*($G$6-$E$6)*($G$6-$F$6))))</f>
        <v>0.989049842350761</v>
      </c>
      <c r="C1016" s="51" t="n">
        <f aca="false">1+IF($G$7=$E$7,$F$7,IF(Q1016&lt;($F$7-$E$7)/($G$7-$E$7),$E$7+SQRT(Q1016*($G$7-$E$7)*($F$7-$E$7)),$G$7-SQRT((1-Q1016)*($G$7-$E$7)*($G$7-$F$7))))</f>
        <v>1.0025100350206</v>
      </c>
      <c r="D1016" s="51" t="n">
        <f aca="false">1+IF($G$8=$E$8,$F$8,IF(R1016&lt;($F$8-$E$8)/($G$8-$E$8),$E$8+SQRT(R1016*($G$8-$E$8)*($F$8-$E$8)),$G$8-SQRT((1-R1016)*($G$8-$E$8)*($G$8-$F$8))))</f>
        <v>1.05467773985132</v>
      </c>
      <c r="E1016" s="51" t="n">
        <f aca="false">1+IF($G$9=$E$9,$F$9,IF(S1016&lt;($F$9-$E$9)/($G$9-$E$9),$E$9+SQRT(S1016*($G$9-$E$9)*($F$9-$E$9)),$G$9-SQRT((1-S1016)*($G$9-$E$9)*($G$9-$F$9))))</f>
        <v>1.07503693561586</v>
      </c>
      <c r="F1016" s="51" t="n">
        <f aca="false">1+IF($G$10=$E$10,$F$10,IF(T1016&lt;($F$10-$E$10)/($G$10-$E$10),$E$10+SQRT(T1016*($G$10-$E$10)*($F$10-$E$10)),$G$10-SQRT((1-T1016)*($G$10-$E$10)*($G$10-$F$10))))</f>
        <v>1.12077345346058</v>
      </c>
      <c r="G1016" s="52" t="n">
        <f aca="false">IF($G$11=$E$11,$F$11,IF(U1016&lt;($F$11-$E$11)/($G$11-$E$11),$E$11+SQRT(U1016*($G$11-$E$11)*($F$11-$E$11)),$G$11-SQRT((1-U1016)*($G$11-$E$11)*($G$11-$F$11))))</f>
        <v>0.113799455017338</v>
      </c>
      <c r="H1016" s="53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-2241546906.92116</v>
      </c>
      <c r="I1016" s="53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-45478040.511393</v>
      </c>
      <c r="J1016" s="53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225392555.773905</v>
      </c>
      <c r="K1016" s="53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552301824.732232</v>
      </c>
      <c r="L1016" s="53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676859382.964703</v>
      </c>
      <c r="M1016" s="53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865329860.053584</v>
      </c>
      <c r="N1016" s="53" t="n">
        <f aca="false">IF(COUNT('Business Case'!B11:G11)=0,"",H1016+NPV(G1016,I1016:M1016))</f>
        <v>-756323810.965218</v>
      </c>
      <c r="P1016" s="54" t="n">
        <f aca="true">RAND()</f>
        <v>0.496654242569265</v>
      </c>
      <c r="Q1016" s="54" t="n">
        <f aca="true">RAND()</f>
        <v>0.585651623435702</v>
      </c>
      <c r="R1016" s="54" t="n">
        <f aca="true">RAND()</f>
        <v>0.938344532784844</v>
      </c>
      <c r="S1016" s="54" t="n">
        <f aca="true">RAND()</f>
        <v>0.958456361103536</v>
      </c>
      <c r="T1016" s="54" t="n">
        <f aca="true">RAND()</f>
        <v>0.874463086468742</v>
      </c>
      <c r="U1016" s="54" t="n">
        <f aca="true">RAND()</f>
        <v>0.9359220698633</v>
      </c>
    </row>
    <row r="1017" customFormat="false" ht="15" hidden="false" customHeight="false" outlineLevel="0" collapsed="false">
      <c r="A1017" s="50" t="n">
        <v>937</v>
      </c>
      <c r="B1017" s="51" t="n">
        <f aca="false">1+IF($G$6=$E$6,$F$6,IF(P1017&lt;($F$6-$E$6)/($G$6-$E$6),$E$6+SQRT(P1017*($G$6-$E$6)*($F$6-$E$6)),$G$6-SQRT((1-P1017)*($G$6-$E$6)*($G$6-$F$6))))</f>
        <v>1.01557817055281</v>
      </c>
      <c r="C1017" s="51" t="n">
        <f aca="false">1+IF($G$7=$E$7,$F$7,IF(Q1017&lt;($F$7-$E$7)/($G$7-$E$7),$E$7+SQRT(Q1017*($G$7-$E$7)*($F$7-$E$7)),$G$7-SQRT((1-Q1017)*($G$7-$E$7)*($G$7-$F$7))))</f>
        <v>0.961647185692529</v>
      </c>
      <c r="D1017" s="51" t="n">
        <f aca="false">1+IF($G$8=$E$8,$F$8,IF(R1017&lt;($F$8-$E$8)/($G$8-$E$8),$E$8+SQRT(R1017*($G$8-$E$8)*($F$8-$E$8)),$G$8-SQRT((1-R1017)*($G$8-$E$8)*($G$8-$F$8))))</f>
        <v>1.00738333250799</v>
      </c>
      <c r="E1017" s="51" t="n">
        <f aca="false">1+IF($G$9=$E$9,$F$9,IF(S1017&lt;($F$9-$E$9)/($G$9-$E$9),$E$9+SQRT(S1017*($G$9-$E$9)*($F$9-$E$9)),$G$9-SQRT((1-S1017)*($G$9-$E$9)*($G$9-$F$9))))</f>
        <v>1.0020630824701</v>
      </c>
      <c r="F1017" s="51" t="n">
        <f aca="false">1+IF($G$10=$E$10,$F$10,IF(T1017&lt;($F$10-$E$10)/($G$10-$E$10),$E$10+SQRT(T1017*($G$10-$E$10)*($F$10-$E$10)),$G$10-SQRT((1-T1017)*($G$10-$E$10)*($G$10-$F$10))))</f>
        <v>1.13598340643301</v>
      </c>
      <c r="G1017" s="52" t="n">
        <f aca="false">IF($G$11=$E$11,$F$11,IF(U1017&lt;($F$11-$E$11)/($G$11-$E$11),$E$11+SQRT(U1017*($G$11-$E$11)*($F$11-$E$11)),$G$11-SQRT((1-U1017)*($G$11-$E$11)*($G$11-$F$11))))</f>
        <v>0.110098616391891</v>
      </c>
      <c r="H1017" s="53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-2271966812.86602</v>
      </c>
      <c r="I1017" s="53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-2712683.68708859</v>
      </c>
      <c r="J1017" s="53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301294733.391312</v>
      </c>
      <c r="K1017" s="53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662101320.791363</v>
      </c>
      <c r="L1017" s="53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797189386.347457</v>
      </c>
      <c r="M1017" s="53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982826815.595568</v>
      </c>
      <c r="N1017" s="53" t="n">
        <f aca="false">IF(COUNT('Business Case'!B11:G11)=0,"",H1017+NPV(G1017,I1017:M1017))</f>
        <v>-437974950.064022</v>
      </c>
      <c r="P1017" s="54" t="n">
        <f aca="true">RAND()</f>
        <v>0.875744634677566</v>
      </c>
      <c r="Q1017" s="54" t="n">
        <f aca="true">RAND()</f>
        <v>0.373283037747357</v>
      </c>
      <c r="R1017" s="54" t="n">
        <f aca="true">RAND()</f>
        <v>0.492963423303342</v>
      </c>
      <c r="S1017" s="54" t="n">
        <f aca="true">RAND()</f>
        <v>0.360557345649486</v>
      </c>
      <c r="T1017" s="54" t="n">
        <f aca="true">RAND()</f>
        <v>0.918037514961579</v>
      </c>
      <c r="U1017" s="54" t="n">
        <f aca="true">RAND()</f>
        <v>0.836604337741797</v>
      </c>
    </row>
    <row r="1018" customFormat="false" ht="15" hidden="false" customHeight="false" outlineLevel="0" collapsed="false">
      <c r="A1018" s="50" t="n">
        <v>938</v>
      </c>
      <c r="B1018" s="51" t="n">
        <f aca="false">1+IF($G$6=$E$6,$F$6,IF(P1018&lt;($F$6-$E$6)/($G$6-$E$6),$E$6+SQRT(P1018*($G$6-$E$6)*($F$6-$E$6)),$G$6-SQRT((1-P1018)*($G$6-$E$6)*($G$6-$F$6))))</f>
        <v>1.01942500817796</v>
      </c>
      <c r="C1018" s="51" t="n">
        <f aca="false">1+IF($G$7=$E$7,$F$7,IF(Q1018&lt;($F$7-$E$7)/($G$7-$E$7),$E$7+SQRT(Q1018*($G$7-$E$7)*($F$7-$E$7)),$G$7-SQRT((1-Q1018)*($G$7-$E$7)*($G$7-$F$7))))</f>
        <v>0.944883745183255</v>
      </c>
      <c r="D1018" s="51" t="n">
        <f aca="false">1+IF($G$8=$E$8,$F$8,IF(R1018&lt;($F$8-$E$8)/($G$8-$E$8),$E$8+SQRT(R1018*($G$8-$E$8)*($F$8-$E$8)),$G$8-SQRT((1-R1018)*($G$8-$E$8)*($G$8-$F$8))))</f>
        <v>1.00053553364067</v>
      </c>
      <c r="E1018" s="51" t="n">
        <f aca="false">1+IF($G$9=$E$9,$F$9,IF(S1018&lt;($F$9-$E$9)/($G$9-$E$9),$E$9+SQRT(S1018*($G$9-$E$9)*($F$9-$E$9)),$G$9-SQRT((1-S1018)*($G$9-$E$9)*($G$9-$F$9))))</f>
        <v>1.00357215115956</v>
      </c>
      <c r="F1018" s="51" t="n">
        <f aca="false">1+IF($G$10=$E$10,$F$10,IF(T1018&lt;($F$10-$E$10)/($G$10-$E$10),$E$10+SQRT(T1018*($G$10-$E$10)*($F$10-$E$10)),$G$10-SQRT((1-T1018)*($G$10-$E$10)*($G$10-$F$10))))</f>
        <v>1.05061515550451</v>
      </c>
      <c r="G1018" s="52" t="n">
        <f aca="false">IF($G$11=$E$11,$F$11,IF(U1018&lt;($F$11-$E$11)/($G$11-$E$11),$E$11+SQRT(U1018*($G$11-$E$11)*($F$11-$E$11)),$G$11-SQRT((1-U1018)*($G$11-$E$11)*($G$11-$F$11))))</f>
        <v>0.0907496791944131</v>
      </c>
      <c r="H1018" s="53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-2101230311.00901</v>
      </c>
      <c r="I1018" s="53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7293706.50488175</v>
      </c>
      <c r="J1018" s="53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312291152.578313</v>
      </c>
      <c r="K1018" s="53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669819356.426968</v>
      </c>
      <c r="L1018" s="53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804774681.200251</v>
      </c>
      <c r="M1018" s="53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987866982.98535</v>
      </c>
      <c r="N1018" s="53" t="n">
        <f aca="false">IF(COUNT('Business Case'!B11:G11)=0,"",H1018+NPV(G1018,I1018:M1018))</f>
        <v>-107498440.414305</v>
      </c>
      <c r="P1018" s="54" t="n">
        <f aca="true">RAND()</f>
        <v>0.911806189900648</v>
      </c>
      <c r="Q1018" s="54" t="n">
        <f aca="true">RAND()</f>
        <v>0.299875708833235</v>
      </c>
      <c r="R1018" s="54" t="n">
        <f aca="true">RAND()</f>
        <v>0.392826787137224</v>
      </c>
      <c r="S1018" s="54" t="n">
        <f aca="true">RAND()</f>
        <v>0.380111331200357</v>
      </c>
      <c r="T1018" s="54" t="n">
        <f aca="true">RAND()</f>
        <v>0.553683364701147</v>
      </c>
      <c r="U1018" s="54" t="n">
        <f aca="true">RAND()</f>
        <v>0.00187339631511949</v>
      </c>
    </row>
    <row r="1019" customFormat="false" ht="15" hidden="false" customHeight="false" outlineLevel="0" collapsed="false">
      <c r="A1019" s="50" t="n">
        <v>939</v>
      </c>
      <c r="B1019" s="51" t="n">
        <f aca="false">1+IF($G$6=$E$6,$F$6,IF(P1019&lt;($F$6-$E$6)/($G$6-$E$6),$E$6+SQRT(P1019*($G$6-$E$6)*($F$6-$E$6)),$G$6-SQRT((1-P1019)*($G$6-$E$6)*($G$6-$F$6))))</f>
        <v>1.00558353319397</v>
      </c>
      <c r="C1019" s="51" t="n">
        <f aca="false">1+IF($G$7=$E$7,$F$7,IF(Q1019&lt;($F$7-$E$7)/($G$7-$E$7),$E$7+SQRT(Q1019*($G$7-$E$7)*($F$7-$E$7)),$G$7-SQRT((1-Q1019)*($G$7-$E$7)*($G$7-$F$7))))</f>
        <v>1.09889264738409</v>
      </c>
      <c r="D1019" s="51" t="n">
        <f aca="false">1+IF($G$8=$E$8,$F$8,IF(R1019&lt;($F$8-$E$8)/($G$8-$E$8),$E$8+SQRT(R1019*($G$8-$E$8)*($F$8-$E$8)),$G$8-SQRT((1-R1019)*($G$8-$E$8)*($G$8-$F$8))))</f>
        <v>0.9836457403704</v>
      </c>
      <c r="E1019" s="51" t="n">
        <f aca="false">1+IF($G$9=$E$9,$F$9,IF(S1019&lt;($F$9-$E$9)/($G$9-$E$9),$E$9+SQRT(S1019*($G$9-$E$9)*($F$9-$E$9)),$G$9-SQRT((1-S1019)*($G$9-$E$9)*($G$9-$F$9))))</f>
        <v>1.04510332932763</v>
      </c>
      <c r="F1019" s="51" t="n">
        <f aca="false">1+IF($G$10=$E$10,$F$10,IF(T1019&lt;($F$10-$E$10)/($G$10-$E$10),$E$10+SQRT(T1019*($G$10-$E$10)*($F$10-$E$10)),$G$10-SQRT((1-T1019)*($G$10-$E$10)*($G$10-$F$10))))</f>
        <v>0.99423355382222</v>
      </c>
      <c r="G1019" s="52" t="n">
        <f aca="false">IF($G$11=$E$11,$F$11,IF(U1019&lt;($F$11-$E$11)/($G$11-$E$11),$E$11+SQRT(U1019*($G$11-$E$11)*($F$11-$E$11)),$G$11-SQRT((1-U1019)*($G$11-$E$11)*($G$11-$F$11))))</f>
        <v>0.0959640916078706</v>
      </c>
      <c r="H1019" s="53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-1988467107.64444</v>
      </c>
      <c r="I1019" s="53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46430947.9123144</v>
      </c>
      <c r="J1019" s="53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398183614.350869</v>
      </c>
      <c r="K1019" s="53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799647958.480535</v>
      </c>
      <c r="L1019" s="53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955088627.102474</v>
      </c>
      <c r="M1019" s="53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1165132416.05245</v>
      </c>
      <c r="N1019" s="53" t="n">
        <f aca="false">IF(COUNT('Business Case'!B11:G11)=0,"",H1019+NPV(G1019,I1019:M1019))</f>
        <v>391728141.071869</v>
      </c>
      <c r="P1019" s="54" t="n">
        <f aca="true">RAND()</f>
        <v>0.753230585956199</v>
      </c>
      <c r="Q1019" s="54" t="n">
        <f aca="true">RAND()</f>
        <v>0.950248352544627</v>
      </c>
      <c r="R1019" s="54" t="n">
        <f aca="true">RAND()</f>
        <v>0.174159360780363</v>
      </c>
      <c r="S1019" s="54" t="n">
        <f aca="true">RAND()</f>
        <v>0.799090369939262</v>
      </c>
      <c r="T1019" s="54" t="n">
        <f aca="true">RAND()</f>
        <v>0.156528582699458</v>
      </c>
      <c r="U1019" s="54" t="n">
        <f aca="true">RAND()</f>
        <v>0.118567962356907</v>
      </c>
    </row>
    <row r="1020" customFormat="false" ht="15" hidden="false" customHeight="false" outlineLevel="0" collapsed="false">
      <c r="A1020" s="50" t="n">
        <v>940</v>
      </c>
      <c r="B1020" s="51" t="n">
        <f aca="false">1+IF($G$6=$E$6,$F$6,IF(P1020&lt;($F$6-$E$6)/($G$6-$E$6),$E$6+SQRT(P1020*($G$6-$E$6)*($F$6-$E$6)),$G$6-SQRT((1-P1020)*($G$6-$E$6)*($G$6-$F$6))))</f>
        <v>0.998542510619629</v>
      </c>
      <c r="C1020" s="51" t="n">
        <f aca="false">1+IF($G$7=$E$7,$F$7,IF(Q1020&lt;($F$7-$E$7)/($G$7-$E$7),$E$7+SQRT(Q1020*($G$7-$E$7)*($F$7-$E$7)),$G$7-SQRT((1-Q1020)*($G$7-$E$7)*($G$7-$F$7))))</f>
        <v>0.873873984335519</v>
      </c>
      <c r="D1020" s="51" t="n">
        <f aca="false">1+IF($G$8=$E$8,$F$8,IF(R1020&lt;($F$8-$E$8)/($G$8-$E$8),$E$8+SQRT(R1020*($G$8-$E$8)*($F$8-$E$8)),$G$8-SQRT((1-R1020)*($G$8-$E$8)*($G$8-$F$8))))</f>
        <v>0.989388592562341</v>
      </c>
      <c r="E1020" s="51" t="n">
        <f aca="false">1+IF($G$9=$E$9,$F$9,IF(S1020&lt;($F$9-$E$9)/($G$9-$E$9),$E$9+SQRT(S1020*($G$9-$E$9)*($F$9-$E$9)),$G$9-SQRT((1-S1020)*($G$9-$E$9)*($G$9-$F$9))))</f>
        <v>0.996000163446137</v>
      </c>
      <c r="F1020" s="51" t="n">
        <f aca="false">1+IF($G$10=$E$10,$F$10,IF(T1020&lt;($F$10-$E$10)/($G$10-$E$10),$E$10+SQRT(T1020*($G$10-$E$10)*($F$10-$E$10)),$G$10-SQRT((1-T1020)*($G$10-$E$10)*($G$10-$F$10))))</f>
        <v>1.03565753007653</v>
      </c>
      <c r="G1020" s="52" t="n">
        <f aca="false">IF($G$11=$E$11,$F$11,IF(U1020&lt;($F$11-$E$11)/($G$11-$E$11),$E$11+SQRT(U1020*($G$11-$E$11)*($F$11-$E$11)),$G$11-SQRT((1-U1020)*($G$11-$E$11)*($G$11-$F$11))))</f>
        <v>0.101164504410626</v>
      </c>
      <c r="H1020" s="53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-2071315060.15306</v>
      </c>
      <c r="I1020" s="53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-18316604.8438576</v>
      </c>
      <c r="J1020" s="53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253799367.269158</v>
      </c>
      <c r="K1020" s="53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577698215.886001</v>
      </c>
      <c r="L1020" s="53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698560607.061793</v>
      </c>
      <c r="M1020" s="53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864424476.321453</v>
      </c>
      <c r="N1020" s="53" t="n">
        <f aca="false">IF(COUNT('Business Case'!B11:G11)=0,"",H1020+NPV(G1020,I1020:M1020))</f>
        <v>-436964358.478019</v>
      </c>
      <c r="P1020" s="54" t="n">
        <f aca="true">RAND()</f>
        <v>0.642596455670261</v>
      </c>
      <c r="Q1020" s="54" t="n">
        <f aca="true">RAND()</f>
        <v>0.0779623651657777</v>
      </c>
      <c r="R1020" s="54" t="n">
        <f aca="true">RAND()</f>
        <v>0.238686342160325</v>
      </c>
      <c r="S1020" s="54" t="n">
        <f aca="true">RAND()</f>
        <v>0.282135338276179</v>
      </c>
      <c r="T1020" s="54" t="n">
        <f aca="true">RAND()</f>
        <v>0.459831051589053</v>
      </c>
      <c r="U1020" s="54" t="n">
        <f aca="true">RAND()</f>
        <v>0.408706843171108</v>
      </c>
    </row>
    <row r="1021" customFormat="false" ht="15" hidden="false" customHeight="false" outlineLevel="0" collapsed="false">
      <c r="A1021" s="50" t="n">
        <v>941</v>
      </c>
      <c r="B1021" s="51" t="n">
        <f aca="false">1+IF($G$6=$E$6,$F$6,IF(P1021&lt;($F$6-$E$6)/($G$6-$E$6),$E$6+SQRT(P1021*($G$6-$E$6)*($F$6-$E$6)),$G$6-SQRT((1-P1021)*($G$6-$E$6)*($G$6-$F$6))))</f>
        <v>0.991565875951221</v>
      </c>
      <c r="C1021" s="51" t="n">
        <f aca="false">1+IF($G$7=$E$7,$F$7,IF(Q1021&lt;($F$7-$E$7)/($G$7-$E$7),$E$7+SQRT(Q1021*($G$7-$E$7)*($F$7-$E$7)),$G$7-SQRT((1-Q1021)*($G$7-$E$7)*($G$7-$F$7))))</f>
        <v>1.02259517070856</v>
      </c>
      <c r="D1021" s="51" t="n">
        <f aca="false">1+IF($G$8=$E$8,$F$8,IF(R1021&lt;($F$8-$E$8)/($G$8-$E$8),$E$8+SQRT(R1021*($G$8-$E$8)*($F$8-$E$8)),$G$8-SQRT((1-R1021)*($G$8-$E$8)*($G$8-$F$8))))</f>
        <v>0.999913067039482</v>
      </c>
      <c r="E1021" s="51" t="n">
        <f aca="false">1+IF($G$9=$E$9,$F$9,IF(S1021&lt;($F$9-$E$9)/($G$9-$E$9),$E$9+SQRT(S1021*($G$9-$E$9)*($F$9-$E$9)),$G$9-SQRT((1-S1021)*($G$9-$E$9)*($G$9-$F$9))))</f>
        <v>0.985644946921165</v>
      </c>
      <c r="F1021" s="51" t="n">
        <f aca="false">1+IF($G$10=$E$10,$F$10,IF(T1021&lt;($F$10-$E$10)/($G$10-$E$10),$E$10+SQRT(T1021*($G$10-$E$10)*($F$10-$E$10)),$G$10-SQRT((1-T1021)*($G$10-$E$10)*($G$10-$F$10))))</f>
        <v>1.06033689866541</v>
      </c>
      <c r="G1021" s="52" t="n">
        <f aca="false">IF($G$11=$E$11,$F$11,IF(U1021&lt;($F$11-$E$11)/($G$11-$E$11),$E$11+SQRT(U1021*($G$11-$E$11)*($F$11-$E$11)),$G$11-SQRT((1-U1021)*($G$11-$E$11)*($G$11-$F$11))))</f>
        <v>0.117758507185378</v>
      </c>
      <c r="H1021" s="53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-2120673797.33081</v>
      </c>
      <c r="I1021" s="53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8316783.54587154</v>
      </c>
      <c r="J1021" s="53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315390197.896014</v>
      </c>
      <c r="K1021" s="53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675480457.179426</v>
      </c>
      <c r="L1021" s="53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812881081.619834</v>
      </c>
      <c r="M1021" s="53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1005616589.73348</v>
      </c>
      <c r="N1021" s="53" t="n">
        <f aca="false">IF(COUNT('Business Case'!B11:G11)=0,"",H1021+NPV(G1021,I1021:M1021))</f>
        <v>-279989538.108879</v>
      </c>
      <c r="P1021" s="54" t="n">
        <f aca="true">RAND()</f>
        <v>0.533507770902655</v>
      </c>
      <c r="Q1021" s="54" t="n">
        <f aca="true">RAND()</f>
        <v>0.690819228061327</v>
      </c>
      <c r="R1021" s="54" t="n">
        <f aca="true">RAND()</f>
        <v>0.383279117121199</v>
      </c>
      <c r="S1021" s="54" t="n">
        <f aca="true">RAND()</f>
        <v>0.169408298801694</v>
      </c>
      <c r="T1021" s="54" t="n">
        <f aca="true">RAND()</f>
        <v>0.609884362512058</v>
      </c>
      <c r="U1021" s="54" t="n">
        <f aca="true">RAND()</f>
        <v>0.991626183269995</v>
      </c>
    </row>
    <row r="1022" customFormat="false" ht="15" hidden="false" customHeight="false" outlineLevel="0" collapsed="false">
      <c r="A1022" s="50" t="n">
        <v>942</v>
      </c>
      <c r="B1022" s="51" t="n">
        <f aca="false">1+IF($G$6=$E$6,$F$6,IF(P1022&lt;($F$6-$E$6)/($G$6-$E$6),$E$6+SQRT(P1022*($G$6-$E$6)*($F$6-$E$6)),$G$6-SQRT((1-P1022)*($G$6-$E$6)*($G$6-$F$6))))</f>
        <v>1.01960369120808</v>
      </c>
      <c r="C1022" s="51" t="n">
        <f aca="false">1+IF($G$7=$E$7,$F$7,IF(Q1022&lt;($F$7-$E$7)/($G$7-$E$7),$E$7+SQRT(Q1022*($G$7-$E$7)*($F$7-$E$7)),$G$7-SQRT((1-Q1022)*($G$7-$E$7)*($G$7-$F$7))))</f>
        <v>1.04016140773883</v>
      </c>
      <c r="D1022" s="51" t="n">
        <f aca="false">1+IF($G$8=$E$8,$F$8,IF(R1022&lt;($F$8-$E$8)/($G$8-$E$8),$E$8+SQRT(R1022*($G$8-$E$8)*($F$8-$E$8)),$G$8-SQRT((1-R1022)*($G$8-$E$8)*($G$8-$F$8))))</f>
        <v>1.03644996570399</v>
      </c>
      <c r="E1022" s="51" t="n">
        <f aca="false">1+IF($G$9=$E$9,$F$9,IF(S1022&lt;($F$9-$E$9)/($G$9-$E$9),$E$9+SQRT(S1022*($G$9-$E$9)*($F$9-$E$9)),$G$9-SQRT((1-S1022)*($G$9-$E$9)*($G$9-$F$9))))</f>
        <v>1.00158120564256</v>
      </c>
      <c r="F1022" s="51" t="n">
        <f aca="false">1+IF($G$10=$E$10,$F$10,IF(T1022&lt;($F$10-$E$10)/($G$10-$E$10),$E$10+SQRT(T1022*($G$10-$E$10)*($F$10-$E$10)),$G$10-SQRT((1-T1022)*($G$10-$E$10)*($G$10-$F$10))))</f>
        <v>1.01980316750843</v>
      </c>
      <c r="G1022" s="52" t="n">
        <f aca="false">IF($G$11=$E$11,$F$11,IF(U1022&lt;($F$11-$E$11)/($G$11-$E$11),$E$11+SQRT(U1022*($G$11-$E$11)*($F$11-$E$11)),$G$11-SQRT((1-U1022)*($G$11-$E$11)*($G$11-$F$11))))</f>
        <v>0.0988476136438501</v>
      </c>
      <c r="H1022" s="53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-2039606335.01685</v>
      </c>
      <c r="I1022" s="53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17396298.3035568</v>
      </c>
      <c r="J1022" s="53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334176797.775304</v>
      </c>
      <c r="K1022" s="53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701947455.622472</v>
      </c>
      <c r="L1022" s="53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844193646.763038</v>
      </c>
      <c r="M1022" s="53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1045783449.00461</v>
      </c>
      <c r="N1022" s="53" t="n">
        <f aca="false">IF(COUNT('Business Case'!B11:G11)=0,"",H1022+NPV(G1022,I1022:M1022))</f>
        <v>13807814.6559303</v>
      </c>
      <c r="P1022" s="54" t="n">
        <f aca="true">RAND()</f>
        <v>0.91333137243015</v>
      </c>
      <c r="Q1022" s="54" t="n">
        <f aca="true">RAND()</f>
        <v>0.770199688573027</v>
      </c>
      <c r="R1022" s="54" t="n">
        <f aca="true">RAND()</f>
        <v>0.817634087770842</v>
      </c>
      <c r="S1022" s="54" t="n">
        <f aca="true">RAND()</f>
        <v>0.354249394481863</v>
      </c>
      <c r="T1022" s="54" t="n">
        <f aca="true">RAND()</f>
        <v>0.350582031200083</v>
      </c>
      <c r="U1022" s="54" t="n">
        <f aca="true">RAND()</f>
        <v>0.260934223969474</v>
      </c>
    </row>
    <row r="1023" customFormat="false" ht="15" hidden="false" customHeight="false" outlineLevel="0" collapsed="false">
      <c r="A1023" s="50" t="n">
        <v>943</v>
      </c>
      <c r="B1023" s="51" t="n">
        <f aca="false">1+IF($G$6=$E$6,$F$6,IF(P1023&lt;($F$6-$E$6)/($G$6-$E$6),$E$6+SQRT(P1023*($G$6-$E$6)*($F$6-$E$6)),$G$6-SQRT((1-P1023)*($G$6-$E$6)*($G$6-$F$6))))</f>
        <v>0.990565481905049</v>
      </c>
      <c r="C1023" s="51" t="n">
        <f aca="false">1+IF($G$7=$E$7,$F$7,IF(Q1023&lt;($F$7-$E$7)/($G$7-$E$7),$E$7+SQRT(Q1023*($G$7-$E$7)*($F$7-$E$7)),$G$7-SQRT((1-Q1023)*($G$7-$E$7)*($G$7-$F$7))))</f>
        <v>1.02087806060471</v>
      </c>
      <c r="D1023" s="51" t="n">
        <f aca="false">1+IF($G$8=$E$8,$F$8,IF(R1023&lt;($F$8-$E$8)/($G$8-$E$8),$E$8+SQRT(R1023*($G$8-$E$8)*($F$8-$E$8)),$G$8-SQRT((1-R1023)*($G$8-$E$8)*($G$8-$F$8))))</f>
        <v>1.02356073790665</v>
      </c>
      <c r="E1023" s="51" t="n">
        <f aca="false">1+IF($G$9=$E$9,$F$9,IF(S1023&lt;($F$9-$E$9)/($G$9-$E$9),$E$9+SQRT(S1023*($G$9-$E$9)*($F$9-$E$9)),$G$9-SQRT((1-S1023)*($G$9-$E$9)*($G$9-$F$9))))</f>
        <v>1.04046764749475</v>
      </c>
      <c r="F1023" s="51" t="n">
        <f aca="false">1+IF($G$10=$E$10,$F$10,IF(T1023&lt;($F$10-$E$10)/($G$10-$E$10),$E$10+SQRT(T1023*($G$10-$E$10)*($F$10-$E$10)),$G$10-SQRT((1-T1023)*($G$10-$E$10)*($G$10-$F$10))))</f>
        <v>1.04525414235787</v>
      </c>
      <c r="G1023" s="52" t="n">
        <f aca="false">IF($G$11=$E$11,$F$11,IF(U1023&lt;($F$11-$E$11)/($G$11-$E$11),$E$11+SQRT(U1023*($G$11-$E$11)*($F$11-$E$11)),$G$11-SQRT((1-U1023)*($G$11-$E$11)*($G$11-$F$11))))</f>
        <v>0.117220909677458</v>
      </c>
      <c r="H1023" s="53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-2090508284.71575</v>
      </c>
      <c r="I1023" s="53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-11540111.2655273</v>
      </c>
      <c r="J1023" s="53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281822713.267193</v>
      </c>
      <c r="K1023" s="53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627448244.917807</v>
      </c>
      <c r="L1023" s="53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760184534.487851</v>
      </c>
      <c r="M1023" s="53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952402282.146444</v>
      </c>
      <c r="N1023" s="53" t="n">
        <f aca="false">IF(COUNT('Business Case'!B11:G11)=0,"",H1023+NPV(G1023,I1023:M1023))</f>
        <v>-389995212.200292</v>
      </c>
      <c r="P1023" s="54" t="n">
        <f aca="true">RAND()</f>
        <v>0.518696587134567</v>
      </c>
      <c r="Q1023" s="54" t="n">
        <f aca="true">RAND()</f>
        <v>0.682429043177112</v>
      </c>
      <c r="R1023" s="54" t="n">
        <f aca="true">RAND()</f>
        <v>0.693712470611313</v>
      </c>
      <c r="S1023" s="54" t="n">
        <f aca="true">RAND()</f>
        <v>0.763726600346019</v>
      </c>
      <c r="T1023" s="54" t="n">
        <f aca="true">RAND()</f>
        <v>0.521074390852057</v>
      </c>
      <c r="U1023" s="54" t="n">
        <f aca="true">RAND()</f>
        <v>0.987127761631923</v>
      </c>
    </row>
    <row r="1024" customFormat="false" ht="15" hidden="false" customHeight="false" outlineLevel="0" collapsed="false">
      <c r="A1024" s="50" t="n">
        <v>944</v>
      </c>
      <c r="B1024" s="51" t="n">
        <f aca="false">1+IF($G$6=$E$6,$F$6,IF(P1024&lt;($F$6-$E$6)/($G$6-$E$6),$E$6+SQRT(P1024*($G$6-$E$6)*($F$6-$E$6)),$G$6-SQRT((1-P1024)*($G$6-$E$6)*($G$6-$F$6))))</f>
        <v>0.962174044525172</v>
      </c>
      <c r="C1024" s="51" t="n">
        <f aca="false">1+IF($G$7=$E$7,$F$7,IF(Q1024&lt;($F$7-$E$7)/($G$7-$E$7),$E$7+SQRT(Q1024*($G$7-$E$7)*($F$7-$E$7)),$G$7-SQRT((1-Q1024)*($G$7-$E$7)*($G$7-$F$7))))</f>
        <v>1.06625563994475</v>
      </c>
      <c r="D1024" s="51" t="n">
        <f aca="false">1+IF($G$8=$E$8,$F$8,IF(R1024&lt;($F$8-$E$8)/($G$8-$E$8),$E$8+SQRT(R1024*($G$8-$E$8)*($F$8-$E$8)),$G$8-SQRT((1-R1024)*($G$8-$E$8)*($G$8-$F$8))))</f>
        <v>1.02047500292642</v>
      </c>
      <c r="E1024" s="51" t="n">
        <f aca="false">1+IF($G$9=$E$9,$F$9,IF(S1024&lt;($F$9-$E$9)/($G$9-$E$9),$E$9+SQRT(S1024*($G$9-$E$9)*($F$9-$E$9)),$G$9-SQRT((1-S1024)*($G$9-$E$9)*($G$9-$F$9))))</f>
        <v>0.960104248967657</v>
      </c>
      <c r="F1024" s="51" t="n">
        <f aca="false">1+IF($G$10=$E$10,$F$10,IF(T1024&lt;($F$10-$E$10)/($G$10-$E$10),$E$10+SQRT(T1024*($G$10-$E$10)*($F$10-$E$10)),$G$10-SQRT((1-T1024)*($G$10-$E$10)*($G$10-$F$10))))</f>
        <v>1.04584735617833</v>
      </c>
      <c r="G1024" s="52" t="n">
        <f aca="false">IF($G$11=$E$11,$F$11,IF(U1024&lt;($F$11-$E$11)/($G$11-$E$11),$E$11+SQRT(U1024*($G$11-$E$11)*($F$11-$E$11)),$G$11-SQRT((1-U1024)*($G$11-$E$11)*($G$11-$F$11))))</f>
        <v>0.103090039497175</v>
      </c>
      <c r="H1024" s="53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-2091694712.35666</v>
      </c>
      <c r="I1024" s="53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-11003833.2499834</v>
      </c>
      <c r="J1024" s="53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272287767.643151</v>
      </c>
      <c r="K1024" s="53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607871736.345203</v>
      </c>
      <c r="L1024" s="53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737758186.190971</v>
      </c>
      <c r="M1024" s="53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932765725.371947</v>
      </c>
      <c r="N1024" s="53" t="n">
        <f aca="false">IF(COUNT('Business Case'!B11:G11)=0,"",H1024+NPV(G1024,I1024:M1024))</f>
        <v>-355638575.406985</v>
      </c>
      <c r="P1024" s="54" t="n">
        <f aca="true">RAND()</f>
        <v>0.1852760449595</v>
      </c>
      <c r="Q1024" s="54" t="n">
        <f aca="true">RAND()</f>
        <v>0.866416803027368</v>
      </c>
      <c r="R1024" s="54" t="n">
        <f aca="true">RAND()</f>
        <v>0.659305261864453</v>
      </c>
      <c r="S1024" s="54" t="n">
        <f aca="true">RAND()</f>
        <v>0.013612779626719</v>
      </c>
      <c r="T1024" s="54" t="n">
        <f aca="true">RAND()</f>
        <v>0.52473924805578</v>
      </c>
      <c r="U1024" s="54" t="n">
        <f aca="true">RAND()</f>
        <v>0.523422059654837</v>
      </c>
    </row>
    <row r="1025" customFormat="false" ht="15" hidden="false" customHeight="false" outlineLevel="0" collapsed="false">
      <c r="A1025" s="50" t="n">
        <v>945</v>
      </c>
      <c r="B1025" s="51" t="n">
        <f aca="false">1+IF($G$6=$E$6,$F$6,IF(P1025&lt;($F$6-$E$6)/($G$6-$E$6),$E$6+SQRT(P1025*($G$6-$E$6)*($F$6-$E$6)),$G$6-SQRT((1-P1025)*($G$6-$E$6)*($G$6-$F$6))))</f>
        <v>0.941847939065098</v>
      </c>
      <c r="C1025" s="51" t="n">
        <f aca="false">1+IF($G$7=$E$7,$F$7,IF(Q1025&lt;($F$7-$E$7)/($G$7-$E$7),$E$7+SQRT(Q1025*($G$7-$E$7)*($F$7-$E$7)),$G$7-SQRT((1-Q1025)*($G$7-$E$7)*($G$7-$F$7))))</f>
        <v>1.10518551481048</v>
      </c>
      <c r="D1025" s="51" t="n">
        <f aca="false">1+IF($G$8=$E$8,$F$8,IF(R1025&lt;($F$8-$E$8)/($G$8-$E$8),$E$8+SQRT(R1025*($G$8-$E$8)*($F$8-$E$8)),$G$8-SQRT((1-R1025)*($G$8-$E$8)*($G$8-$F$8))))</f>
        <v>1.02352354341968</v>
      </c>
      <c r="E1025" s="51" t="n">
        <f aca="false">1+IF($G$9=$E$9,$F$9,IF(S1025&lt;($F$9-$E$9)/($G$9-$E$9),$E$9+SQRT(S1025*($G$9-$E$9)*($F$9-$E$9)),$G$9-SQRT((1-S1025)*($G$9-$E$9)*($G$9-$F$9))))</f>
        <v>1.03172358188259</v>
      </c>
      <c r="F1025" s="51" t="n">
        <f aca="false">1+IF($G$10=$E$10,$F$10,IF(T1025&lt;($F$10-$E$10)/($G$10-$E$10),$E$10+SQRT(T1025*($G$10-$E$10)*($F$10-$E$10)),$G$10-SQRT((1-T1025)*($G$10-$E$10)*($G$10-$F$10))))</f>
        <v>1.14785411935514</v>
      </c>
      <c r="G1025" s="52" t="n">
        <f aca="false">IF($G$11=$E$11,$F$11,IF(U1025&lt;($F$11-$E$11)/($G$11-$E$11),$E$11+SQRT(U1025*($G$11-$E$11)*($F$11-$E$11)),$G$11-SQRT((1-U1025)*($G$11-$E$11)*($G$11-$F$11))))</f>
        <v>0.0994569431059486</v>
      </c>
      <c r="H1025" s="53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-2295708238.71027</v>
      </c>
      <c r="I1025" s="53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-41947307.3453496</v>
      </c>
      <c r="J1025" s="53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231563012.285873</v>
      </c>
      <c r="K1025" s="53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562466037.884853</v>
      </c>
      <c r="L1025" s="53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689610225.560163</v>
      </c>
      <c r="M1025" s="53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887467671.783798</v>
      </c>
      <c r="N1025" s="53" t="n">
        <f aca="false">IF(COUNT('Business Case'!B11:G11)=0,"",H1025+NPV(G1025,I1025:M1025))</f>
        <v>-694727749.567013</v>
      </c>
      <c r="P1025" s="54" t="n">
        <f aca="true">RAND()</f>
        <v>0.0497221293116905</v>
      </c>
      <c r="Q1025" s="54" t="n">
        <f aca="true">RAND()</f>
        <v>0.961745941279974</v>
      </c>
      <c r="R1025" s="54" t="n">
        <f aca="true">RAND()</f>
        <v>0.69330863962804</v>
      </c>
      <c r="S1025" s="54" t="n">
        <f aca="true">RAND()</f>
        <v>0.689222048603736</v>
      </c>
      <c r="T1025" s="54" t="n">
        <f aca="true">RAND()</f>
        <v>0.945616142635434</v>
      </c>
      <c r="U1025" s="54" t="n">
        <f aca="true">RAND()</f>
        <v>0.298112576363829</v>
      </c>
    </row>
    <row r="1026" customFormat="false" ht="15" hidden="false" customHeight="false" outlineLevel="0" collapsed="false">
      <c r="A1026" s="50" t="n">
        <v>946</v>
      </c>
      <c r="B1026" s="51" t="n">
        <f aca="false">1+IF($G$6=$E$6,$F$6,IF(P1026&lt;($F$6-$E$6)/($G$6-$E$6),$E$6+SQRT(P1026*($G$6-$E$6)*($F$6-$E$6)),$G$6-SQRT((1-P1026)*($G$6-$E$6)*($G$6-$F$6))))</f>
        <v>1.02942256740959</v>
      </c>
      <c r="C1026" s="51" t="n">
        <f aca="false">1+IF($G$7=$E$7,$F$7,IF(Q1026&lt;($F$7-$E$7)/($G$7-$E$7),$E$7+SQRT(Q1026*($G$7-$E$7)*($F$7-$E$7)),$G$7-SQRT((1-Q1026)*($G$7-$E$7)*($G$7-$F$7))))</f>
        <v>1.05693043670035</v>
      </c>
      <c r="D1026" s="51" t="n">
        <f aca="false">1+IF($G$8=$E$8,$F$8,IF(R1026&lt;($F$8-$E$8)/($G$8-$E$8),$E$8+SQRT(R1026*($G$8-$E$8)*($F$8-$E$8)),$G$8-SQRT((1-R1026)*($G$8-$E$8)*($G$8-$F$8))))</f>
        <v>1.06213254251151</v>
      </c>
      <c r="E1026" s="51" t="n">
        <f aca="false">1+IF($G$9=$E$9,$F$9,IF(S1026&lt;($F$9-$E$9)/($G$9-$E$9),$E$9+SQRT(S1026*($G$9-$E$9)*($F$9-$E$9)),$G$9-SQRT((1-S1026)*($G$9-$E$9)*($G$9-$F$9))))</f>
        <v>0.965802939414639</v>
      </c>
      <c r="F1026" s="51" t="n">
        <f aca="false">1+IF($G$10=$E$10,$F$10,IF(T1026&lt;($F$10-$E$10)/($G$10-$E$10),$E$10+SQRT(T1026*($G$10-$E$10)*($F$10-$E$10)),$G$10-SQRT((1-T1026)*($G$10-$E$10)*($G$10-$F$10))))</f>
        <v>1.1614477829294</v>
      </c>
      <c r="G1026" s="52" t="n">
        <f aca="false">IF($G$11=$E$11,$F$11,IF(U1026&lt;($F$11-$E$11)/($G$11-$E$11),$E$11+SQRT(U1026*($G$11-$E$11)*($F$11-$E$11)),$G$11-SQRT((1-U1026)*($G$11-$E$11)*($G$11-$F$11))))</f>
        <v>0.0988517810020423</v>
      </c>
      <c r="H1026" s="53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-2322895565.85879</v>
      </c>
      <c r="I1026" s="53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6606475.24066724</v>
      </c>
      <c r="J1026" s="53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323098280.545554</v>
      </c>
      <c r="K1026" s="53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697662474.996911</v>
      </c>
      <c r="L1026" s="53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840761992.622885</v>
      </c>
      <c r="M1026" s="53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1047574363.17345</v>
      </c>
      <c r="N1026" s="53" t="n">
        <f aca="false">IF(COUNT('Business Case'!B11:G11)=0,"",H1026+NPV(G1026,I1026:M1026))</f>
        <v>-292970190.282859</v>
      </c>
      <c r="P1026" s="54" t="n">
        <f aca="true">RAND()</f>
        <v>0.976691233290693</v>
      </c>
      <c r="Q1026" s="54" t="n">
        <f aca="true">RAND()</f>
        <v>0.835010597851674</v>
      </c>
      <c r="R1026" s="54" t="n">
        <f aca="true">RAND()</f>
        <v>0.969303265663189</v>
      </c>
      <c r="S1026" s="54" t="n">
        <f aca="true">RAND()</f>
        <v>0.0332977192190342</v>
      </c>
      <c r="T1026" s="54" t="n">
        <f aca="true">RAND()</f>
        <v>0.970274531178822</v>
      </c>
      <c r="U1026" s="54" t="n">
        <f aca="true">RAND()</f>
        <v>0.261180089693724</v>
      </c>
    </row>
    <row r="1027" customFormat="false" ht="15" hidden="false" customHeight="false" outlineLevel="0" collapsed="false">
      <c r="A1027" s="50" t="n">
        <v>947</v>
      </c>
      <c r="B1027" s="51" t="n">
        <f aca="false">1+IF($G$6=$E$6,$F$6,IF(P1027&lt;($F$6-$E$6)/($G$6-$E$6),$E$6+SQRT(P1027*($G$6-$E$6)*($F$6-$E$6)),$G$6-SQRT((1-P1027)*($G$6-$E$6)*($G$6-$F$6))))</f>
        <v>0.98578251651128</v>
      </c>
      <c r="C1027" s="51" t="n">
        <f aca="false">1+IF($G$7=$E$7,$F$7,IF(Q1027&lt;($F$7-$E$7)/($G$7-$E$7),$E$7+SQRT(Q1027*($G$7-$E$7)*($F$7-$E$7)),$G$7-SQRT((1-Q1027)*($G$7-$E$7)*($G$7-$F$7))))</f>
        <v>0.89060786093791</v>
      </c>
      <c r="D1027" s="51" t="n">
        <f aca="false">1+IF($G$8=$E$8,$F$8,IF(R1027&lt;($F$8-$E$8)/($G$8-$E$8),$E$8+SQRT(R1027*($G$8-$E$8)*($F$8-$E$8)),$G$8-SQRT((1-R1027)*($G$8-$E$8)*($G$8-$F$8))))</f>
        <v>0.98637740490423</v>
      </c>
      <c r="E1027" s="51" t="n">
        <f aca="false">1+IF($G$9=$E$9,$F$9,IF(S1027&lt;($F$9-$E$9)/($G$9-$E$9),$E$9+SQRT(S1027*($G$9-$E$9)*($F$9-$E$9)),$G$9-SQRT((1-S1027)*($G$9-$E$9)*($G$9-$F$9))))</f>
        <v>0.989958432861988</v>
      </c>
      <c r="F1027" s="51" t="n">
        <f aca="false">1+IF($G$10=$E$10,$F$10,IF(T1027&lt;($F$10-$E$10)/($G$10-$E$10),$E$10+SQRT(T1027*($G$10-$E$10)*($F$10-$E$10)),$G$10-SQRT((1-T1027)*($G$10-$E$10)*($G$10-$F$10))))</f>
        <v>1.08248798495973</v>
      </c>
      <c r="G1027" s="52" t="n">
        <f aca="false">IF($G$11=$E$11,$F$11,IF(U1027&lt;($F$11-$E$11)/($G$11-$E$11),$E$11+SQRT(U1027*($G$11-$E$11)*($F$11-$E$11)),$G$11-SQRT((1-U1027)*($G$11-$E$11)*($G$11-$F$11))))</f>
        <v>0.0984780658409799</v>
      </c>
      <c r="H1027" s="53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-2164975969.91946</v>
      </c>
      <c r="I1027" s="53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-25142047.2185454</v>
      </c>
      <c r="J1027" s="53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244249496.142281</v>
      </c>
      <c r="K1027" s="53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567765438.751094</v>
      </c>
      <c r="L1027" s="53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687904421.824986</v>
      </c>
      <c r="M1027" s="53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854784332.569876</v>
      </c>
      <c r="N1027" s="53" t="n">
        <f aca="false">IF(COUNT('Business Case'!B11:G11)=0,"",H1027+NPV(G1027,I1027:M1027))</f>
        <v>-550201073.741362</v>
      </c>
      <c r="P1027" s="54" t="n">
        <f aca="true">RAND()</f>
        <v>0.450764529016338</v>
      </c>
      <c r="Q1027" s="54" t="n">
        <f aca="true">RAND()</f>
        <v>0.117282635196339</v>
      </c>
      <c r="R1027" s="54" t="n">
        <f aca="true">RAND()</f>
        <v>0.203587013471737</v>
      </c>
      <c r="S1027" s="54" t="n">
        <f aca="true">RAND()</f>
        <v>0.212890180904796</v>
      </c>
      <c r="T1027" s="54" t="n">
        <f aca="true">RAND()</f>
        <v>0.723818526423504</v>
      </c>
      <c r="U1027" s="54" t="n">
        <f aca="true">RAND()</f>
        <v>0.239592001346633</v>
      </c>
    </row>
    <row r="1028" customFormat="false" ht="15" hidden="false" customHeight="false" outlineLevel="0" collapsed="false">
      <c r="A1028" s="50" t="n">
        <v>948</v>
      </c>
      <c r="B1028" s="51" t="n">
        <f aca="false">1+IF($G$6=$E$6,$F$6,IF(P1028&lt;($F$6-$E$6)/($G$6-$E$6),$E$6+SQRT(P1028*($G$6-$E$6)*($F$6-$E$6)),$G$6-SQRT((1-P1028)*($G$6-$E$6)*($G$6-$F$6))))</f>
        <v>1.02881340034478</v>
      </c>
      <c r="C1028" s="51" t="n">
        <f aca="false">1+IF($G$7=$E$7,$F$7,IF(Q1028&lt;($F$7-$E$7)/($G$7-$E$7),$E$7+SQRT(Q1028*($G$7-$E$7)*($F$7-$E$7)),$G$7-SQRT((1-Q1028)*($G$7-$E$7)*($G$7-$F$7))))</f>
        <v>0.957522876404693</v>
      </c>
      <c r="D1028" s="51" t="n">
        <f aca="false">1+IF($G$8=$E$8,$F$8,IF(R1028&lt;($F$8-$E$8)/($G$8-$E$8),$E$8+SQRT(R1028*($G$8-$E$8)*($F$8-$E$8)),$G$8-SQRT((1-R1028)*($G$8-$E$8)*($G$8-$F$8))))</f>
        <v>1.04734417672019</v>
      </c>
      <c r="E1028" s="51" t="n">
        <f aca="false">1+IF($G$9=$E$9,$F$9,IF(S1028&lt;($F$9-$E$9)/($G$9-$E$9),$E$9+SQRT(S1028*($G$9-$E$9)*($F$9-$E$9)),$G$9-SQRT((1-S1028)*($G$9-$E$9)*($G$9-$F$9))))</f>
        <v>1.05207483532368</v>
      </c>
      <c r="F1028" s="51" t="n">
        <f aca="false">1+IF($G$10=$E$10,$F$10,IF(T1028&lt;($F$10-$E$10)/($G$10-$E$10),$E$10+SQRT(T1028*($G$10-$E$10)*($F$10-$E$10)),$G$10-SQRT((1-T1028)*($G$10-$E$10)*($G$10-$F$10))))</f>
        <v>1.04067750499129</v>
      </c>
      <c r="G1028" s="52" t="n">
        <f aca="false">IF($G$11=$E$11,$F$11,IF(U1028&lt;($F$11-$E$11)/($G$11-$E$11),$E$11+SQRT(U1028*($G$11-$E$11)*($F$11-$E$11)),$G$11-SQRT((1-U1028)*($G$11-$E$11)*($G$11-$F$11))))</f>
        <v>0.0961332623583523</v>
      </c>
      <c r="H1028" s="53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-2081355009.98257</v>
      </c>
      <c r="I1028" s="53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-11245108.9611585</v>
      </c>
      <c r="J1028" s="53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282250799.233073</v>
      </c>
      <c r="K1028" s="53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627780582.676868</v>
      </c>
      <c r="L1028" s="53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759658035.457101</v>
      </c>
      <c r="M1028" s="53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946908194.058959</v>
      </c>
      <c r="N1028" s="53" t="n">
        <f aca="false">IF(COUNT('Business Case'!B11:G11)=0,"",H1028+NPV(G1028,I1028:M1028))</f>
        <v>-255414024.878509</v>
      </c>
      <c r="P1028" s="54" t="n">
        <f aca="true">RAND()</f>
        <v>0.973929164198711</v>
      </c>
      <c r="Q1028" s="54" t="n">
        <f aca="true">RAND()</f>
        <v>0.354477951297261</v>
      </c>
      <c r="R1028" s="54" t="n">
        <f aca="true">RAND()</f>
        <v>0.897461269799813</v>
      </c>
      <c r="S1028" s="54" t="n">
        <f aca="true">RAND()</f>
        <v>0.846878572716498</v>
      </c>
      <c r="T1028" s="54" t="n">
        <f aca="true">RAND()</f>
        <v>0.492326851683972</v>
      </c>
      <c r="U1028" s="54" t="n">
        <f aca="true">RAND()</f>
        <v>0.125389690521269</v>
      </c>
    </row>
    <row r="1029" customFormat="false" ht="15" hidden="false" customHeight="false" outlineLevel="0" collapsed="false">
      <c r="A1029" s="50" t="n">
        <v>949</v>
      </c>
      <c r="B1029" s="51" t="n">
        <f aca="false">1+IF($G$6=$E$6,$F$6,IF(P1029&lt;($F$6-$E$6)/($G$6-$E$6),$E$6+SQRT(P1029*($G$6-$E$6)*($F$6-$E$6)),$G$6-SQRT((1-P1029)*($G$6-$E$6)*($G$6-$F$6))))</f>
        <v>0.970601810192956</v>
      </c>
      <c r="C1029" s="51" t="n">
        <f aca="false">1+IF($G$7=$E$7,$F$7,IF(Q1029&lt;($F$7-$E$7)/($G$7-$E$7),$E$7+SQRT(Q1029*($G$7-$E$7)*($F$7-$E$7)),$G$7-SQRT((1-Q1029)*($G$7-$E$7)*($G$7-$F$7))))</f>
        <v>0.880015340397579</v>
      </c>
      <c r="D1029" s="51" t="n">
        <f aca="false">1+IF($G$8=$E$8,$F$8,IF(R1029&lt;($F$8-$E$8)/($G$8-$E$8),$E$8+SQRT(R1029*($G$8-$E$8)*($F$8-$E$8)),$G$8-SQRT((1-R1029)*($G$8-$E$8)*($G$8-$F$8))))</f>
        <v>1.0112090200209</v>
      </c>
      <c r="E1029" s="51" t="n">
        <f aca="false">1+IF($G$9=$E$9,$F$9,IF(S1029&lt;($F$9-$E$9)/($G$9-$E$9),$E$9+SQRT(S1029*($G$9-$E$9)*($F$9-$E$9)),$G$9-SQRT((1-S1029)*($G$9-$E$9)*($G$9-$F$9))))</f>
        <v>0.967964215582395</v>
      </c>
      <c r="F1029" s="51" t="n">
        <f aca="false">1+IF($G$10=$E$10,$F$10,IF(T1029&lt;($F$10-$E$10)/($G$10-$E$10),$E$10+SQRT(T1029*($G$10-$E$10)*($F$10-$E$10)),$G$10-SQRT((1-T1029)*($G$10-$E$10)*($G$10-$F$10))))</f>
        <v>1.10055885751131</v>
      </c>
      <c r="G1029" s="52" t="n">
        <f aca="false">IF($G$11=$E$11,$F$11,IF(U1029&lt;($F$11-$E$11)/($G$11-$E$11),$E$11+SQRT(U1029*($G$11-$E$11)*($F$11-$E$11)),$G$11-SQRT((1-U1029)*($G$11-$E$11)*($G$11-$F$11))))</f>
        <v>0.0999318239209533</v>
      </c>
      <c r="H1029" s="53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-2201117715.02261</v>
      </c>
      <c r="I1029" s="53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-47920505.7228535</v>
      </c>
      <c r="J1029" s="53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196138235.728206</v>
      </c>
      <c r="K1029" s="53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495224920.054831</v>
      </c>
      <c r="L1029" s="53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606097067.183161</v>
      </c>
      <c r="M1029" s="53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768452850.39537</v>
      </c>
      <c r="N1029" s="53" t="n">
        <f aca="false">IF(COUNT('Business Case'!B11:G11)=0,"",H1029+NPV(G1029,I1029:M1029))</f>
        <v>-819055949.90146</v>
      </c>
      <c r="P1029" s="54" t="n">
        <f aca="true">RAND()</f>
        <v>0.26672324945874</v>
      </c>
      <c r="Q1029" s="54" t="n">
        <f aca="true">RAND()</f>
        <v>0.0914636385562929</v>
      </c>
      <c r="R1029" s="54" t="n">
        <f aca="true">RAND()</f>
        <v>0.544980872453397</v>
      </c>
      <c r="S1029" s="54" t="n">
        <f aca="true">RAND()</f>
        <v>0.0430284055321029</v>
      </c>
      <c r="T1029" s="54" t="n">
        <f aca="true">RAND()</f>
        <v>0.802229183610861</v>
      </c>
      <c r="U1029" s="54" t="n">
        <f aca="true">RAND()</f>
        <v>0.32880375465607</v>
      </c>
    </row>
    <row r="1030" customFormat="false" ht="15" hidden="false" customHeight="false" outlineLevel="0" collapsed="false">
      <c r="A1030" s="50" t="n">
        <v>950</v>
      </c>
      <c r="B1030" s="51" t="n">
        <f aca="false">1+IF($G$6=$E$6,$F$6,IF(P1030&lt;($F$6-$E$6)/($G$6-$E$6),$E$6+SQRT(P1030*($G$6-$E$6)*($F$6-$E$6)),$G$6-SQRT((1-P1030)*($G$6-$E$6)*($G$6-$F$6))))</f>
        <v>1.02676460579312</v>
      </c>
      <c r="C1030" s="51" t="n">
        <f aca="false">1+IF($G$7=$E$7,$F$7,IF(Q1030&lt;($F$7-$E$7)/($G$7-$E$7),$E$7+SQRT(Q1030*($G$7-$E$7)*($F$7-$E$7)),$G$7-SQRT((1-Q1030)*($G$7-$E$7)*($G$7-$F$7))))</f>
        <v>1.02164917781984</v>
      </c>
      <c r="D1030" s="51" t="n">
        <f aca="false">1+IF($G$8=$E$8,$F$8,IF(R1030&lt;($F$8-$E$8)/($G$8-$E$8),$E$8+SQRT(R1030*($G$8-$E$8)*($F$8-$E$8)),$G$8-SQRT((1-R1030)*($G$8-$E$8)*($G$8-$F$8))))</f>
        <v>1.00551947073543</v>
      </c>
      <c r="E1030" s="51" t="n">
        <f aca="false">1+IF($G$9=$E$9,$F$9,IF(S1030&lt;($F$9-$E$9)/($G$9-$E$9),$E$9+SQRT(S1030*($G$9-$E$9)*($F$9-$E$9)),$G$9-SQRT((1-S1030)*($G$9-$E$9)*($G$9-$F$9))))</f>
        <v>1.00419527151594</v>
      </c>
      <c r="F1030" s="51" t="n">
        <f aca="false">1+IF($G$10=$E$10,$F$10,IF(T1030&lt;($F$10-$E$10)/($G$10-$E$10),$E$10+SQRT(T1030*($G$10-$E$10)*($F$10-$E$10)),$G$10-SQRT((1-T1030)*($G$10-$E$10)*($G$10-$F$10))))</f>
        <v>1.16574093293613</v>
      </c>
      <c r="G1030" s="52" t="n">
        <f aca="false">IF($G$11=$E$11,$F$11,IF(U1030&lt;($F$11-$E$11)/($G$11-$E$11),$E$11+SQRT(U1030*($G$11-$E$11)*($F$11-$E$11)),$G$11-SQRT((1-U1030)*($G$11-$E$11)*($G$11-$F$11))))</f>
        <v>0.1025524962271</v>
      </c>
      <c r="H1030" s="53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-2331481865.87225</v>
      </c>
      <c r="I1030" s="53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19561156.7607532</v>
      </c>
      <c r="J1030" s="53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352872782.707033</v>
      </c>
      <c r="K1030" s="53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744471455.30012</v>
      </c>
      <c r="L1030" s="53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891828536.137111</v>
      </c>
      <c r="M1030" s="53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1091221166.50572</v>
      </c>
      <c r="N1030" s="53" t="n">
        <f aca="false">IF(COUNT('Business Case'!B11:G11)=0,"",H1030+NPV(G1030,I1030:M1030))</f>
        <v>-194736413.936461</v>
      </c>
      <c r="P1030" s="54" t="n">
        <f aca="true">RAND()</f>
        <v>0.963505070872617</v>
      </c>
      <c r="Q1030" s="54" t="n">
        <f aca="true">RAND()</f>
        <v>0.686210789441452</v>
      </c>
      <c r="R1030" s="54" t="n">
        <f aca="true">RAND()</f>
        <v>0.466601034660514</v>
      </c>
      <c r="S1030" s="54" t="n">
        <f aca="true">RAND()</f>
        <v>0.388096933339738</v>
      </c>
      <c r="T1030" s="54" t="n">
        <f aca="true">RAND()</f>
        <v>0.976526326478259</v>
      </c>
      <c r="U1030" s="54" t="n">
        <f aca="true">RAND()</f>
        <v>0.492641020157711</v>
      </c>
    </row>
    <row r="1031" customFormat="false" ht="15" hidden="false" customHeight="false" outlineLevel="0" collapsed="false">
      <c r="A1031" s="50" t="n">
        <v>951</v>
      </c>
      <c r="B1031" s="51" t="n">
        <f aca="false">1+IF($G$6=$E$6,$F$6,IF(P1031&lt;($F$6-$E$6)/($G$6-$E$6),$E$6+SQRT(P1031*($G$6-$E$6)*($F$6-$E$6)),$G$6-SQRT((1-P1031)*($G$6-$E$6)*($G$6-$F$6))))</f>
        <v>0.984842619857739</v>
      </c>
      <c r="C1031" s="51" t="n">
        <f aca="false">1+IF($G$7=$E$7,$F$7,IF(Q1031&lt;($F$7-$E$7)/($G$7-$E$7),$E$7+SQRT(Q1031*($G$7-$E$7)*($F$7-$E$7)),$G$7-SQRT((1-Q1031)*($G$7-$E$7)*($G$7-$F$7))))</f>
        <v>1.11260750480579</v>
      </c>
      <c r="D1031" s="51" t="n">
        <f aca="false">1+IF($G$8=$E$8,$F$8,IF(R1031&lt;($F$8-$E$8)/($G$8-$E$8),$E$8+SQRT(R1031*($G$8-$E$8)*($F$8-$E$8)),$G$8-SQRT((1-R1031)*($G$8-$E$8)*($G$8-$F$8))))</f>
        <v>0.994561636160514</v>
      </c>
      <c r="E1031" s="51" t="n">
        <f aca="false">1+IF($G$9=$E$9,$F$9,IF(S1031&lt;($F$9-$E$9)/($G$9-$E$9),$E$9+SQRT(S1031*($G$9-$E$9)*($F$9-$E$9)),$G$9-SQRT((1-S1031)*($G$9-$E$9)*($G$9-$F$9))))</f>
        <v>0.987936413601899</v>
      </c>
      <c r="F1031" s="51" t="n">
        <f aca="false">1+IF($G$10=$E$10,$F$10,IF(T1031&lt;($F$10-$E$10)/($G$10-$E$10),$E$10+SQRT(T1031*($G$10-$E$10)*($F$10-$E$10)),$G$10-SQRT((1-T1031)*($G$10-$E$10)*($G$10-$F$10))))</f>
        <v>1.16589557133512</v>
      </c>
      <c r="G1031" s="52" t="n">
        <f aca="false">IF($G$11=$E$11,$F$11,IF(U1031&lt;($F$11-$E$11)/($G$11-$E$11),$E$11+SQRT(U1031*($G$11-$E$11)*($F$11-$E$11)),$G$11-SQRT((1-U1031)*($G$11-$E$11)*($G$11-$F$11))))</f>
        <v>0.097594262020471</v>
      </c>
      <c r="H1031" s="53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-2331791142.67023</v>
      </c>
      <c r="I1031" s="53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17146674.1162668</v>
      </c>
      <c r="J1031" s="53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348170795.528979</v>
      </c>
      <c r="K1031" s="53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737489695.508447</v>
      </c>
      <c r="L1031" s="53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885699957.411847</v>
      </c>
      <c r="M1031" s="53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1093978841.95724</v>
      </c>
      <c r="N1031" s="53" t="n">
        <f aca="false">IF(COUNT('Business Case'!B11:G11)=0,"",H1031+NPV(G1031,I1031:M1031))</f>
        <v>-172405616.129281</v>
      </c>
      <c r="P1031" s="54" t="n">
        <f aca="true">RAND()</f>
        <v>0.437975557293256</v>
      </c>
      <c r="Q1031" s="54" t="n">
        <f aca="true">RAND()</f>
        <v>0.973367643869548</v>
      </c>
      <c r="R1031" s="54" t="n">
        <f aca="true">RAND()</f>
        <v>0.305498371892617</v>
      </c>
      <c r="S1031" s="54" t="n">
        <f aca="true">RAND()</f>
        <v>0.191889530263249</v>
      </c>
      <c r="T1031" s="54" t="n">
        <f aca="true">RAND()</f>
        <v>0.976737758908836</v>
      </c>
      <c r="U1031" s="54" t="n">
        <f aca="true">RAND()</f>
        <v>0.192242718785226</v>
      </c>
    </row>
    <row r="1032" customFormat="false" ht="15" hidden="false" customHeight="false" outlineLevel="0" collapsed="false">
      <c r="A1032" s="50" t="n">
        <v>952</v>
      </c>
      <c r="B1032" s="51" t="n">
        <f aca="false">1+IF($G$6=$E$6,$F$6,IF(P1032&lt;($F$6-$E$6)/($G$6-$E$6),$E$6+SQRT(P1032*($G$6-$E$6)*($F$6-$E$6)),$G$6-SQRT((1-P1032)*($G$6-$E$6)*($G$6-$F$6))))</f>
        <v>0.938530478837731</v>
      </c>
      <c r="C1032" s="51" t="n">
        <f aca="false">1+IF($G$7=$E$7,$F$7,IF(Q1032&lt;($F$7-$E$7)/($G$7-$E$7),$E$7+SQRT(Q1032*($G$7-$E$7)*($F$7-$E$7)),$G$7-SQRT((1-Q1032)*($G$7-$E$7)*($G$7-$F$7))))</f>
        <v>0.958106711176543</v>
      </c>
      <c r="D1032" s="51" t="n">
        <f aca="false">1+IF($G$8=$E$8,$F$8,IF(R1032&lt;($F$8-$E$8)/($G$8-$E$8),$E$8+SQRT(R1032*($G$8-$E$8)*($F$8-$E$8)),$G$8-SQRT((1-R1032)*($G$8-$E$8)*($G$8-$F$8))))</f>
        <v>1.02758994131167</v>
      </c>
      <c r="E1032" s="51" t="n">
        <f aca="false">1+IF($G$9=$E$9,$F$9,IF(S1032&lt;($F$9-$E$9)/($G$9-$E$9),$E$9+SQRT(S1032*($G$9-$E$9)*($F$9-$E$9)),$G$9-SQRT((1-S1032)*($G$9-$E$9)*($G$9-$F$9))))</f>
        <v>1.0124280610063</v>
      </c>
      <c r="F1032" s="51" t="n">
        <f aca="false">1+IF($G$10=$E$10,$F$10,IF(T1032&lt;($F$10-$E$10)/($G$10-$E$10),$E$10+SQRT(T1032*($G$10-$E$10)*($F$10-$E$10)),$G$10-SQRT((1-T1032)*($G$10-$E$10)*($G$10-$F$10))))</f>
        <v>1.05930665482768</v>
      </c>
      <c r="G1032" s="52" t="n">
        <f aca="false">IF($G$11=$E$11,$F$11,IF(U1032&lt;($F$11-$E$11)/($G$11-$E$11),$E$11+SQRT(U1032*($G$11-$E$11)*($F$11-$E$11)),$G$11-SQRT((1-U1032)*($G$11-$E$11)*($G$11-$F$11))))</f>
        <v>0.106530349900325</v>
      </c>
      <c r="H1032" s="53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-2118613309.65536</v>
      </c>
      <c r="I1032" s="53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-63999581.8397164</v>
      </c>
      <c r="J1032" s="53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168513940.324109</v>
      </c>
      <c r="K1032" s="53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453992795.229318</v>
      </c>
      <c r="L1032" s="53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562574081.44771</v>
      </c>
      <c r="M1032" s="53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733496365.015195</v>
      </c>
      <c r="N1032" s="53" t="n">
        <f aca="false">IF(COUNT('Business Case'!B11:G11)=0,"",H1032+NPV(G1032,I1032:M1032))</f>
        <v>-886317735.905089</v>
      </c>
      <c r="P1032" s="54" t="n">
        <f aca="true">RAND()</f>
        <v>0.0357686089537065</v>
      </c>
      <c r="Q1032" s="54" t="n">
        <f aca="true">RAND()</f>
        <v>0.357110458843756</v>
      </c>
      <c r="R1032" s="54" t="n">
        <f aca="true">RAND()</f>
        <v>0.735883245027508</v>
      </c>
      <c r="S1032" s="54" t="n">
        <f aca="true">RAND()</f>
        <v>0.488743700058896</v>
      </c>
      <c r="T1032" s="54" t="n">
        <f aca="true">RAND()</f>
        <v>0.604107652484452</v>
      </c>
      <c r="U1032" s="54" t="n">
        <f aca="true">RAND()</f>
        <v>0.697614210320536</v>
      </c>
    </row>
    <row r="1033" customFormat="false" ht="15" hidden="false" customHeight="false" outlineLevel="0" collapsed="false">
      <c r="A1033" s="50" t="n">
        <v>953</v>
      </c>
      <c r="B1033" s="51" t="n">
        <f aca="false">1+IF($G$6=$E$6,$F$6,IF(P1033&lt;($F$6-$E$6)/($G$6-$E$6),$E$6+SQRT(P1033*($G$6-$E$6)*($F$6-$E$6)),$G$6-SQRT((1-P1033)*($G$6-$E$6)*($G$6-$F$6))))</f>
        <v>1.00460982403819</v>
      </c>
      <c r="C1033" s="51" t="n">
        <f aca="false">1+IF($G$7=$E$7,$F$7,IF(Q1033&lt;($F$7-$E$7)/($G$7-$E$7),$E$7+SQRT(Q1033*($G$7-$E$7)*($F$7-$E$7)),$G$7-SQRT((1-Q1033)*($G$7-$E$7)*($G$7-$F$7))))</f>
        <v>0.940938050782104</v>
      </c>
      <c r="D1033" s="51" t="n">
        <f aca="false">1+IF($G$8=$E$8,$F$8,IF(R1033&lt;($F$8-$E$8)/($G$8-$E$8),$E$8+SQRT(R1033*($G$8-$E$8)*($F$8-$E$8)),$G$8-SQRT((1-R1033)*($G$8-$E$8)*($G$8-$F$8))))</f>
        <v>0.983372051648606</v>
      </c>
      <c r="E1033" s="51" t="n">
        <f aca="false">1+IF($G$9=$E$9,$F$9,IF(S1033&lt;($F$9-$E$9)/($G$9-$E$9),$E$9+SQRT(S1033*($G$9-$E$9)*($F$9-$E$9)),$G$9-SQRT((1-S1033)*($G$9-$E$9)*($G$9-$F$9))))</f>
        <v>1.02100531021954</v>
      </c>
      <c r="F1033" s="51" t="n">
        <f aca="false">1+IF($G$10=$E$10,$F$10,IF(T1033&lt;($F$10-$E$10)/($G$10-$E$10),$E$10+SQRT(T1033*($G$10-$E$10)*($F$10-$E$10)),$G$10-SQRT((1-T1033)*($G$10-$E$10)*($G$10-$F$10))))</f>
        <v>0.998575734525579</v>
      </c>
      <c r="G1033" s="52" t="n">
        <f aca="false">IF($G$11=$E$11,$F$11,IF(U1033&lt;($F$11-$E$11)/($G$11-$E$11),$E$11+SQRT(U1033*($G$11-$E$11)*($F$11-$E$11)),$G$11-SQRT((1-U1033)*($G$11-$E$11)*($G$11-$F$11))))</f>
        <v>0.0986109771463641</v>
      </c>
      <c r="H1033" s="53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-1997151469.05116</v>
      </c>
      <c r="I1033" s="53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6525594.42054199</v>
      </c>
      <c r="J1033" s="53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307098805.009927</v>
      </c>
      <c r="K1033" s="53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657600802.32559</v>
      </c>
      <c r="L1033" s="53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790460597.590763</v>
      </c>
      <c r="M1033" s="53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970138585.468673</v>
      </c>
      <c r="N1033" s="53" t="n">
        <f aca="false">IF(COUNT('Business Case'!B11:G11)=0,"",H1033+NPV(G1033,I1033:M1033))</f>
        <v>-91998848.8791716</v>
      </c>
      <c r="P1033" s="54" t="n">
        <f aca="true">RAND()</f>
        <v>0.739069884456754</v>
      </c>
      <c r="Q1033" s="54" t="n">
        <f aca="true">RAND()</f>
        <v>0.283764773689414</v>
      </c>
      <c r="R1033" s="54" t="n">
        <f aca="true">RAND()</f>
        <v>0.171337512498037</v>
      </c>
      <c r="S1033" s="54" t="n">
        <f aca="true">RAND()</f>
        <v>0.583989265765909</v>
      </c>
      <c r="T1033" s="54" t="n">
        <f aca="true">RAND()</f>
        <v>0.188768158775965</v>
      </c>
      <c r="U1033" s="54" t="n">
        <f aca="true">RAND()</f>
        <v>0.247163091384016</v>
      </c>
    </row>
    <row r="1034" customFormat="false" ht="15" hidden="false" customHeight="false" outlineLevel="0" collapsed="false">
      <c r="A1034" s="50" t="n">
        <v>954</v>
      </c>
      <c r="B1034" s="51" t="n">
        <f aca="false">1+IF($G$6=$E$6,$F$6,IF(P1034&lt;($F$6-$E$6)/($G$6-$E$6),$E$6+SQRT(P1034*($G$6-$E$6)*($F$6-$E$6)),$G$6-SQRT((1-P1034)*($G$6-$E$6)*($G$6-$F$6))))</f>
        <v>0.979937563023779</v>
      </c>
      <c r="C1034" s="51" t="n">
        <f aca="false">1+IF($G$7=$E$7,$F$7,IF(Q1034&lt;($F$7-$E$7)/($G$7-$E$7),$E$7+SQRT(Q1034*($G$7-$E$7)*($F$7-$E$7)),$G$7-SQRT((1-Q1034)*($G$7-$E$7)*($G$7-$F$7))))</f>
        <v>0.994525643286171</v>
      </c>
      <c r="D1034" s="51" t="n">
        <f aca="false">1+IF($G$8=$E$8,$F$8,IF(R1034&lt;($F$8-$E$8)/($G$8-$E$8),$E$8+SQRT(R1034*($G$8-$E$8)*($F$8-$E$8)),$G$8-SQRT((1-R1034)*($G$8-$E$8)*($G$8-$F$8))))</f>
        <v>1.0194863823064</v>
      </c>
      <c r="E1034" s="51" t="n">
        <f aca="false">1+IF($G$9=$E$9,$F$9,IF(S1034&lt;($F$9-$E$9)/($G$9-$E$9),$E$9+SQRT(S1034*($G$9-$E$9)*($F$9-$E$9)),$G$9-SQRT((1-S1034)*($G$9-$E$9)*($G$9-$F$9))))</f>
        <v>1.01747815545396</v>
      </c>
      <c r="F1034" s="51" t="n">
        <f aca="false">1+IF($G$10=$E$10,$F$10,IF(T1034&lt;($F$10-$E$10)/($G$10-$E$10),$E$10+SQRT(T1034*($G$10-$E$10)*($F$10-$E$10)),$G$10-SQRT((1-T1034)*($G$10-$E$10)*($G$10-$F$10))))</f>
        <v>1.04927645586285</v>
      </c>
      <c r="G1034" s="52" t="n">
        <f aca="false">IF($G$11=$E$11,$F$11,IF(U1034&lt;($F$11-$E$11)/($G$11-$E$11),$E$11+SQRT(U1034*($G$11-$E$11)*($F$11-$E$11)),$G$11-SQRT((1-U1034)*($G$11-$E$11)*($G$11-$F$11))))</f>
        <v>0.10030270355057</v>
      </c>
      <c r="H1034" s="53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-2098552911.7257</v>
      </c>
      <c r="I1034" s="53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-20927847.1801722</v>
      </c>
      <c r="J1034" s="53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258279211.078672</v>
      </c>
      <c r="K1034" s="53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589950092.13066</v>
      </c>
      <c r="L1034" s="53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716700355.648394</v>
      </c>
      <c r="M1034" s="53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901947198.18805</v>
      </c>
      <c r="N1034" s="53" t="n">
        <f aca="false">IF(COUNT('Business Case'!B11:G11)=0,"",H1034+NPV(G1034,I1034:M1034))</f>
        <v>-413118170.745975</v>
      </c>
      <c r="P1034" s="54" t="n">
        <f aca="true">RAND()</f>
        <v>0.374219943878076</v>
      </c>
      <c r="Q1034" s="54" t="n">
        <f aca="true">RAND()</f>
        <v>0.540574655655694</v>
      </c>
      <c r="R1034" s="54" t="n">
        <f aca="true">RAND()</f>
        <v>0.647894430156959</v>
      </c>
      <c r="S1034" s="54" t="n">
        <f aca="true">RAND()</f>
        <v>0.546009678181273</v>
      </c>
      <c r="T1034" s="54" t="n">
        <f aca="true">RAND()</f>
        <v>0.545648264854723</v>
      </c>
      <c r="U1034" s="54" t="n">
        <f aca="true">RAND()</f>
        <v>0.353360854305475</v>
      </c>
    </row>
    <row r="1035" customFormat="false" ht="15" hidden="false" customHeight="false" outlineLevel="0" collapsed="false">
      <c r="A1035" s="50" t="n">
        <v>955</v>
      </c>
      <c r="B1035" s="51" t="n">
        <f aca="false">1+IF($G$6=$E$6,$F$6,IF(P1035&lt;($F$6-$E$6)/($G$6-$E$6),$E$6+SQRT(P1035*($G$6-$E$6)*($F$6-$E$6)),$G$6-SQRT((1-P1035)*($G$6-$E$6)*($G$6-$F$6))))</f>
        <v>0.994457741031912</v>
      </c>
      <c r="C1035" s="51" t="n">
        <f aca="false">1+IF($G$7=$E$7,$F$7,IF(Q1035&lt;($F$7-$E$7)/($G$7-$E$7),$E$7+SQRT(Q1035*($G$7-$E$7)*($F$7-$E$7)),$G$7-SQRT((1-Q1035)*($G$7-$E$7)*($G$7-$F$7))))</f>
        <v>0.915148323812075</v>
      </c>
      <c r="D1035" s="51" t="n">
        <f aca="false">1+IF($G$8=$E$8,$F$8,IF(R1035&lt;($F$8-$E$8)/($G$8-$E$8),$E$8+SQRT(R1035*($G$8-$E$8)*($F$8-$E$8)),$G$8-SQRT((1-R1035)*($G$8-$E$8)*($G$8-$F$8))))</f>
        <v>1.02590356171765</v>
      </c>
      <c r="E1035" s="51" t="n">
        <f aca="false">1+IF($G$9=$E$9,$F$9,IF(S1035&lt;($F$9-$E$9)/($G$9-$E$9),$E$9+SQRT(S1035*($G$9-$E$9)*($F$9-$E$9)),$G$9-SQRT((1-S1035)*($G$9-$E$9)*($G$9-$F$9))))</f>
        <v>0.972310968231361</v>
      </c>
      <c r="F1035" s="51" t="n">
        <f aca="false">1+IF($G$10=$E$10,$F$10,IF(T1035&lt;($F$10-$E$10)/($G$10-$E$10),$E$10+SQRT(T1035*($G$10-$E$10)*($F$10-$E$10)),$G$10-SQRT((1-T1035)*($G$10-$E$10)*($G$10-$F$10))))</f>
        <v>0.982370780108141</v>
      </c>
      <c r="G1035" s="52" t="n">
        <f aca="false">IF($G$11=$E$11,$F$11,IF(U1035&lt;($F$11-$E$11)/($G$11-$E$11),$E$11+SQRT(U1035*($G$11-$E$11)*($F$11-$E$11)),$G$11-SQRT((1-U1035)*($G$11-$E$11)*($G$11-$F$11))))</f>
        <v>0.0977264755736</v>
      </c>
      <c r="H1035" s="53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-1964741560.21628</v>
      </c>
      <c r="I1035" s="53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-18878112.4206054</v>
      </c>
      <c r="J1035" s="53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245921830.048513</v>
      </c>
      <c r="K1035" s="53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559840311.523039</v>
      </c>
      <c r="L1035" s="53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679559197.143685</v>
      </c>
      <c r="M1035" s="53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852546506.863855</v>
      </c>
      <c r="N1035" s="53" t="n">
        <f aca="false">IF(COUNT('Business Case'!B11:G11)=0,"",H1035+NPV(G1035,I1035:M1035))</f>
        <v>-351745714.165247</v>
      </c>
      <c r="P1035" s="54" t="n">
        <f aca="true">RAND()</f>
        <v>0.577495333289084</v>
      </c>
      <c r="Q1035" s="54" t="n">
        <f aca="true">RAND()</f>
        <v>0.189416235381862</v>
      </c>
      <c r="R1035" s="54" t="n">
        <f aca="true">RAND()</f>
        <v>0.718613015881094</v>
      </c>
      <c r="S1035" s="54" t="n">
        <f aca="true">RAND()</f>
        <v>0.06637057378944</v>
      </c>
      <c r="T1035" s="54" t="n">
        <f aca="true">RAND()</f>
        <v>0.0838293923847676</v>
      </c>
      <c r="U1035" s="54" t="n">
        <f aca="true">RAND()</f>
        <v>0.198994749298123</v>
      </c>
    </row>
    <row r="1036" customFormat="false" ht="15" hidden="false" customHeight="false" outlineLevel="0" collapsed="false">
      <c r="A1036" s="50" t="n">
        <v>956</v>
      </c>
      <c r="B1036" s="51" t="n">
        <f aca="false">1+IF($G$6=$E$6,$F$6,IF(P1036&lt;($F$6-$E$6)/($G$6-$E$6),$E$6+SQRT(P1036*($G$6-$E$6)*($F$6-$E$6)),$G$6-SQRT((1-P1036)*($G$6-$E$6)*($G$6-$F$6))))</f>
        <v>1.02081889839534</v>
      </c>
      <c r="C1036" s="51" t="n">
        <f aca="false">1+IF($G$7=$E$7,$F$7,IF(Q1036&lt;($F$7-$E$7)/($G$7-$E$7),$E$7+SQRT(Q1036*($G$7-$E$7)*($F$7-$E$7)),$G$7-SQRT((1-Q1036)*($G$7-$E$7)*($G$7-$F$7))))</f>
        <v>1.06862020632722</v>
      </c>
      <c r="D1036" s="51" t="n">
        <f aca="false">1+IF($G$8=$E$8,$F$8,IF(R1036&lt;($F$8-$E$8)/($G$8-$E$8),$E$8+SQRT(R1036*($G$8-$E$8)*($F$8-$E$8)),$G$8-SQRT((1-R1036)*($G$8-$E$8)*($G$8-$F$8))))</f>
        <v>0.974925859920898</v>
      </c>
      <c r="E1036" s="51" t="n">
        <f aca="false">1+IF($G$9=$E$9,$F$9,IF(S1036&lt;($F$9-$E$9)/($G$9-$E$9),$E$9+SQRT(S1036*($G$9-$E$9)*($F$9-$E$9)),$G$9-SQRT((1-S1036)*($G$9-$E$9)*($G$9-$F$9))))</f>
        <v>0.996994371357116</v>
      </c>
      <c r="F1036" s="51" t="n">
        <f aca="false">1+IF($G$10=$E$10,$F$10,IF(T1036&lt;($F$10-$E$10)/($G$10-$E$10),$E$10+SQRT(T1036*($G$10-$E$10)*($F$10-$E$10)),$G$10-SQRT((1-T1036)*($G$10-$E$10)*($G$10-$F$10))))</f>
        <v>1.11586329390118</v>
      </c>
      <c r="G1036" s="52" t="n">
        <f aca="false">IF($G$11=$E$11,$F$11,IF(U1036&lt;($F$11-$E$11)/($G$11-$E$11),$E$11+SQRT(U1036*($G$11-$E$11)*($F$11-$E$11)),$G$11-SQRT((1-U1036)*($G$11-$E$11)*($G$11-$F$11))))</f>
        <v>0.117906263347493</v>
      </c>
      <c r="H1036" s="53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-2231726587.80237</v>
      </c>
      <c r="I1036" s="53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50258383.1739227</v>
      </c>
      <c r="J1036" s="53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410426277.007603</v>
      </c>
      <c r="K1036" s="53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826387335.536343</v>
      </c>
      <c r="L1036" s="53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984143687.922675</v>
      </c>
      <c r="M1036" s="53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1191495820.68575</v>
      </c>
      <c r="N1036" s="53" t="n">
        <f aca="false">IF(COUNT('Business Case'!B11:G11)=0,"",H1036+NPV(G1036,I1036:M1036))</f>
        <v>45746007.403306</v>
      </c>
      <c r="P1036" s="54" t="n">
        <f aca="true">RAND()</f>
        <v>0.923351112756631</v>
      </c>
      <c r="Q1036" s="54" t="n">
        <f aca="true">RAND()</f>
        <v>0.873853889176671</v>
      </c>
      <c r="R1036" s="54" t="n">
        <f aca="true">RAND()</f>
        <v>0.0955843835071111</v>
      </c>
      <c r="S1036" s="54" t="n">
        <f aca="true">RAND()</f>
        <v>0.294462791900075</v>
      </c>
      <c r="T1036" s="54" t="n">
        <f aca="true">RAND()</f>
        <v>0.85842029373683</v>
      </c>
      <c r="U1036" s="54" t="n">
        <f aca="true">RAND()</f>
        <v>0.992693778049917</v>
      </c>
    </row>
    <row r="1037" customFormat="false" ht="15" hidden="false" customHeight="false" outlineLevel="0" collapsed="false">
      <c r="A1037" s="50" t="n">
        <v>957</v>
      </c>
      <c r="B1037" s="51" t="n">
        <f aca="false">1+IF($G$6=$E$6,$F$6,IF(P1037&lt;($F$6-$E$6)/($G$6-$E$6),$E$6+SQRT(P1037*($G$6-$E$6)*($F$6-$E$6)),$G$6-SQRT((1-P1037)*($G$6-$E$6)*($G$6-$F$6))))</f>
        <v>0.955369199498361</v>
      </c>
      <c r="C1037" s="51" t="n">
        <f aca="false">1+IF($G$7=$E$7,$F$7,IF(Q1037&lt;($F$7-$E$7)/($G$7-$E$7),$E$7+SQRT(Q1037*($G$7-$E$7)*($F$7-$E$7)),$G$7-SQRT((1-Q1037)*($G$7-$E$7)*($G$7-$F$7))))</f>
        <v>1.03491591414856</v>
      </c>
      <c r="D1037" s="51" t="n">
        <f aca="false">1+IF($G$8=$E$8,$F$8,IF(R1037&lt;($F$8-$E$8)/($G$8-$E$8),$E$8+SQRT(R1037*($G$8-$E$8)*($F$8-$E$8)),$G$8-SQRT((1-R1037)*($G$8-$E$8)*($G$8-$F$8))))</f>
        <v>1.02199220934405</v>
      </c>
      <c r="E1037" s="51" t="n">
        <f aca="false">1+IF($G$9=$E$9,$F$9,IF(S1037&lt;($F$9-$E$9)/($G$9-$E$9),$E$9+SQRT(S1037*($G$9-$E$9)*($F$9-$E$9)),$G$9-SQRT((1-S1037)*($G$9-$E$9)*($G$9-$F$9))))</f>
        <v>0.982463796379558</v>
      </c>
      <c r="F1037" s="51" t="n">
        <f aca="false">1+IF($G$10=$E$10,$F$10,IF(T1037&lt;($F$10-$E$10)/($G$10-$E$10),$E$10+SQRT(T1037*($G$10-$E$10)*($F$10-$E$10)),$G$10-SQRT((1-T1037)*($G$10-$E$10)*($G$10-$F$10))))</f>
        <v>1.05160925258965</v>
      </c>
      <c r="G1037" s="52" t="n">
        <f aca="false">IF($G$11=$E$11,$F$11,IF(U1037&lt;($F$11-$E$11)/($G$11-$E$11),$E$11+SQRT(U1037*($G$11-$E$11)*($F$11-$E$11)),$G$11-SQRT((1-U1037)*($G$11-$E$11)*($G$11-$F$11))))</f>
        <v>0.107802317403225</v>
      </c>
      <c r="H1037" s="53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-2103218505.1793</v>
      </c>
      <c r="I1037" s="53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-27729944.4813363</v>
      </c>
      <c r="J1037" s="53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240662984.854621</v>
      </c>
      <c r="K1037" s="53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561636376.820062</v>
      </c>
      <c r="L1037" s="53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685271084.407485</v>
      </c>
      <c r="M1037" s="53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873208272.355722</v>
      </c>
      <c r="N1037" s="53" t="n">
        <f aca="false">IF(COUNT('Business Case'!B11:G11)=0,"",H1037+NPV(G1037,I1037:M1037))</f>
        <v>-540664962.999712</v>
      </c>
      <c r="P1037" s="54" t="n">
        <f aca="true">RAND()</f>
        <v>0.130310445120299</v>
      </c>
      <c r="Q1037" s="54" t="n">
        <f aca="true">RAND()</f>
        <v>0.747726727309288</v>
      </c>
      <c r="R1037" s="54" t="n">
        <f aca="true">RAND()</f>
        <v>0.676451559924531</v>
      </c>
      <c r="S1037" s="54" t="n">
        <f aca="true">RAND()</f>
        <v>0.140519743383121</v>
      </c>
      <c r="T1037" s="54" t="n">
        <f aca="true">RAND()</f>
        <v>0.559603721659949</v>
      </c>
      <c r="U1037" s="54" t="n">
        <f aca="true">RAND()</f>
        <v>0.752027565447223</v>
      </c>
    </row>
    <row r="1038" customFormat="false" ht="15" hidden="false" customHeight="false" outlineLevel="0" collapsed="false">
      <c r="A1038" s="50" t="n">
        <v>958</v>
      </c>
      <c r="B1038" s="51" t="n">
        <f aca="false">1+IF($G$6=$E$6,$F$6,IF(P1038&lt;($F$6-$E$6)/($G$6-$E$6),$E$6+SQRT(P1038*($G$6-$E$6)*($F$6-$E$6)),$G$6-SQRT((1-P1038)*($G$6-$E$6)*($G$6-$F$6))))</f>
        <v>0.93234101352961</v>
      </c>
      <c r="C1038" s="51" t="n">
        <f aca="false">1+IF($G$7=$E$7,$F$7,IF(Q1038&lt;($F$7-$E$7)/($G$7-$E$7),$E$7+SQRT(Q1038*($G$7-$E$7)*($F$7-$E$7)),$G$7-SQRT((1-Q1038)*($G$7-$E$7)*($G$7-$F$7))))</f>
        <v>1.06503084476673</v>
      </c>
      <c r="D1038" s="51" t="n">
        <f aca="false">1+IF($G$8=$E$8,$F$8,IF(R1038&lt;($F$8-$E$8)/($G$8-$E$8),$E$8+SQRT(R1038*($G$8-$E$8)*($F$8-$E$8)),$G$8-SQRT((1-R1038)*($G$8-$E$8)*($G$8-$F$8))))</f>
        <v>1.03614387598235</v>
      </c>
      <c r="E1038" s="51" t="n">
        <f aca="false">1+IF($G$9=$E$9,$F$9,IF(S1038&lt;($F$9-$E$9)/($G$9-$E$9),$E$9+SQRT(S1038*($G$9-$E$9)*($F$9-$E$9)),$G$9-SQRT((1-S1038)*($G$9-$E$9)*($G$9-$F$9))))</f>
        <v>0.998470727812664</v>
      </c>
      <c r="F1038" s="51" t="n">
        <f aca="false">1+IF($G$10=$E$10,$F$10,IF(T1038&lt;($F$10-$E$10)/($G$10-$E$10),$E$10+SQRT(T1038*($G$10-$E$10)*($F$10-$E$10)),$G$10-SQRT((1-T1038)*($G$10-$E$10)*($G$10-$F$10))))</f>
        <v>1.01367313592137</v>
      </c>
      <c r="G1038" s="52" t="n">
        <f aca="false">IF($G$11=$E$11,$F$11,IF(U1038&lt;($F$11-$E$11)/($G$11-$E$11),$E$11+SQRT(U1038*($G$11-$E$11)*($F$11-$E$11)),$G$11-SQRT((1-U1038)*($G$11-$E$11)*($G$11-$F$11))))</f>
        <v>0.101007797285604</v>
      </c>
      <c r="H1038" s="53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-2027346271.84274</v>
      </c>
      <c r="I1038" s="53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-46426619.7309442</v>
      </c>
      <c r="J1038" s="53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201972276.852255</v>
      </c>
      <c r="K1038" s="53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501054830.231523</v>
      </c>
      <c r="L1038" s="53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618171572.577286</v>
      </c>
      <c r="M1038" s="53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806915678.409787</v>
      </c>
      <c r="N1038" s="53" t="n">
        <f aca="false">IF(COUNT('Business Case'!B11:G11)=0,"",H1038+NPV(G1038,I1038:M1038))</f>
        <v>-608064742.013567</v>
      </c>
      <c r="P1038" s="54" t="n">
        <f aca="true">RAND()</f>
        <v>0.0158646473893773</v>
      </c>
      <c r="Q1038" s="54" t="n">
        <f aca="true">RAND()</f>
        <v>0.862480812551323</v>
      </c>
      <c r="R1038" s="54" t="n">
        <f aca="true">RAND()</f>
        <v>0.815061575591195</v>
      </c>
      <c r="S1038" s="54" t="n">
        <f aca="true">RAND()</f>
        <v>0.313254860625252</v>
      </c>
      <c r="T1038" s="54" t="n">
        <f aca="true">RAND()</f>
        <v>0.305645994452461</v>
      </c>
      <c r="U1038" s="54" t="n">
        <f aca="true">RAND()</f>
        <v>0.39882706009214</v>
      </c>
    </row>
    <row r="1039" customFormat="false" ht="15" hidden="false" customHeight="false" outlineLevel="0" collapsed="false">
      <c r="A1039" s="50" t="n">
        <v>959</v>
      </c>
      <c r="B1039" s="51" t="n">
        <f aca="false">1+IF($G$6=$E$6,$F$6,IF(P1039&lt;($F$6-$E$6)/($G$6-$E$6),$E$6+SQRT(P1039*($G$6-$E$6)*($F$6-$E$6)),$G$6-SQRT((1-P1039)*($G$6-$E$6)*($G$6-$F$6))))</f>
        <v>0.977890966450132</v>
      </c>
      <c r="C1039" s="51" t="n">
        <f aca="false">1+IF($G$7=$E$7,$F$7,IF(Q1039&lt;($F$7-$E$7)/($G$7-$E$7),$E$7+SQRT(Q1039*($G$7-$E$7)*($F$7-$E$7)),$G$7-SQRT((1-Q1039)*($G$7-$E$7)*($G$7-$F$7))))</f>
        <v>0.851020708928654</v>
      </c>
      <c r="D1039" s="51" t="n">
        <f aca="false">1+IF($G$8=$E$8,$F$8,IF(R1039&lt;($F$8-$E$8)/($G$8-$E$8),$E$8+SQRT(R1039*($G$8-$E$8)*($F$8-$E$8)),$G$8-SQRT((1-R1039)*($G$8-$E$8)*($G$8-$F$8))))</f>
        <v>1.0403248046237</v>
      </c>
      <c r="E1039" s="51" t="n">
        <f aca="false">1+IF($G$9=$E$9,$F$9,IF(S1039&lt;($F$9-$E$9)/($G$9-$E$9),$E$9+SQRT(S1039*($G$9-$E$9)*($F$9-$E$9)),$G$9-SQRT((1-S1039)*($G$9-$E$9)*($G$9-$F$9))))</f>
        <v>1.08003246276484</v>
      </c>
      <c r="F1039" s="51" t="n">
        <f aca="false">1+IF($G$10=$E$10,$F$10,IF(T1039&lt;($F$10-$E$10)/($G$10-$E$10),$E$10+SQRT(T1039*($G$10-$E$10)*($F$10-$E$10)),$G$10-SQRT((1-T1039)*($G$10-$E$10)*($G$10-$F$10))))</f>
        <v>1.06959900568703</v>
      </c>
      <c r="G1039" s="52" t="n">
        <f aca="false">IF($G$11=$E$11,$F$11,IF(U1039&lt;($F$11-$E$11)/($G$11-$E$11),$E$11+SQRT(U1039*($G$11-$E$11)*($F$11-$E$11)),$G$11-SQRT((1-U1039)*($G$11-$E$11)*($G$11-$F$11))))</f>
        <v>0.090785913424613</v>
      </c>
      <c r="H1039" s="53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-2139198011.37407</v>
      </c>
      <c r="I1039" s="53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-75268059.3541488</v>
      </c>
      <c r="J1039" s="53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153145929.294615</v>
      </c>
      <c r="K1039" s="53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435039868.227731</v>
      </c>
      <c r="L1039" s="53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539938885.263351</v>
      </c>
      <c r="M1039" s="53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698124499.769863</v>
      </c>
      <c r="N1039" s="53" t="n">
        <f aca="false">IF(COUNT('Business Case'!B11:G11)=0,"",H1039+NPV(G1039,I1039:M1039))</f>
        <v>-910776407.660631</v>
      </c>
      <c r="P1039" s="54" t="n">
        <f aca="true">RAND()</f>
        <v>0.349100416305235</v>
      </c>
      <c r="Q1039" s="54" t="n">
        <f aca="true">RAND()</f>
        <v>0.0371873248511782</v>
      </c>
      <c r="R1039" s="54" t="n">
        <f aca="true">RAND()</f>
        <v>0.848642199216603</v>
      </c>
      <c r="S1039" s="54" t="n">
        <f aca="true">RAND()</f>
        <v>0.973419830450839</v>
      </c>
      <c r="T1039" s="54" t="n">
        <f aca="true">RAND()</f>
        <v>0.65991161364379</v>
      </c>
      <c r="U1039" s="54" t="n">
        <f aca="true">RAND()</f>
        <v>0.00205886636995644</v>
      </c>
    </row>
    <row r="1040" customFormat="false" ht="15" hidden="false" customHeight="false" outlineLevel="0" collapsed="false">
      <c r="A1040" s="50" t="n">
        <v>960</v>
      </c>
      <c r="B1040" s="51" t="n">
        <f aca="false">1+IF($G$6=$E$6,$F$6,IF(P1040&lt;($F$6-$E$6)/($G$6-$E$6),$E$6+SQRT(P1040*($G$6-$E$6)*($F$6-$E$6)),$G$6-SQRT((1-P1040)*($G$6-$E$6)*($G$6-$F$6))))</f>
        <v>0.953490076813985</v>
      </c>
      <c r="C1040" s="51" t="n">
        <f aca="false">1+IF($G$7=$E$7,$F$7,IF(Q1040&lt;($F$7-$E$7)/($G$7-$E$7),$E$7+SQRT(Q1040*($G$7-$E$7)*($F$7-$E$7)),$G$7-SQRT((1-Q1040)*($G$7-$E$7)*($G$7-$F$7))))</f>
        <v>0.990081556090991</v>
      </c>
      <c r="D1040" s="51" t="n">
        <f aca="false">1+IF($G$8=$E$8,$F$8,IF(R1040&lt;($F$8-$E$8)/($G$8-$E$8),$E$8+SQRT(R1040*($G$8-$E$8)*($F$8-$E$8)),$G$8-SQRT((1-R1040)*($G$8-$E$8)*($G$8-$F$8))))</f>
        <v>0.999533067376515</v>
      </c>
      <c r="E1040" s="51" t="n">
        <f aca="false">1+IF($G$9=$E$9,$F$9,IF(S1040&lt;($F$9-$E$9)/($G$9-$E$9),$E$9+SQRT(S1040*($G$9-$E$9)*($F$9-$E$9)),$G$9-SQRT((1-S1040)*($G$9-$E$9)*($G$9-$F$9))))</f>
        <v>0.9808832271027</v>
      </c>
      <c r="F1040" s="51" t="n">
        <f aca="false">1+IF($G$10=$E$10,$F$10,IF(T1040&lt;($F$10-$E$10)/($G$10-$E$10),$E$10+SQRT(T1040*($G$10-$E$10)*($F$10-$E$10)),$G$10-SQRT((1-T1040)*($G$10-$E$10)*($G$10-$F$10))))</f>
        <v>0.974476765677406</v>
      </c>
      <c r="G1040" s="52" t="n">
        <f aca="false">IF($G$11=$E$11,$F$11,IF(U1040&lt;($F$11-$E$11)/($G$11-$E$11),$E$11+SQRT(U1040*($G$11-$E$11)*($F$11-$E$11)),$G$11-SQRT((1-U1040)*($G$11-$E$11)*($G$11-$F$11))))</f>
        <v>0.101362014143762</v>
      </c>
      <c r="H1040" s="53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-1948953531.35481</v>
      </c>
      <c r="I1040" s="53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-19242880.502888</v>
      </c>
      <c r="J1040" s="53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247382178.012138</v>
      </c>
      <c r="K1040" s="53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562731074.811034</v>
      </c>
      <c r="L1040" s="53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684231872.686821</v>
      </c>
      <c r="M1040" s="53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863673653.726108</v>
      </c>
      <c r="N1040" s="53" t="n">
        <f aca="false">IF(COUNT('Business Case'!B11:G11)=0,"",H1040+NPV(G1040,I1040:M1040))</f>
        <v>-343263390.52773</v>
      </c>
      <c r="P1040" s="54" t="n">
        <f aca="true">RAND()</f>
        <v>0.116831796354858</v>
      </c>
      <c r="Q1040" s="54" t="n">
        <f aca="true">RAND()</f>
        <v>0.516157113799606</v>
      </c>
      <c r="R1040" s="54" t="n">
        <f aca="true">RAND()</f>
        <v>0.3774653482656</v>
      </c>
      <c r="S1040" s="54" t="n">
        <f aca="true">RAND()</f>
        <v>0.127169828836926</v>
      </c>
      <c r="T1040" s="54" t="n">
        <f aca="true">RAND()</f>
        <v>0.0479289646421306</v>
      </c>
      <c r="U1040" s="54" t="n">
        <f aca="true">RAND()</f>
        <v>0.421042472037766</v>
      </c>
    </row>
    <row r="1041" customFormat="false" ht="15" hidden="false" customHeight="false" outlineLevel="0" collapsed="false">
      <c r="A1041" s="50" t="n">
        <v>961</v>
      </c>
      <c r="B1041" s="51" t="n">
        <f aca="false">1+IF($G$6=$E$6,$F$6,IF(P1041&lt;($F$6-$E$6)/($G$6-$E$6),$E$6+SQRT(P1041*($G$6-$E$6)*($F$6-$E$6)),$G$6-SQRT((1-P1041)*($G$6-$E$6)*($G$6-$F$6))))</f>
        <v>0.978226561949825</v>
      </c>
      <c r="C1041" s="51" t="n">
        <f aca="false">1+IF($G$7=$E$7,$F$7,IF(Q1041&lt;($F$7-$E$7)/($G$7-$E$7),$E$7+SQRT(Q1041*($G$7-$E$7)*($F$7-$E$7)),$G$7-SQRT((1-Q1041)*($G$7-$E$7)*($G$7-$F$7))))</f>
        <v>0.936180550503643</v>
      </c>
      <c r="D1041" s="51" t="n">
        <f aca="false">1+IF($G$8=$E$8,$F$8,IF(R1041&lt;($F$8-$E$8)/($G$8-$E$8),$E$8+SQRT(R1041*($G$8-$E$8)*($F$8-$E$8)),$G$8-SQRT((1-R1041)*($G$8-$E$8)*($G$8-$F$8))))</f>
        <v>0.992164041389592</v>
      </c>
      <c r="E1041" s="51" t="n">
        <f aca="false">1+IF($G$9=$E$9,$F$9,IF(S1041&lt;($F$9-$E$9)/($G$9-$E$9),$E$9+SQRT(S1041*($G$9-$E$9)*($F$9-$E$9)),$G$9-SQRT((1-S1041)*($G$9-$E$9)*($G$9-$F$9))))</f>
        <v>1.06016676778324</v>
      </c>
      <c r="F1041" s="51" t="n">
        <f aca="false">1+IF($G$10=$E$10,$F$10,IF(T1041&lt;($F$10-$E$10)/($G$10-$E$10),$E$10+SQRT(T1041*($G$10-$E$10)*($F$10-$E$10)),$G$10-SQRT((1-T1041)*($G$10-$E$10)*($G$10-$F$10))))</f>
        <v>1.15372263857077</v>
      </c>
      <c r="G1041" s="52" t="n">
        <f aca="false">IF($G$11=$E$11,$F$11,IF(U1041&lt;($F$11-$E$11)/($G$11-$E$11),$E$11+SQRT(U1041*($G$11-$E$11)*($F$11-$E$11)),$G$11-SQRT((1-U1041)*($G$11-$E$11)*($G$11-$F$11))))</f>
        <v>0.0962429719573818</v>
      </c>
      <c r="H1041" s="53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-2307445277.14153</v>
      </c>
      <c r="I1041" s="53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-38993626.6576052</v>
      </c>
      <c r="J1041" s="53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235615624.878378</v>
      </c>
      <c r="K1041" s="53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567911008.342899</v>
      </c>
      <c r="L1041" s="53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691097358.826717</v>
      </c>
      <c r="M1041" s="53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865171992.005079</v>
      </c>
      <c r="N1041" s="53" t="n">
        <f aca="false">IF(COUNT('Business Case'!B11:G11)=0,"",H1041+NPV(G1041,I1041:M1041))</f>
        <v>-690867339.215225</v>
      </c>
      <c r="P1041" s="54" t="n">
        <f aca="true">RAND()</f>
        <v>0.353159637135078</v>
      </c>
      <c r="Q1041" s="54" t="n">
        <f aca="true">RAND()</f>
        <v>0.264930604792503</v>
      </c>
      <c r="R1041" s="54" t="n">
        <f aca="true">RAND()</f>
        <v>0.273508674815886</v>
      </c>
      <c r="S1041" s="54" t="n">
        <f aca="true">RAND()</f>
        <v>0.89422090741103</v>
      </c>
      <c r="T1041" s="54" t="n">
        <f aca="true">RAND()</f>
        <v>0.957168116382961</v>
      </c>
      <c r="U1041" s="54" t="n">
        <f aca="true">RAND()</f>
        <v>0.129915662868851</v>
      </c>
    </row>
    <row r="1042" customFormat="false" ht="15" hidden="false" customHeight="false" outlineLevel="0" collapsed="false">
      <c r="A1042" s="50" t="n">
        <v>962</v>
      </c>
      <c r="B1042" s="51" t="n">
        <f aca="false">1+IF($G$6=$E$6,$F$6,IF(P1042&lt;($F$6-$E$6)/($G$6-$E$6),$E$6+SQRT(P1042*($G$6-$E$6)*($F$6-$E$6)),$G$6-SQRT((1-P1042)*($G$6-$E$6)*($G$6-$F$6))))</f>
        <v>0.9677333141552</v>
      </c>
      <c r="C1042" s="51" t="n">
        <f aca="false">1+IF($G$7=$E$7,$F$7,IF(Q1042&lt;($F$7-$E$7)/($G$7-$E$7),$E$7+SQRT(Q1042*($G$7-$E$7)*($F$7-$E$7)),$G$7-SQRT((1-Q1042)*($G$7-$E$7)*($G$7-$F$7))))</f>
        <v>0.903876491069006</v>
      </c>
      <c r="D1042" s="51" t="n">
        <f aca="false">1+IF($G$8=$E$8,$F$8,IF(R1042&lt;($F$8-$E$8)/($G$8-$E$8),$E$8+SQRT(R1042*($G$8-$E$8)*($F$8-$E$8)),$G$8-SQRT((1-R1042)*($G$8-$E$8)*($G$8-$F$8))))</f>
        <v>1.05131428301845</v>
      </c>
      <c r="E1042" s="51" t="n">
        <f aca="false">1+IF($G$9=$E$9,$F$9,IF(S1042&lt;($F$9-$E$9)/($G$9-$E$9),$E$9+SQRT(S1042*($G$9-$E$9)*($F$9-$E$9)),$G$9-SQRT((1-S1042)*($G$9-$E$9)*($G$9-$F$9))))</f>
        <v>1.04759040895838</v>
      </c>
      <c r="F1042" s="51" t="n">
        <f aca="false">1+IF($G$10=$E$10,$F$10,IF(T1042&lt;($F$10-$E$10)/($G$10-$E$10),$E$10+SQRT(T1042*($G$10-$E$10)*($F$10-$E$10)),$G$10-SQRT((1-T1042)*($G$10-$E$10)*($G$10-$F$10))))</f>
        <v>1.11780847613424</v>
      </c>
      <c r="G1042" s="52" t="n">
        <f aca="false">IF($G$11=$E$11,$F$11,IF(U1042&lt;($F$11-$E$11)/($G$11-$E$11),$E$11+SQRT(U1042*($G$11-$E$11)*($F$11-$E$11)),$G$11-SQRT((1-U1042)*($G$11-$E$11)*($G$11-$F$11))))</f>
        <v>0.0991059173679753</v>
      </c>
      <c r="H1042" s="53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-2235616952.26847</v>
      </c>
      <c r="I1042" s="53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-76097843.9317485</v>
      </c>
      <c r="J1042" s="53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153897554.48008</v>
      </c>
      <c r="K1042" s="53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439783376.69862</v>
      </c>
      <c r="L1042" s="53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546678535.220077</v>
      </c>
      <c r="M1042" s="53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712943676.666405</v>
      </c>
      <c r="N1042" s="53" t="n">
        <f aca="false">IF(COUNT('Business Case'!B11:G11)=0,"",H1042+NPV(G1042,I1042:M1042))</f>
        <v>-1027144632.311</v>
      </c>
      <c r="P1042" s="54" t="n">
        <f aca="true">RAND()</f>
        <v>0.237340550024893</v>
      </c>
      <c r="Q1042" s="54" t="n">
        <f aca="true">RAND()</f>
        <v>0.154147505668703</v>
      </c>
      <c r="R1042" s="54" t="n">
        <f aca="true">RAND()</f>
        <v>0.92087785012062</v>
      </c>
      <c r="S1042" s="54" t="n">
        <f aca="true">RAND()</f>
        <v>0.816882317790037</v>
      </c>
      <c r="T1042" s="54" t="n">
        <f aca="true">RAND()</f>
        <v>0.864891068092469</v>
      </c>
      <c r="U1042" s="54" t="n">
        <f aca="true">RAND()</f>
        <v>0.276392437041312</v>
      </c>
    </row>
    <row r="1043" customFormat="false" ht="15" hidden="false" customHeight="false" outlineLevel="0" collapsed="false">
      <c r="A1043" s="50" t="n">
        <v>963</v>
      </c>
      <c r="B1043" s="51" t="n">
        <f aca="false">1+IF($G$6=$E$6,$F$6,IF(P1043&lt;($F$6-$E$6)/($G$6-$E$6),$E$6+SQRT(P1043*($G$6-$E$6)*($F$6-$E$6)),$G$6-SQRT((1-P1043)*($G$6-$E$6)*($G$6-$F$6))))</f>
        <v>1.01174489019153</v>
      </c>
      <c r="C1043" s="51" t="n">
        <f aca="false">1+IF($G$7=$E$7,$F$7,IF(Q1043&lt;($F$7-$E$7)/($G$7-$E$7),$E$7+SQRT(Q1043*($G$7-$E$7)*($F$7-$E$7)),$G$7-SQRT((1-Q1043)*($G$7-$E$7)*($G$7-$F$7))))</f>
        <v>0.914504981535252</v>
      </c>
      <c r="D1043" s="51" t="n">
        <f aca="false">1+IF($G$8=$E$8,$F$8,IF(R1043&lt;($F$8-$E$8)/($G$8-$E$8),$E$8+SQRT(R1043*($G$8-$E$8)*($F$8-$E$8)),$G$8-SQRT((1-R1043)*($G$8-$E$8)*($G$8-$F$8))))</f>
        <v>1.00990740357892</v>
      </c>
      <c r="E1043" s="51" t="n">
        <f aca="false">1+IF($G$9=$E$9,$F$9,IF(S1043&lt;($F$9-$E$9)/($G$9-$E$9),$E$9+SQRT(S1043*($G$9-$E$9)*($F$9-$E$9)),$G$9-SQRT((1-S1043)*($G$9-$E$9)*($G$9-$F$9))))</f>
        <v>1.05202754693584</v>
      </c>
      <c r="F1043" s="51" t="n">
        <f aca="false">1+IF($G$10=$E$10,$F$10,IF(T1043&lt;($F$10-$E$10)/($G$10-$E$10),$E$10+SQRT(T1043*($G$10-$E$10)*($F$10-$E$10)),$G$10-SQRT((1-T1043)*($G$10-$E$10)*($G$10-$F$10))))</f>
        <v>1.06953652241692</v>
      </c>
      <c r="G1043" s="52" t="n">
        <f aca="false">IF($G$11=$E$11,$F$11,IF(U1043&lt;($F$11-$E$11)/($G$11-$E$11),$E$11+SQRT(U1043*($G$11-$E$11)*($F$11-$E$11)),$G$11-SQRT((1-U1043)*($G$11-$E$11)*($G$11-$F$11))))</f>
        <v>0.105765437919819</v>
      </c>
      <c r="H1043" s="53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-2139073044.83385</v>
      </c>
      <c r="I1043" s="53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-19465402.9160228</v>
      </c>
      <c r="J1043" s="53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265585902.855579</v>
      </c>
      <c r="K1043" s="53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604114034.748027</v>
      </c>
      <c r="L1043" s="53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731107629.519665</v>
      </c>
      <c r="M1043" s="53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906978340.182403</v>
      </c>
      <c r="N1043" s="53" t="n">
        <f aca="false">IF(COUNT('Business Case'!B11:G11)=0,"",H1043+NPV(G1043,I1043:M1043))</f>
        <v>-454993903.956527</v>
      </c>
      <c r="P1043" s="54" t="n">
        <f aca="true">RAND()</f>
        <v>0.833676827023165</v>
      </c>
      <c r="Q1043" s="54" t="n">
        <f aca="true">RAND()</f>
        <v>0.187305582805547</v>
      </c>
      <c r="R1043" s="54" t="n">
        <f aca="true">RAND()</f>
        <v>0.527598839129999</v>
      </c>
      <c r="S1043" s="54" t="n">
        <f aca="true">RAND()</f>
        <v>0.846576249800476</v>
      </c>
      <c r="T1043" s="54" t="n">
        <f aca="true">RAND()</f>
        <v>0.659585620338603</v>
      </c>
      <c r="U1043" s="54" t="n">
        <f aca="true">RAND()</f>
        <v>0.6622954039758</v>
      </c>
    </row>
    <row r="1044" customFormat="false" ht="15" hidden="false" customHeight="false" outlineLevel="0" collapsed="false">
      <c r="A1044" s="50" t="n">
        <v>964</v>
      </c>
      <c r="B1044" s="51" t="n">
        <f aca="false">1+IF($G$6=$E$6,$F$6,IF(P1044&lt;($F$6-$E$6)/($G$6-$E$6),$E$6+SQRT(P1044*($G$6-$E$6)*($F$6-$E$6)),$G$6-SQRT((1-P1044)*($G$6-$E$6)*($G$6-$F$6))))</f>
        <v>0.970870160701368</v>
      </c>
      <c r="C1044" s="51" t="n">
        <f aca="false">1+IF($G$7=$E$7,$F$7,IF(Q1044&lt;($F$7-$E$7)/($G$7-$E$7),$E$7+SQRT(Q1044*($G$7-$E$7)*($F$7-$E$7)),$G$7-SQRT((1-Q1044)*($G$7-$E$7)*($G$7-$F$7))))</f>
        <v>0.86548237850406</v>
      </c>
      <c r="D1044" s="51" t="n">
        <f aca="false">1+IF($G$8=$E$8,$F$8,IF(R1044&lt;($F$8-$E$8)/($G$8-$E$8),$E$8+SQRT(R1044*($G$8-$E$8)*($F$8-$E$8)),$G$8-SQRT((1-R1044)*($G$8-$E$8)*($G$8-$F$8))))</f>
        <v>1.02047721255332</v>
      </c>
      <c r="E1044" s="51" t="n">
        <f aca="false">1+IF($G$9=$E$9,$F$9,IF(S1044&lt;($F$9-$E$9)/($G$9-$E$9),$E$9+SQRT(S1044*($G$9-$E$9)*($F$9-$E$9)),$G$9-SQRT((1-S1044)*($G$9-$E$9)*($G$9-$F$9))))</f>
        <v>1.04960780679053</v>
      </c>
      <c r="F1044" s="51" t="n">
        <f aca="false">1+IF($G$10=$E$10,$F$10,IF(T1044&lt;($F$10-$E$10)/($G$10-$E$10),$E$10+SQRT(T1044*($G$10-$E$10)*($F$10-$E$10)),$G$10-SQRT((1-T1044)*($G$10-$E$10)*($G$10-$F$10))))</f>
        <v>1.05402181057162</v>
      </c>
      <c r="G1044" s="52" t="n">
        <f aca="false">IF($G$11=$E$11,$F$11,IF(U1044&lt;($F$11-$E$11)/($G$11-$E$11),$E$11+SQRT(U1044*($G$11-$E$11)*($F$11-$E$11)),$G$11-SQRT((1-U1044)*($G$11-$E$11)*($G$11-$F$11))))</f>
        <v>0.0976649511386351</v>
      </c>
      <c r="H1044" s="53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-2108043621.14324</v>
      </c>
      <c r="I1044" s="53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-62103925.8127811</v>
      </c>
      <c r="J1044" s="53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174008209.021595</v>
      </c>
      <c r="K1044" s="53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462821434.384553</v>
      </c>
      <c r="L1044" s="53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570565245.638933</v>
      </c>
      <c r="M1044" s="53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730283960.341669</v>
      </c>
      <c r="N1044" s="53" t="n">
        <f aca="false">IF(COUNT('Business Case'!B11:G11)=0,"",H1044+NPV(G1044,I1044:M1044))</f>
        <v>-818929547.025061</v>
      </c>
      <c r="P1044" s="54" t="n">
        <f aca="true">RAND()</f>
        <v>0.269559713519065</v>
      </c>
      <c r="Q1044" s="54" t="n">
        <f aca="true">RAND()</f>
        <v>0.0612563127792719</v>
      </c>
      <c r="R1044" s="54" t="n">
        <f aca="true">RAND()</f>
        <v>0.659330555247778</v>
      </c>
      <c r="S1044" s="54" t="n">
        <f aca="true">RAND()</f>
        <v>0.830708457569281</v>
      </c>
      <c r="T1044" s="54" t="n">
        <f aca="true">RAND()</f>
        <v>0.573807364224238</v>
      </c>
      <c r="U1044" s="54" t="n">
        <f aca="true">RAND()</f>
        <v>0.195838253192211</v>
      </c>
    </row>
    <row r="1045" customFormat="false" ht="15" hidden="false" customHeight="false" outlineLevel="0" collapsed="false">
      <c r="A1045" s="50" t="n">
        <v>965</v>
      </c>
      <c r="B1045" s="51" t="n">
        <f aca="false">1+IF($G$6=$E$6,$F$6,IF(P1045&lt;($F$6-$E$6)/($G$6-$E$6),$E$6+SQRT(P1045*($G$6-$E$6)*($F$6-$E$6)),$G$6-SQRT((1-P1045)*($G$6-$E$6)*($G$6-$F$6))))</f>
        <v>1.01239602340474</v>
      </c>
      <c r="C1045" s="51" t="n">
        <f aca="false">1+IF($G$7=$E$7,$F$7,IF(Q1045&lt;($F$7-$E$7)/($G$7-$E$7),$E$7+SQRT(Q1045*($G$7-$E$7)*($F$7-$E$7)),$G$7-SQRT((1-Q1045)*($G$7-$E$7)*($G$7-$F$7))))</f>
        <v>0.944017265473475</v>
      </c>
      <c r="D1045" s="51" t="n">
        <f aca="false">1+IF($G$8=$E$8,$F$8,IF(R1045&lt;($F$8-$E$8)/($G$8-$E$8),$E$8+SQRT(R1045*($G$8-$E$8)*($F$8-$E$8)),$G$8-SQRT((1-R1045)*($G$8-$E$8)*($G$8-$F$8))))</f>
        <v>1.02734226084402</v>
      </c>
      <c r="E1045" s="51" t="n">
        <f aca="false">1+IF($G$9=$E$9,$F$9,IF(S1045&lt;($F$9-$E$9)/($G$9-$E$9),$E$9+SQRT(S1045*($G$9-$E$9)*($F$9-$E$9)),$G$9-SQRT((1-S1045)*($G$9-$E$9)*($G$9-$F$9))))</f>
        <v>1.05714657343296</v>
      </c>
      <c r="F1045" s="51" t="n">
        <f aca="false">1+IF($G$10=$E$10,$F$10,IF(T1045&lt;($F$10-$E$10)/($G$10-$E$10),$E$10+SQRT(T1045*($G$10-$E$10)*($F$10-$E$10)),$G$10-SQRT((1-T1045)*($G$10-$E$10)*($G$10-$F$10))))</f>
        <v>1.03575597713298</v>
      </c>
      <c r="G1045" s="52" t="n">
        <f aca="false">IF($G$11=$E$11,$F$11,IF(U1045&lt;($F$11-$E$11)/($G$11-$E$11),$E$11+SQRT(U1045*($G$11-$E$11)*($F$11-$E$11)),$G$11-SQRT((1-U1045)*($G$11-$E$11)*($G$11-$F$11))))</f>
        <v>0.0921771141081594</v>
      </c>
      <c r="H1045" s="53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-2071511954.26596</v>
      </c>
      <c r="I1045" s="53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-17118166.4123701</v>
      </c>
      <c r="J1045" s="53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269209997.46935</v>
      </c>
      <c r="K1045" s="53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607325960.207719</v>
      </c>
      <c r="L1045" s="53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735798341.394043</v>
      </c>
      <c r="M1045" s="53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917461470.802335</v>
      </c>
      <c r="N1045" s="53" t="n">
        <f aca="false">IF(COUNT('Business Case'!B11:G11)=0,"",H1045+NPV(G1045,I1045:M1045))</f>
        <v>-287849176.507038</v>
      </c>
      <c r="P1045" s="54" t="n">
        <f aca="true">RAND()</f>
        <v>0.841254265860104</v>
      </c>
      <c r="Q1045" s="54" t="n">
        <f aca="true">RAND()</f>
        <v>0.296299610777961</v>
      </c>
      <c r="R1045" s="54" t="n">
        <f aca="true">RAND()</f>
        <v>0.733381010286613</v>
      </c>
      <c r="S1045" s="54" t="n">
        <f aca="true">RAND()</f>
        <v>0.877572255430877</v>
      </c>
      <c r="T1045" s="54" t="n">
        <f aca="true">RAND()</f>
        <v>0.460478019049169</v>
      </c>
      <c r="U1045" s="54" t="n">
        <f aca="true">RAND()</f>
        <v>0.0157994194664886</v>
      </c>
    </row>
    <row r="1046" customFormat="false" ht="15" hidden="false" customHeight="false" outlineLevel="0" collapsed="false">
      <c r="A1046" s="50" t="n">
        <v>966</v>
      </c>
      <c r="B1046" s="51" t="n">
        <f aca="false">1+IF($G$6=$E$6,$F$6,IF(P1046&lt;($F$6-$E$6)/($G$6-$E$6),$E$6+SQRT(P1046*($G$6-$E$6)*($F$6-$E$6)),$G$6-SQRT((1-P1046)*($G$6-$E$6)*($G$6-$F$6))))</f>
        <v>1.01018755050796</v>
      </c>
      <c r="C1046" s="51" t="n">
        <f aca="false">1+IF($G$7=$E$7,$F$7,IF(Q1046&lt;($F$7-$E$7)/($G$7-$E$7),$E$7+SQRT(Q1046*($G$7-$E$7)*($F$7-$E$7)),$G$7-SQRT((1-Q1046)*($G$7-$E$7)*($G$7-$F$7))))</f>
        <v>1.06618712622687</v>
      </c>
      <c r="D1046" s="51" t="n">
        <f aca="false">1+IF($G$8=$E$8,$F$8,IF(R1046&lt;($F$8-$E$8)/($G$8-$E$8),$E$8+SQRT(R1046*($G$8-$E$8)*($F$8-$E$8)),$G$8-SQRT((1-R1046)*($G$8-$E$8)*($G$8-$F$8))))</f>
        <v>1.01665733319757</v>
      </c>
      <c r="E1046" s="51" t="n">
        <f aca="false">1+IF($G$9=$E$9,$F$9,IF(S1046&lt;($F$9-$E$9)/($G$9-$E$9),$E$9+SQRT(S1046*($G$9-$E$9)*($F$9-$E$9)),$G$9-SQRT((1-S1046)*($G$9-$E$9)*($G$9-$F$9))))</f>
        <v>1.02123576430094</v>
      </c>
      <c r="F1046" s="51" t="n">
        <f aca="false">1+IF($G$10=$E$10,$F$10,IF(T1046&lt;($F$10-$E$10)/($G$10-$E$10),$E$10+SQRT(T1046*($G$10-$E$10)*($F$10-$E$10)),$G$10-SQRT((1-T1046)*($G$10-$E$10)*($G$10-$F$10))))</f>
        <v>0.994166073966055</v>
      </c>
      <c r="G1046" s="52" t="n">
        <f aca="false">IF($G$11=$E$11,$F$11,IF(U1046&lt;($F$11-$E$11)/($G$11-$E$11),$E$11+SQRT(U1046*($G$11-$E$11)*($F$11-$E$11)),$G$11-SQRT((1-U1046)*($G$11-$E$11)*($G$11-$F$11))))</f>
        <v>0.103349491069263</v>
      </c>
      <c r="H1046" s="53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-1988332147.93211</v>
      </c>
      <c r="I1046" s="53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26815967.7046448</v>
      </c>
      <c r="J1046" s="53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354102486.649824</v>
      </c>
      <c r="K1046" s="53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731097309.293307</v>
      </c>
      <c r="L1046" s="53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877415627.715258</v>
      </c>
      <c r="M1046" s="53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1082141094.30316</v>
      </c>
      <c r="N1046" s="53" t="n">
        <f aca="false">IF(COUNT('Business Case'!B11:G11)=0,"",H1046+NPV(G1046,I1046:M1046))</f>
        <v>124971374.82438</v>
      </c>
      <c r="P1046" s="54" t="n">
        <f aca="true">RAND()</f>
        <v>0.814837053184251</v>
      </c>
      <c r="Q1046" s="54" t="n">
        <f aca="true">RAND()</f>
        <v>0.866198136950261</v>
      </c>
      <c r="R1046" s="54" t="n">
        <f aca="true">RAND()</f>
        <v>0.614202554072718</v>
      </c>
      <c r="S1046" s="54" t="n">
        <f aca="true">RAND()</f>
        <v>0.586413011649483</v>
      </c>
      <c r="T1046" s="54" t="n">
        <f aca="true">RAND()</f>
        <v>0.156051367166006</v>
      </c>
      <c r="U1046" s="54" t="n">
        <f aca="true">RAND()</f>
        <v>0.537934253912402</v>
      </c>
    </row>
    <row r="1047" customFormat="false" ht="15" hidden="false" customHeight="false" outlineLevel="0" collapsed="false">
      <c r="A1047" s="50" t="n">
        <v>967</v>
      </c>
      <c r="B1047" s="51" t="n">
        <f aca="false">1+IF($G$6=$E$6,$F$6,IF(P1047&lt;($F$6-$E$6)/($G$6-$E$6),$E$6+SQRT(P1047*($G$6-$E$6)*($F$6-$E$6)),$G$6-SQRT((1-P1047)*($G$6-$E$6)*($G$6-$F$6))))</f>
        <v>0.999708671437</v>
      </c>
      <c r="C1047" s="51" t="n">
        <f aca="false">1+IF($G$7=$E$7,$F$7,IF(Q1047&lt;($F$7-$E$7)/($G$7-$E$7),$E$7+SQRT(Q1047*($G$7-$E$7)*($F$7-$E$7)),$G$7-SQRT((1-Q1047)*($G$7-$E$7)*($G$7-$F$7))))</f>
        <v>1.06149627041929</v>
      </c>
      <c r="D1047" s="51" t="n">
        <f aca="false">1+IF($G$8=$E$8,$F$8,IF(R1047&lt;($F$8-$E$8)/($G$8-$E$8),$E$8+SQRT(R1047*($G$8-$E$8)*($F$8-$E$8)),$G$8-SQRT((1-R1047)*($G$8-$E$8)*($G$8-$F$8))))</f>
        <v>1.03853469133186</v>
      </c>
      <c r="E1047" s="51" t="n">
        <f aca="false">1+IF($G$9=$E$9,$F$9,IF(S1047&lt;($F$9-$E$9)/($G$9-$E$9),$E$9+SQRT(S1047*($G$9-$E$9)*($F$9-$E$9)),$G$9-SQRT((1-S1047)*($G$9-$E$9)*($G$9-$F$9))))</f>
        <v>1.02580824476496</v>
      </c>
      <c r="F1047" s="51" t="n">
        <f aca="false">1+IF($G$10=$E$10,$F$10,IF(T1047&lt;($F$10-$E$10)/($G$10-$E$10),$E$10+SQRT(T1047*($G$10-$E$10)*($F$10-$E$10)),$G$10-SQRT((1-T1047)*($G$10-$E$10)*($G$10-$F$10))))</f>
        <v>1.02599444327236</v>
      </c>
      <c r="G1047" s="52" t="n">
        <f aca="false">IF($G$11=$E$11,$F$11,IF(U1047&lt;($F$11-$E$11)/($G$11-$E$11),$E$11+SQRT(U1047*($G$11-$E$11)*($F$11-$E$11)),$G$11-SQRT((1-U1047)*($G$11-$E$11)*($G$11-$F$11))))</f>
        <v>0.114576450301314</v>
      </c>
      <c r="H1047" s="53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-2051988886.54473</v>
      </c>
      <c r="I1047" s="53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1366300.643052</v>
      </c>
      <c r="J1047" s="53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306213913.459002</v>
      </c>
      <c r="K1047" s="53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662361248.438569</v>
      </c>
      <c r="L1047" s="53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800651743.003942</v>
      </c>
      <c r="M1047" s="53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1002362172.95092</v>
      </c>
      <c r="N1047" s="53" t="n">
        <f aca="false">IF(COUNT('Business Case'!B11:G11)=0,"",H1047+NPV(G1047,I1047:M1047))</f>
        <v>-224352397.927194</v>
      </c>
      <c r="P1047" s="54" t="n">
        <f aca="true">RAND()</f>
        <v>0.661820031484548</v>
      </c>
      <c r="Q1047" s="54" t="n">
        <f aca="true">RAND()</f>
        <v>0.850801711434357</v>
      </c>
      <c r="R1047" s="54" t="n">
        <f aca="true">RAND()</f>
        <v>0.834675786255408</v>
      </c>
      <c r="S1047" s="54" t="n">
        <f aca="true">RAND()</f>
        <v>0.633038897009566</v>
      </c>
      <c r="T1047" s="54" t="n">
        <f aca="true">RAND()</f>
        <v>0.394441324558105</v>
      </c>
      <c r="U1047" s="54" t="n">
        <f aca="true">RAND()</f>
        <v>0.950975181109802</v>
      </c>
    </row>
    <row r="1048" customFormat="false" ht="15" hidden="false" customHeight="false" outlineLevel="0" collapsed="false">
      <c r="A1048" s="50" t="n">
        <v>968</v>
      </c>
      <c r="B1048" s="51" t="n">
        <f aca="false">1+IF($G$6=$E$6,$F$6,IF(P1048&lt;($F$6-$E$6)/($G$6-$E$6),$E$6+SQRT(P1048*($G$6-$E$6)*($F$6-$E$6)),$G$6-SQRT((1-P1048)*($G$6-$E$6)*($G$6-$F$6))))</f>
        <v>0.978976093419144</v>
      </c>
      <c r="C1048" s="51" t="n">
        <f aca="false">1+IF($G$7=$E$7,$F$7,IF(Q1048&lt;($F$7-$E$7)/($G$7-$E$7),$E$7+SQRT(Q1048*($G$7-$E$7)*($F$7-$E$7)),$G$7-SQRT((1-Q1048)*($G$7-$E$7)*($G$7-$F$7))))</f>
        <v>1.02429522416284</v>
      </c>
      <c r="D1048" s="51" t="n">
        <f aca="false">1+IF($G$8=$E$8,$F$8,IF(R1048&lt;($F$8-$E$8)/($G$8-$E$8),$E$8+SQRT(R1048*($G$8-$E$8)*($F$8-$E$8)),$G$8-SQRT((1-R1048)*($G$8-$E$8)*($G$8-$F$8))))</f>
        <v>0.993323484138052</v>
      </c>
      <c r="E1048" s="51" t="n">
        <f aca="false">1+IF($G$9=$E$9,$F$9,IF(S1048&lt;($F$9-$E$9)/($G$9-$E$9),$E$9+SQRT(S1048*($G$9-$E$9)*($F$9-$E$9)),$G$9-SQRT((1-S1048)*($G$9-$E$9)*($G$9-$F$9))))</f>
        <v>1.00503256739211</v>
      </c>
      <c r="F1048" s="51" t="n">
        <f aca="false">1+IF($G$10=$E$10,$F$10,IF(T1048&lt;($F$10-$E$10)/($G$10-$E$10),$E$10+SQRT(T1048*($G$10-$E$10)*($F$10-$E$10)),$G$10-SQRT((1-T1048)*($G$10-$E$10)*($G$10-$F$10))))</f>
        <v>1.0289384621791</v>
      </c>
      <c r="G1048" s="52" t="n">
        <f aca="false">IF($G$11=$E$11,$F$11,IF(U1048&lt;($F$11-$E$11)/($G$11-$E$11),$E$11+SQRT(U1048*($G$11-$E$11)*($F$11-$E$11)),$G$11-SQRT((1-U1048)*($G$11-$E$11)*($G$11-$F$11))))</f>
        <v>0.100923421170393</v>
      </c>
      <c r="H1048" s="53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-2057876924.3582</v>
      </c>
      <c r="I1048" s="53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2684163.15180001</v>
      </c>
      <c r="J1048" s="53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303160909.845798</v>
      </c>
      <c r="K1048" s="53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655084579.648752</v>
      </c>
      <c r="L1048" s="53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789898899.37417</v>
      </c>
      <c r="M1048" s="53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980503622.258313</v>
      </c>
      <c r="N1048" s="53" t="n">
        <f aca="false">IF(COUNT('Business Case'!B11:G11)=0,"",H1048+NPV(G1048,I1048:M1048))</f>
        <v>-170405071.118128</v>
      </c>
      <c r="P1048" s="54" t="n">
        <f aca="true">RAND()</f>
        <v>0.362310374477463</v>
      </c>
      <c r="Q1048" s="54" t="n">
        <f aca="true">RAND()</f>
        <v>0.699015415842486</v>
      </c>
      <c r="R1048" s="54" t="n">
        <f aca="true">RAND()</f>
        <v>0.288757581209238</v>
      </c>
      <c r="S1048" s="54" t="n">
        <f aca="true">RAND()</f>
        <v>0.398745782924429</v>
      </c>
      <c r="T1048" s="54" t="n">
        <f aca="true">RAND()</f>
        <v>0.414759005566968</v>
      </c>
      <c r="U1048" s="54" t="n">
        <f aca="true">RAND()</f>
        <v>0.393473566929676</v>
      </c>
    </row>
    <row r="1049" customFormat="false" ht="15" hidden="false" customHeight="false" outlineLevel="0" collapsed="false">
      <c r="A1049" s="50" t="n">
        <v>969</v>
      </c>
      <c r="B1049" s="51" t="n">
        <f aca="false">1+IF($G$6=$E$6,$F$6,IF(P1049&lt;($F$6-$E$6)/($G$6-$E$6),$E$6+SQRT(P1049*($G$6-$E$6)*($F$6-$E$6)),$G$6-SQRT((1-P1049)*($G$6-$E$6)*($G$6-$F$6))))</f>
        <v>0.967422106719585</v>
      </c>
      <c r="C1049" s="51" t="n">
        <f aca="false">1+IF($G$7=$E$7,$F$7,IF(Q1049&lt;($F$7-$E$7)/($G$7-$E$7),$E$7+SQRT(Q1049*($G$7-$E$7)*($F$7-$E$7)),$G$7-SQRT((1-Q1049)*($G$7-$E$7)*($G$7-$F$7))))</f>
        <v>0.950043525770654</v>
      </c>
      <c r="D1049" s="51" t="n">
        <f aca="false">1+IF($G$8=$E$8,$F$8,IF(R1049&lt;($F$8-$E$8)/($G$8-$E$8),$E$8+SQRT(R1049*($G$8-$E$8)*($F$8-$E$8)),$G$8-SQRT((1-R1049)*($G$8-$E$8)*($G$8-$F$8))))</f>
        <v>1.00127703763754</v>
      </c>
      <c r="E1049" s="51" t="n">
        <f aca="false">1+IF($G$9=$E$9,$F$9,IF(S1049&lt;($F$9-$E$9)/($G$9-$E$9),$E$9+SQRT(S1049*($G$9-$E$9)*($F$9-$E$9)),$G$9-SQRT((1-S1049)*($G$9-$E$9)*($G$9-$F$9))))</f>
        <v>0.993075947814897</v>
      </c>
      <c r="F1049" s="51" t="n">
        <f aca="false">1+IF($G$10=$E$10,$F$10,IF(T1049&lt;($F$10-$E$10)/($G$10-$E$10),$E$10+SQRT(T1049*($G$10-$E$10)*($F$10-$E$10)),$G$10-SQRT((1-T1049)*($G$10-$E$10)*($G$10-$F$10))))</f>
        <v>1.00133410237287</v>
      </c>
      <c r="G1049" s="52" t="n">
        <f aca="false">IF($G$11=$E$11,$F$11,IF(U1049&lt;($F$11-$E$11)/($G$11-$E$11),$E$11+SQRT(U1049*($G$11-$E$11)*($F$11-$E$11)),$G$11-SQRT((1-U1049)*($G$11-$E$11)*($G$11-$F$11))))</f>
        <v>0.100584002949389</v>
      </c>
      <c r="H1049" s="53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-2002668204.74574</v>
      </c>
      <c r="I1049" s="53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-23158529.8961145</v>
      </c>
      <c r="J1049" s="53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242677537.004038</v>
      </c>
      <c r="K1049" s="53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558580309.022835</v>
      </c>
      <c r="L1049" s="53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678956189.17602</v>
      </c>
      <c r="M1049" s="53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853657407.368261</v>
      </c>
      <c r="N1049" s="53" t="n">
        <f aca="false">IF(COUNT('Business Case'!B11:G11)=0,"",H1049+NPV(G1049,I1049:M1049))</f>
        <v>-412959172.202171</v>
      </c>
      <c r="P1049" s="54" t="n">
        <f aca="true">RAND()</f>
        <v>0.234255854762889</v>
      </c>
      <c r="Q1049" s="54" t="n">
        <f aca="true">RAND()</f>
        <v>0.32161513750984</v>
      </c>
      <c r="R1049" s="54" t="n">
        <f aca="true">RAND()</f>
        <v>0.404105307392173</v>
      </c>
      <c r="S1049" s="54" t="n">
        <f aca="true">RAND()</f>
        <v>0.247404970686899</v>
      </c>
      <c r="T1049" s="54" t="n">
        <f aca="true">RAND()</f>
        <v>0.210637222400134</v>
      </c>
      <c r="U1049" s="54" t="n">
        <f aca="true">RAND()</f>
        <v>0.371698430884447</v>
      </c>
    </row>
    <row r="1050" customFormat="false" ht="15" hidden="false" customHeight="false" outlineLevel="0" collapsed="false">
      <c r="A1050" s="50" t="n">
        <v>970</v>
      </c>
      <c r="B1050" s="51" t="n">
        <f aca="false">1+IF($G$6=$E$6,$F$6,IF(P1050&lt;($F$6-$E$6)/($G$6-$E$6),$E$6+SQRT(P1050*($G$6-$E$6)*($F$6-$E$6)),$G$6-SQRT((1-P1050)*($G$6-$E$6)*($G$6-$F$6))))</f>
        <v>0.998209569083865</v>
      </c>
      <c r="C1050" s="51" t="n">
        <f aca="false">1+IF($G$7=$E$7,$F$7,IF(Q1050&lt;($F$7-$E$7)/($G$7-$E$7),$E$7+SQRT(Q1050*($G$7-$E$7)*($F$7-$E$7)),$G$7-SQRT((1-Q1050)*($G$7-$E$7)*($G$7-$F$7))))</f>
        <v>1.04778214823719</v>
      </c>
      <c r="D1050" s="51" t="n">
        <f aca="false">1+IF($G$8=$E$8,$F$8,IF(R1050&lt;($F$8-$E$8)/($G$8-$E$8),$E$8+SQRT(R1050*($G$8-$E$8)*($F$8-$E$8)),$G$8-SQRT((1-R1050)*($G$8-$E$8)*($G$8-$F$8))))</f>
        <v>1.03106898679305</v>
      </c>
      <c r="E1050" s="51" t="n">
        <f aca="false">1+IF($G$9=$E$9,$F$9,IF(S1050&lt;($F$9-$E$9)/($G$9-$E$9),$E$9+SQRT(S1050*($G$9-$E$9)*($F$9-$E$9)),$G$9-SQRT((1-S1050)*($G$9-$E$9)*($G$9-$F$9))))</f>
        <v>1.04510064549185</v>
      </c>
      <c r="F1050" s="51" t="n">
        <f aca="false">1+IF($G$10=$E$10,$F$10,IF(T1050&lt;($F$10-$E$10)/($G$10-$E$10),$E$10+SQRT(T1050*($G$10-$E$10)*($F$10-$E$10)),$G$10-SQRT((1-T1050)*($G$10-$E$10)*($G$10-$F$10))))</f>
        <v>1.03321298752692</v>
      </c>
      <c r="G1050" s="52" t="n">
        <f aca="false">IF($G$11=$E$11,$F$11,IF(U1050&lt;($F$11-$E$11)/($G$11-$E$11),$E$11+SQRT(U1050*($G$11-$E$11)*($F$11-$E$11)),$G$11-SQRT((1-U1050)*($G$11-$E$11)*($G$11-$F$11))))</f>
        <v>0.105866309919735</v>
      </c>
      <c r="H1050" s="53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-2066425975.05384</v>
      </c>
      <c r="I1050" s="53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-2527370.72579667</v>
      </c>
      <c r="J1050" s="53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301099644.771021</v>
      </c>
      <c r="K1050" s="53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656387309.644186</v>
      </c>
      <c r="L1050" s="53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793742831.930447</v>
      </c>
      <c r="M1050" s="53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992548676.094048</v>
      </c>
      <c r="N1050" s="53" t="n">
        <f aca="false">IF(COUNT('Business Case'!B11:G11)=0,"",H1050+NPV(G1050,I1050:M1050))</f>
        <v>-206309352.861606</v>
      </c>
      <c r="P1050" s="54" t="n">
        <f aca="true">RAND()</f>
        <v>0.63716007252957</v>
      </c>
      <c r="Q1050" s="54" t="n">
        <f aca="true">RAND()</f>
        <v>0.800981157733267</v>
      </c>
      <c r="R1050" s="54" t="n">
        <f aca="true">RAND()</f>
        <v>0.769784225628988</v>
      </c>
      <c r="S1050" s="54" t="n">
        <f aca="true">RAND()</f>
        <v>0.799070724972537</v>
      </c>
      <c r="T1050" s="54" t="n">
        <f aca="true">RAND()</f>
        <v>0.4436418494061</v>
      </c>
      <c r="U1050" s="54" t="n">
        <f aca="true">RAND()</f>
        <v>0.667064674525008</v>
      </c>
    </row>
    <row r="1051" customFormat="false" ht="15" hidden="false" customHeight="false" outlineLevel="0" collapsed="false">
      <c r="A1051" s="50" t="n">
        <v>971</v>
      </c>
      <c r="B1051" s="51" t="n">
        <f aca="false">1+IF($G$6=$E$6,$F$6,IF(P1051&lt;($F$6-$E$6)/($G$6-$E$6),$E$6+SQRT(P1051*($G$6-$E$6)*($F$6-$E$6)),$G$6-SQRT((1-P1051)*($G$6-$E$6)*($G$6-$F$6))))</f>
        <v>0.997512969696377</v>
      </c>
      <c r="C1051" s="51" t="n">
        <f aca="false">1+IF($G$7=$E$7,$F$7,IF(Q1051&lt;($F$7-$E$7)/($G$7-$E$7),$E$7+SQRT(Q1051*($G$7-$E$7)*($F$7-$E$7)),$G$7-SQRT((1-Q1051)*($G$7-$E$7)*($G$7-$F$7))))</f>
        <v>0.926166607234667</v>
      </c>
      <c r="D1051" s="51" t="n">
        <f aca="false">1+IF($G$8=$E$8,$F$8,IF(R1051&lt;($F$8-$E$8)/($G$8-$E$8),$E$8+SQRT(R1051*($G$8-$E$8)*($F$8-$E$8)),$G$8-SQRT((1-R1051)*($G$8-$E$8)*($G$8-$F$8))))</f>
        <v>1.04209734907562</v>
      </c>
      <c r="E1051" s="51" t="n">
        <f aca="false">1+IF($G$9=$E$9,$F$9,IF(S1051&lt;($F$9-$E$9)/($G$9-$E$9),$E$9+SQRT(S1051*($G$9-$E$9)*($F$9-$E$9)),$G$9-SQRT((1-S1051)*($G$9-$E$9)*($G$9-$F$9))))</f>
        <v>1.07135507928175</v>
      </c>
      <c r="F1051" s="51" t="n">
        <f aca="false">1+IF($G$10=$E$10,$F$10,IF(T1051&lt;($F$10-$E$10)/($G$10-$E$10),$E$10+SQRT(T1051*($G$10-$E$10)*($F$10-$E$10)),$G$10-SQRT((1-T1051)*($G$10-$E$10)*($G$10-$F$10))))</f>
        <v>1.04215514646295</v>
      </c>
      <c r="G1051" s="52" t="n">
        <f aca="false">IF($G$11=$E$11,$F$11,IF(U1051&lt;($F$11-$E$11)/($G$11-$E$11),$E$11+SQRT(U1051*($G$11-$E$11)*($F$11-$E$11)),$G$11-SQRT((1-U1051)*($G$11-$E$11)*($G$11-$F$11))))</f>
        <v>0.107481767552935</v>
      </c>
      <c r="H1051" s="53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-2084310292.9259</v>
      </c>
      <c r="I1051" s="53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-41827333.930956</v>
      </c>
      <c r="J1051" s="53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220800607.492244</v>
      </c>
      <c r="K1051" s="53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535536306.238591</v>
      </c>
      <c r="L1051" s="53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655007665.668988</v>
      </c>
      <c r="M1051" s="53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830615583.260305</v>
      </c>
      <c r="N1051" s="53" t="n">
        <f aca="false">IF(COUNT('Business Case'!B11:G11)=0,"",H1051+NPV(G1051,I1051:M1051))</f>
        <v>-613827536.990088</v>
      </c>
      <c r="P1051" s="54" t="n">
        <f aca="true">RAND()</f>
        <v>0.625860465744948</v>
      </c>
      <c r="Q1051" s="54" t="n">
        <f aca="true">RAND()</f>
        <v>0.227400182587238</v>
      </c>
      <c r="R1051" s="54" t="n">
        <f aca="true">RAND()</f>
        <v>0.861864332010087</v>
      </c>
      <c r="S1051" s="54" t="n">
        <f aca="true">RAND()</f>
        <v>0.945297901136362</v>
      </c>
      <c r="T1051" s="54" t="n">
        <f aca="true">RAND()</f>
        <v>0.501700044237337</v>
      </c>
      <c r="U1051" s="54" t="n">
        <f aca="true">RAND()</f>
        <v>0.738823094002067</v>
      </c>
    </row>
    <row r="1052" customFormat="false" ht="15" hidden="false" customHeight="false" outlineLevel="0" collapsed="false">
      <c r="A1052" s="50" t="n">
        <v>972</v>
      </c>
      <c r="B1052" s="51" t="n">
        <f aca="false">1+IF($G$6=$E$6,$F$6,IF(P1052&lt;($F$6-$E$6)/($G$6-$E$6),$E$6+SQRT(P1052*($G$6-$E$6)*($F$6-$E$6)),$G$6-SQRT((1-P1052)*($G$6-$E$6)*($G$6-$F$6))))</f>
        <v>0.981289523970262</v>
      </c>
      <c r="C1052" s="51" t="n">
        <f aca="false">1+IF($G$7=$E$7,$F$7,IF(Q1052&lt;($F$7-$E$7)/($G$7-$E$7),$E$7+SQRT(Q1052*($G$7-$E$7)*($F$7-$E$7)),$G$7-SQRT((1-Q1052)*($G$7-$E$7)*($G$7-$F$7))))</f>
        <v>1.09372071832339</v>
      </c>
      <c r="D1052" s="51" t="n">
        <f aca="false">1+IF($G$8=$E$8,$F$8,IF(R1052&lt;($F$8-$E$8)/($G$8-$E$8),$E$8+SQRT(R1052*($G$8-$E$8)*($F$8-$E$8)),$G$8-SQRT((1-R1052)*($G$8-$E$8)*($G$8-$F$8))))</f>
        <v>1.04987182934777</v>
      </c>
      <c r="E1052" s="51" t="n">
        <f aca="false">1+IF($G$9=$E$9,$F$9,IF(S1052&lt;($F$9-$E$9)/($G$9-$E$9),$E$9+SQRT(S1052*($G$9-$E$9)*($F$9-$E$9)),$G$9-SQRT((1-S1052)*($G$9-$E$9)*($G$9-$F$9))))</f>
        <v>1.00139372684465</v>
      </c>
      <c r="F1052" s="51" t="n">
        <f aca="false">1+IF($G$10=$E$10,$F$10,IF(T1052&lt;($F$10-$E$10)/($G$10-$E$10),$E$10+SQRT(T1052*($G$10-$E$10)*($F$10-$E$10)),$G$10-SQRT((1-T1052)*($G$10-$E$10)*($G$10-$F$10))))</f>
        <v>1.05835059421278</v>
      </c>
      <c r="G1052" s="52" t="n">
        <f aca="false">IF($G$11=$E$11,$F$11,IF(U1052&lt;($F$11-$E$11)/($G$11-$E$11),$E$11+SQRT(U1052*($G$11-$E$11)*($F$11-$E$11)),$G$11-SQRT((1-U1052)*($G$11-$E$11)*($G$11-$F$11))))</f>
        <v>0.107689477565427</v>
      </c>
      <c r="H1052" s="53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-2116701188.42557</v>
      </c>
      <c r="I1052" s="53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-12616999.1377234</v>
      </c>
      <c r="J1052" s="53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278636875.551934</v>
      </c>
      <c r="K1052" s="53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622808279.952231</v>
      </c>
      <c r="L1052" s="53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756984655.814645</v>
      </c>
      <c r="M1052" s="53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960989286.126884</v>
      </c>
      <c r="N1052" s="53" t="n">
        <f aca="false">IF(COUNT('Business Case'!B11:G11)=0,"",H1052+NPV(G1052,I1052:M1052))</f>
        <v>-363655551.557379</v>
      </c>
      <c r="P1052" s="54" t="n">
        <f aca="true">RAND()</f>
        <v>0.391292265468891</v>
      </c>
      <c r="Q1052" s="54" t="n">
        <f aca="true">RAND()</f>
        <v>0.939669380075529</v>
      </c>
      <c r="R1052" s="54" t="n">
        <f aca="true">RAND()</f>
        <v>0.91272051280289</v>
      </c>
      <c r="S1052" s="54" t="n">
        <f aca="true">RAND()</f>
        <v>0.351786859627559</v>
      </c>
      <c r="T1052" s="54" t="n">
        <f aca="true">RAND()</f>
        <v>0.59870891680257</v>
      </c>
      <c r="U1052" s="54" t="n">
        <f aca="true">RAND()</f>
        <v>0.74741839564646</v>
      </c>
    </row>
    <row r="1053" customFormat="false" ht="15" hidden="false" customHeight="false" outlineLevel="0" collapsed="false">
      <c r="A1053" s="50" t="n">
        <v>973</v>
      </c>
      <c r="B1053" s="51" t="n">
        <f aca="false">1+IF($G$6=$E$6,$F$6,IF(P1053&lt;($F$6-$E$6)/($G$6-$E$6),$E$6+SQRT(P1053*($G$6-$E$6)*($F$6-$E$6)),$G$6-SQRT((1-P1053)*($G$6-$E$6)*($G$6-$F$6))))</f>
        <v>1.01448135801608</v>
      </c>
      <c r="C1053" s="51" t="n">
        <f aca="false">1+IF($G$7=$E$7,$F$7,IF(Q1053&lt;($F$7-$E$7)/($G$7-$E$7),$E$7+SQRT(Q1053*($G$7-$E$7)*($F$7-$E$7)),$G$7-SQRT((1-Q1053)*($G$7-$E$7)*($G$7-$F$7))))</f>
        <v>0.977018485116161</v>
      </c>
      <c r="D1053" s="51" t="n">
        <f aca="false">1+IF($G$8=$E$8,$F$8,IF(R1053&lt;($F$8-$E$8)/($G$8-$E$8),$E$8+SQRT(R1053*($G$8-$E$8)*($F$8-$E$8)),$G$8-SQRT((1-R1053)*($G$8-$E$8)*($G$8-$F$8))))</f>
        <v>1.04307287963669</v>
      </c>
      <c r="E1053" s="51" t="n">
        <f aca="false">1+IF($G$9=$E$9,$F$9,IF(S1053&lt;($F$9-$E$9)/($G$9-$E$9),$E$9+SQRT(S1053*($G$9-$E$9)*($F$9-$E$9)),$G$9-SQRT((1-S1053)*($G$9-$E$9)*($G$9-$F$9))))</f>
        <v>0.9781559437834</v>
      </c>
      <c r="F1053" s="51" t="n">
        <f aca="false">1+IF($G$10=$E$10,$F$10,IF(T1053&lt;($F$10-$E$10)/($G$10-$E$10),$E$10+SQRT(T1053*($G$10-$E$10)*($F$10-$E$10)),$G$10-SQRT((1-T1053)*($G$10-$E$10)*($G$10-$F$10))))</f>
        <v>0.999109661133739</v>
      </c>
      <c r="G1053" s="52" t="n">
        <f aca="false">IF($G$11=$E$11,$F$11,IF(U1053&lt;($F$11-$E$11)/($G$11-$E$11),$E$11+SQRT(U1053*($G$11-$E$11)*($F$11-$E$11)),$G$11-SQRT((1-U1053)*($G$11-$E$11)*($G$11-$F$11))))</f>
        <v>0.100587049971458</v>
      </c>
      <c r="H1053" s="53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-1998219322.26748</v>
      </c>
      <c r="I1053" s="53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-248103.264769971</v>
      </c>
      <c r="J1053" s="53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289890634.122047</v>
      </c>
      <c r="K1053" s="53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629984854.565552</v>
      </c>
      <c r="L1053" s="53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760952499.915967</v>
      </c>
      <c r="M1053" s="53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949353530.800751</v>
      </c>
      <c r="N1053" s="53" t="n">
        <f aca="false">IF(COUNT('Business Case'!B11:G11)=0,"",H1053+NPV(G1053,I1053:M1053))</f>
        <v>-180025096.892993</v>
      </c>
      <c r="P1053" s="54" t="n">
        <f aca="true">RAND()</f>
        <v>0.86433310652011</v>
      </c>
      <c r="Q1053" s="54" t="n">
        <f aca="true">RAND()</f>
        <v>0.447650629611722</v>
      </c>
      <c r="R1053" s="54" t="n">
        <f aca="true">RAND()</f>
        <v>0.86888344054557</v>
      </c>
      <c r="S1053" s="54" t="n">
        <f aca="true">RAND()</f>
        <v>0.105700956044533</v>
      </c>
      <c r="T1053" s="54" t="n">
        <f aca="true">RAND()</f>
        <v>0.192940705333656</v>
      </c>
      <c r="U1053" s="54" t="n">
        <f aca="true">RAND()</f>
        <v>0.371895618648858</v>
      </c>
    </row>
    <row r="1054" customFormat="false" ht="15" hidden="false" customHeight="false" outlineLevel="0" collapsed="false">
      <c r="A1054" s="50" t="n">
        <v>974</v>
      </c>
      <c r="B1054" s="51" t="n">
        <f aca="false">1+IF($G$6=$E$6,$F$6,IF(P1054&lt;($F$6-$E$6)/($G$6-$E$6),$E$6+SQRT(P1054*($G$6-$E$6)*($F$6-$E$6)),$G$6-SQRT((1-P1054)*($G$6-$E$6)*($G$6-$F$6))))</f>
        <v>1.0092064871227</v>
      </c>
      <c r="C1054" s="51" t="n">
        <f aca="false">1+IF($G$7=$E$7,$F$7,IF(Q1054&lt;($F$7-$E$7)/($G$7-$E$7),$E$7+SQRT(Q1054*($G$7-$E$7)*($F$7-$E$7)),$G$7-SQRT((1-Q1054)*($G$7-$E$7)*($G$7-$F$7))))</f>
        <v>0.865335470670994</v>
      </c>
      <c r="D1054" s="51" t="n">
        <f aca="false">1+IF($G$8=$E$8,$F$8,IF(R1054&lt;($F$8-$E$8)/($G$8-$E$8),$E$8+SQRT(R1054*($G$8-$E$8)*($F$8-$E$8)),$G$8-SQRT((1-R1054)*($G$8-$E$8)*($G$8-$F$8))))</f>
        <v>0.983329268985492</v>
      </c>
      <c r="E1054" s="51" t="n">
        <f aca="false">1+IF($G$9=$E$9,$F$9,IF(S1054&lt;($F$9-$E$9)/($G$9-$E$9),$E$9+SQRT(S1054*($G$9-$E$9)*($F$9-$E$9)),$G$9-SQRT((1-S1054)*($G$9-$E$9)*($G$9-$F$9))))</f>
        <v>1.02033755926194</v>
      </c>
      <c r="F1054" s="51" t="n">
        <f aca="false">1+IF($G$10=$E$10,$F$10,IF(T1054&lt;($F$10-$E$10)/($G$10-$E$10),$E$10+SQRT(T1054*($G$10-$E$10)*($F$10-$E$10)),$G$10-SQRT((1-T1054)*($G$10-$E$10)*($G$10-$F$10))))</f>
        <v>1.1000807474699</v>
      </c>
      <c r="G1054" s="52" t="n">
        <f aca="false">IF($G$11=$E$11,$F$11,IF(U1054&lt;($F$11-$E$11)/($G$11-$E$11),$E$11+SQRT(U1054*($G$11-$E$11)*($F$11-$E$11)),$G$11-SQRT((1-U1054)*($G$11-$E$11)*($G$11-$F$11))))</f>
        <v>0.113349865369179</v>
      </c>
      <c r="H1054" s="53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-2200161494.93979</v>
      </c>
      <c r="I1054" s="53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-20672396.2424366</v>
      </c>
      <c r="J1054" s="53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259027267.709882</v>
      </c>
      <c r="K1054" s="53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593730969.035695</v>
      </c>
      <c r="L1054" s="53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717145513.366947</v>
      </c>
      <c r="M1054" s="53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883142789.942912</v>
      </c>
      <c r="N1054" s="53" t="n">
        <f aca="false">IF(COUNT('Business Case'!B11:G11)=0,"",H1054+NPV(G1054,I1054:M1054))</f>
        <v>-596525043.046875</v>
      </c>
      <c r="P1054" s="54" t="n">
        <f aca="true">RAND()</f>
        <v>0.802449909307369</v>
      </c>
      <c r="Q1054" s="54" t="n">
        <f aca="true">RAND()</f>
        <v>0.0609817675400054</v>
      </c>
      <c r="R1054" s="54" t="n">
        <f aca="true">RAND()</f>
        <v>0.170898487862663</v>
      </c>
      <c r="S1054" s="54" t="n">
        <f aca="true">RAND()</f>
        <v>0.576926369043657</v>
      </c>
      <c r="T1054" s="54" t="n">
        <f aca="true">RAND()</f>
        <v>0.800322859476508</v>
      </c>
      <c r="U1054" s="54" t="n">
        <f aca="true">RAND()</f>
        <v>0.9262928489866</v>
      </c>
    </row>
    <row r="1055" customFormat="false" ht="15" hidden="false" customHeight="false" outlineLevel="0" collapsed="false">
      <c r="A1055" s="50" t="n">
        <v>975</v>
      </c>
      <c r="B1055" s="51" t="n">
        <f aca="false">1+IF($G$6=$E$6,$F$6,IF(P1055&lt;($F$6-$E$6)/($G$6-$E$6),$E$6+SQRT(P1055*($G$6-$E$6)*($F$6-$E$6)),$G$6-SQRT((1-P1055)*($G$6-$E$6)*($G$6-$F$6))))</f>
        <v>0.996946732472116</v>
      </c>
      <c r="C1055" s="51" t="n">
        <f aca="false">1+IF($G$7=$E$7,$F$7,IF(Q1055&lt;($F$7-$E$7)/($G$7-$E$7),$E$7+SQRT(Q1055*($G$7-$E$7)*($F$7-$E$7)),$G$7-SQRT((1-Q1055)*($G$7-$E$7)*($G$7-$F$7))))</f>
        <v>0.862026221808771</v>
      </c>
      <c r="D1055" s="51" t="n">
        <f aca="false">1+IF($G$8=$E$8,$F$8,IF(R1055&lt;($F$8-$E$8)/($G$8-$E$8),$E$8+SQRT(R1055*($G$8-$E$8)*($F$8-$E$8)),$G$8-SQRT((1-R1055)*($G$8-$E$8)*($G$8-$F$8))))</f>
        <v>0.975411589055769</v>
      </c>
      <c r="E1055" s="51" t="n">
        <f aca="false">1+IF($G$9=$E$9,$F$9,IF(S1055&lt;($F$9-$E$9)/($G$9-$E$9),$E$9+SQRT(S1055*($G$9-$E$9)*($F$9-$E$9)),$G$9-SQRT((1-S1055)*($G$9-$E$9)*($G$9-$F$9))))</f>
        <v>1.03927081901468</v>
      </c>
      <c r="F1055" s="51" t="n">
        <f aca="false">1+IF($G$10=$E$10,$F$10,IF(T1055&lt;($F$10-$E$10)/($G$10-$E$10),$E$10+SQRT(T1055*($G$10-$E$10)*($F$10-$E$10)),$G$10-SQRT((1-T1055)*($G$10-$E$10)*($G$10-$F$10))))</f>
        <v>1.04404572433315</v>
      </c>
      <c r="G1055" s="52" t="n">
        <f aca="false">IF($G$11=$E$11,$F$11,IF(U1055&lt;($F$11-$E$11)/($G$11-$E$11),$E$11+SQRT(U1055*($G$11-$E$11)*($F$11-$E$11)),$G$11-SQRT((1-U1055)*($G$11-$E$11)*($G$11-$F$11))))</f>
        <v>0.108211215876678</v>
      </c>
      <c r="H1055" s="53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-2088091448.6663</v>
      </c>
      <c r="I1055" s="53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-23272014.1401167</v>
      </c>
      <c r="J1055" s="53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250195851.248099</v>
      </c>
      <c r="K1055" s="53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575866002.852972</v>
      </c>
      <c r="L1055" s="53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696722622.40313</v>
      </c>
      <c r="M1055" s="53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860076276.717274</v>
      </c>
      <c r="N1055" s="53" t="n">
        <f aca="false">IF(COUNT('Business Case'!B11:G11)=0,"",H1055+NPV(G1055,I1055:M1055))</f>
        <v>-505790683.075264</v>
      </c>
      <c r="P1055" s="54" t="n">
        <f aca="true">RAND()</f>
        <v>0.616749962305773</v>
      </c>
      <c r="Q1055" s="54" t="n">
        <f aca="true">RAND()</f>
        <v>0.054960745598156</v>
      </c>
      <c r="R1055" s="54" t="n">
        <f aca="true">RAND()</f>
        <v>0.0993459782060439</v>
      </c>
      <c r="S1055" s="54" t="n">
        <f aca="true">RAND()</f>
        <v>0.754131105123466</v>
      </c>
      <c r="T1055" s="54" t="n">
        <f aca="true">RAND()</f>
        <v>0.513565278024563</v>
      </c>
      <c r="U1055" s="54" t="n">
        <f aca="true">RAND()</f>
        <v>0.768374281489505</v>
      </c>
    </row>
    <row r="1056" customFormat="false" ht="15" hidden="false" customHeight="false" outlineLevel="0" collapsed="false">
      <c r="A1056" s="50" t="n">
        <v>976</v>
      </c>
      <c r="B1056" s="51" t="n">
        <f aca="false">1+IF($G$6=$E$6,$F$6,IF(P1056&lt;($F$6-$E$6)/($G$6-$E$6),$E$6+SQRT(P1056*($G$6-$E$6)*($F$6-$E$6)),$G$6-SQRT((1-P1056)*($G$6-$E$6)*($G$6-$F$6))))</f>
        <v>1.00224489001848</v>
      </c>
      <c r="C1056" s="51" t="n">
        <f aca="false">1+IF($G$7=$E$7,$F$7,IF(Q1056&lt;($F$7-$E$7)/($G$7-$E$7),$E$7+SQRT(Q1056*($G$7-$E$7)*($F$7-$E$7)),$G$7-SQRT((1-Q1056)*($G$7-$E$7)*($G$7-$F$7))))</f>
        <v>0.928467363830464</v>
      </c>
      <c r="D1056" s="51" t="n">
        <f aca="false">1+IF($G$8=$E$8,$F$8,IF(R1056&lt;($F$8-$E$8)/($G$8-$E$8),$E$8+SQRT(R1056*($G$8-$E$8)*($F$8-$E$8)),$G$8-SQRT((1-R1056)*($G$8-$E$8)*($G$8-$F$8))))</f>
        <v>1.01589821204971</v>
      </c>
      <c r="E1056" s="51" t="n">
        <f aca="false">1+IF($G$9=$E$9,$F$9,IF(S1056&lt;($F$9-$E$9)/($G$9-$E$9),$E$9+SQRT(S1056*($G$9-$E$9)*($F$9-$E$9)),$G$9-SQRT((1-S1056)*($G$9-$E$9)*($G$9-$F$9))))</f>
        <v>1.00158942171943</v>
      </c>
      <c r="F1056" s="51" t="n">
        <f aca="false">1+IF($G$10=$E$10,$F$10,IF(T1056&lt;($F$10-$E$10)/($G$10-$E$10),$E$10+SQRT(T1056*($G$10-$E$10)*($F$10-$E$10)),$G$10-SQRT((1-T1056)*($G$10-$E$10)*($G$10-$F$10))))</f>
        <v>1.16678522317278</v>
      </c>
      <c r="G1056" s="52" t="n">
        <f aca="false">IF($G$11=$E$11,$F$11,IF(U1056&lt;($F$11-$E$11)/($G$11-$E$11),$E$11+SQRT(U1056*($G$11-$E$11)*($F$11-$E$11)),$G$11-SQRT((1-U1056)*($G$11-$E$11)*($G$11-$F$11))))</f>
        <v>0.100609919222682</v>
      </c>
      <c r="H1056" s="53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-2333570446.34556</v>
      </c>
      <c r="I1056" s="53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-28012967.6634877</v>
      </c>
      <c r="J1056" s="53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251318401.38075</v>
      </c>
      <c r="K1056" s="53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588989031.583627</v>
      </c>
      <c r="L1056" s="53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714259353.679669</v>
      </c>
      <c r="M1056" s="53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891138615.293468</v>
      </c>
      <c r="N1056" s="53" t="n">
        <f aca="false">IF(COUNT('Business Case'!B11:G11)=0,"",H1056+NPV(G1056,I1056:M1056))</f>
        <v>-671206995.123941</v>
      </c>
      <c r="P1056" s="54" t="n">
        <f aca="true">RAND()</f>
        <v>0.703031597975729</v>
      </c>
      <c r="Q1056" s="54" t="n">
        <f aca="true">RAND()</f>
        <v>0.235769479564982</v>
      </c>
      <c r="R1056" s="54" t="n">
        <f aca="true">RAND()</f>
        <v>0.604900075151589</v>
      </c>
      <c r="S1056" s="54" t="n">
        <f aca="true">RAND()</f>
        <v>0.35435720549889</v>
      </c>
      <c r="T1056" s="54" t="n">
        <f aca="true">RAND()</f>
        <v>0.977935572006359</v>
      </c>
      <c r="U1056" s="54" t="n">
        <f aca="true">RAND()</f>
        <v>0.373374612415128</v>
      </c>
    </row>
    <row r="1057" customFormat="false" ht="15" hidden="false" customHeight="false" outlineLevel="0" collapsed="false">
      <c r="A1057" s="50" t="n">
        <v>977</v>
      </c>
      <c r="B1057" s="51" t="n">
        <f aca="false">1+IF($G$6=$E$6,$F$6,IF(P1057&lt;($F$6-$E$6)/($G$6-$E$6),$E$6+SQRT(P1057*($G$6-$E$6)*($F$6-$E$6)),$G$6-SQRT((1-P1057)*($G$6-$E$6)*($G$6-$F$6))))</f>
        <v>0.929641452725412</v>
      </c>
      <c r="C1057" s="51" t="n">
        <f aca="false">1+IF($G$7=$E$7,$F$7,IF(Q1057&lt;($F$7-$E$7)/($G$7-$E$7),$E$7+SQRT(Q1057*($G$7-$E$7)*($F$7-$E$7)),$G$7-SQRT((1-Q1057)*($G$7-$E$7)*($G$7-$F$7))))</f>
        <v>0.981484435319605</v>
      </c>
      <c r="D1057" s="51" t="n">
        <f aca="false">1+IF($G$8=$E$8,$F$8,IF(R1057&lt;($F$8-$E$8)/($G$8-$E$8),$E$8+SQRT(R1057*($G$8-$E$8)*($F$8-$E$8)),$G$8-SQRT((1-R1057)*($G$8-$E$8)*($G$8-$F$8))))</f>
        <v>0.971461978719296</v>
      </c>
      <c r="E1057" s="51" t="n">
        <f aca="false">1+IF($G$9=$E$9,$F$9,IF(S1057&lt;($F$9-$E$9)/($G$9-$E$9),$E$9+SQRT(S1057*($G$9-$E$9)*($F$9-$E$9)),$G$9-SQRT((1-S1057)*($G$9-$E$9)*($G$9-$F$9))))</f>
        <v>1.09048360046119</v>
      </c>
      <c r="F1057" s="51" t="n">
        <f aca="false">1+IF($G$10=$E$10,$F$10,IF(T1057&lt;($F$10-$E$10)/($G$10-$E$10),$E$10+SQRT(T1057*($G$10-$E$10)*($F$10-$E$10)),$G$10-SQRT((1-T1057)*($G$10-$E$10)*($G$10-$F$10))))</f>
        <v>1.01344405186269</v>
      </c>
      <c r="G1057" s="52" t="n">
        <f aca="false">IF($G$11=$E$11,$F$11,IF(U1057&lt;($F$11-$E$11)/($G$11-$E$11),$E$11+SQRT(U1057*($G$11-$E$11)*($F$11-$E$11)),$G$11-SQRT((1-U1057)*($G$11-$E$11)*($G$11-$F$11))))</f>
        <v>0.115409577793895</v>
      </c>
      <c r="H1057" s="53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-2026888103.72537</v>
      </c>
      <c r="I1057" s="53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-44469566.6110973</v>
      </c>
      <c r="J1057" s="53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214772339.417502</v>
      </c>
      <c r="K1057" s="53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524686448.039236</v>
      </c>
      <c r="L1057" s="53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642633949.694</v>
      </c>
      <c r="M1057" s="53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816068381.076103</v>
      </c>
      <c r="N1057" s="53" t="n">
        <f aca="false">IF(COUNT('Business Case'!B11:G11)=0,"",H1057+NPV(G1057,I1057:M1057))</f>
        <v>-628201193.605366</v>
      </c>
      <c r="P1057" s="54" t="n">
        <f aca="true">RAND()</f>
        <v>0.00968308444336973</v>
      </c>
      <c r="Q1057" s="54" t="n">
        <f aca="true">RAND()</f>
        <v>0.470522860903943</v>
      </c>
      <c r="R1057" s="54" t="n">
        <f aca="true">RAND()</f>
        <v>0.0708640816226958</v>
      </c>
      <c r="S1057" s="54" t="n">
        <f aca="true">RAND()</f>
        <v>0.993962542654521</v>
      </c>
      <c r="T1057" s="54" t="n">
        <f aca="true">RAND()</f>
        <v>0.303937564291756</v>
      </c>
      <c r="U1057" s="54" t="n">
        <f aca="true">RAND()</f>
        <v>0.964880039949494</v>
      </c>
    </row>
    <row r="1058" customFormat="false" ht="15" hidden="false" customHeight="false" outlineLevel="0" collapsed="false">
      <c r="A1058" s="50" t="n">
        <v>978</v>
      </c>
      <c r="B1058" s="51" t="n">
        <f aca="false">1+IF($G$6=$E$6,$F$6,IF(P1058&lt;($F$6-$E$6)/($G$6-$E$6),$E$6+SQRT(P1058*($G$6-$E$6)*($F$6-$E$6)),$G$6-SQRT((1-P1058)*($G$6-$E$6)*($G$6-$F$6))))</f>
        <v>0.94727046680821</v>
      </c>
      <c r="C1058" s="51" t="n">
        <f aca="false">1+IF($G$7=$E$7,$F$7,IF(Q1058&lt;($F$7-$E$7)/($G$7-$E$7),$E$7+SQRT(Q1058*($G$7-$E$7)*($F$7-$E$7)),$G$7-SQRT((1-Q1058)*($G$7-$E$7)*($G$7-$F$7))))</f>
        <v>0.951522062647815</v>
      </c>
      <c r="D1058" s="51" t="n">
        <f aca="false">1+IF($G$8=$E$8,$F$8,IF(R1058&lt;($F$8-$E$8)/($G$8-$E$8),$E$8+SQRT(R1058*($G$8-$E$8)*($F$8-$E$8)),$G$8-SQRT((1-R1058)*($G$8-$E$8)*($G$8-$F$8))))</f>
        <v>0.975285105103244</v>
      </c>
      <c r="E1058" s="51" t="n">
        <f aca="false">1+IF($G$9=$E$9,$F$9,IF(S1058&lt;($F$9-$E$9)/($G$9-$E$9),$E$9+SQRT(S1058*($G$9-$E$9)*($F$9-$E$9)),$G$9-SQRT((1-S1058)*($G$9-$E$9)*($G$9-$F$9))))</f>
        <v>1.04220798627021</v>
      </c>
      <c r="F1058" s="51" t="n">
        <f aca="false">1+IF($G$10=$E$10,$F$10,IF(T1058&lt;($F$10-$E$10)/($G$10-$E$10),$E$10+SQRT(T1058*($G$10-$E$10)*($F$10-$E$10)),$G$10-SQRT((1-T1058)*($G$10-$E$10)*($G$10-$F$10))))</f>
        <v>1.15180792872573</v>
      </c>
      <c r="G1058" s="52" t="n">
        <f aca="false">IF($G$11=$E$11,$F$11,IF(U1058&lt;($F$11-$E$11)/($G$11-$E$11),$E$11+SQRT(U1058*($G$11-$E$11)*($F$11-$E$11)),$G$11-SQRT((1-U1058)*($G$11-$E$11)*($G$11-$F$11))))</f>
        <v>0.111440433316275</v>
      </c>
      <c r="H1058" s="53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-2303615857.45146</v>
      </c>
      <c r="I1058" s="53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-46903636.0933629</v>
      </c>
      <c r="J1058" s="53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216301415.453778</v>
      </c>
      <c r="K1058" s="53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537096863.437205</v>
      </c>
      <c r="L1058" s="53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655982493.366457</v>
      </c>
      <c r="M1058" s="53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827310863.474248</v>
      </c>
      <c r="N1058" s="53" t="n">
        <f aca="false">IF(COUNT('Business Case'!B11:G11)=0,"",H1058+NPV(G1058,I1058:M1058))</f>
        <v>-861844902.837096</v>
      </c>
      <c r="P1058" s="54" t="n">
        <f aca="true">RAND()</f>
        <v>0.0774664958268409</v>
      </c>
      <c r="Q1058" s="54" t="n">
        <f aca="true">RAND()</f>
        <v>0.327984792414978</v>
      </c>
      <c r="R1058" s="54" t="n">
        <f aca="true">RAND()</f>
        <v>0.0983594677049368</v>
      </c>
      <c r="S1058" s="54" t="n">
        <f aca="true">RAND()</f>
        <v>0.777338876603743</v>
      </c>
      <c r="T1058" s="54" t="n">
        <f aca="true">RAND()</f>
        <v>0.953550485325911</v>
      </c>
      <c r="U1058" s="54" t="n">
        <f aca="true">RAND()</f>
        <v>0.877889696978114</v>
      </c>
    </row>
    <row r="1059" customFormat="false" ht="15" hidden="false" customHeight="false" outlineLevel="0" collapsed="false">
      <c r="A1059" s="50" t="n">
        <v>979</v>
      </c>
      <c r="B1059" s="51" t="n">
        <f aca="false">1+IF($G$6=$E$6,$F$6,IF(P1059&lt;($F$6-$E$6)/($G$6-$E$6),$E$6+SQRT(P1059*($G$6-$E$6)*($F$6-$E$6)),$G$6-SQRT((1-P1059)*($G$6-$E$6)*($G$6-$F$6))))</f>
        <v>0.984141598240963</v>
      </c>
      <c r="C1059" s="51" t="n">
        <f aca="false">1+IF($G$7=$E$7,$F$7,IF(Q1059&lt;($F$7-$E$7)/($G$7-$E$7),$E$7+SQRT(Q1059*($G$7-$E$7)*($F$7-$E$7)),$G$7-SQRT((1-Q1059)*($G$7-$E$7)*($G$7-$F$7))))</f>
        <v>1.05459755340321</v>
      </c>
      <c r="D1059" s="51" t="n">
        <f aca="false">1+IF($G$8=$E$8,$F$8,IF(R1059&lt;($F$8-$E$8)/($G$8-$E$8),$E$8+SQRT(R1059*($G$8-$E$8)*($F$8-$E$8)),$G$8-SQRT((1-R1059)*($G$8-$E$8)*($G$8-$F$8))))</f>
        <v>0.993232919257835</v>
      </c>
      <c r="E1059" s="51" t="n">
        <f aca="false">1+IF($G$9=$E$9,$F$9,IF(S1059&lt;($F$9-$E$9)/($G$9-$E$9),$E$9+SQRT(S1059*($G$9-$E$9)*($F$9-$E$9)),$G$9-SQRT((1-S1059)*($G$9-$E$9)*($G$9-$F$9))))</f>
        <v>1.08232377225368</v>
      </c>
      <c r="F1059" s="51" t="n">
        <f aca="false">1+IF($G$10=$E$10,$F$10,IF(T1059&lt;($F$10-$E$10)/($G$10-$E$10),$E$10+SQRT(T1059*($G$10-$E$10)*($F$10-$E$10)),$G$10-SQRT((1-T1059)*($G$10-$E$10)*($G$10-$F$10))))</f>
        <v>1.12318783749516</v>
      </c>
      <c r="G1059" s="52" t="n">
        <f aca="false">IF($G$11=$E$11,$F$11,IF(U1059&lt;($F$11-$E$11)/($G$11-$E$11),$E$11+SQRT(U1059*($G$11-$E$11)*($F$11-$E$11)),$G$11-SQRT((1-U1059)*($G$11-$E$11)*($G$11-$F$11))))</f>
        <v>0.104977139603417</v>
      </c>
      <c r="H1059" s="53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-2246375674.99032</v>
      </c>
      <c r="I1059" s="53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-6151838.30709539</v>
      </c>
      <c r="J1059" s="53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307724900.547102</v>
      </c>
      <c r="K1059" s="53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677761031.276059</v>
      </c>
      <c r="L1059" s="53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818255512.892327</v>
      </c>
      <c r="M1059" s="53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1015534473.88244</v>
      </c>
      <c r="N1059" s="53" t="n">
        <f aca="false">IF(COUNT('Business Case'!B11:G11)=0,"",H1059+NPV(G1059,I1059:M1059))</f>
        <v>-332177920.092915</v>
      </c>
      <c r="P1059" s="54" t="n">
        <f aca="true">RAND()</f>
        <v>0.428556731760949</v>
      </c>
      <c r="Q1059" s="54" t="n">
        <f aca="true">RAND()</f>
        <v>0.82663567968279</v>
      </c>
      <c r="R1059" s="54" t="n">
        <f aca="true">RAND()</f>
        <v>0.287551585777617</v>
      </c>
      <c r="S1059" s="54" t="n">
        <f aca="true">RAND()</f>
        <v>0.97917006484402</v>
      </c>
      <c r="T1059" s="54" t="n">
        <f aca="true">RAND()</f>
        <v>0.881997833826605</v>
      </c>
      <c r="U1059" s="54" t="n">
        <f aca="true">RAND()</f>
        <v>0.623856109174633</v>
      </c>
    </row>
    <row r="1060" customFormat="false" ht="15" hidden="false" customHeight="false" outlineLevel="0" collapsed="false">
      <c r="A1060" s="50" t="n">
        <v>980</v>
      </c>
      <c r="B1060" s="51" t="n">
        <f aca="false">1+IF($G$6=$E$6,$F$6,IF(P1060&lt;($F$6-$E$6)/($G$6-$E$6),$E$6+SQRT(P1060*($G$6-$E$6)*($F$6-$E$6)),$G$6-SQRT((1-P1060)*($G$6-$E$6)*($G$6-$F$6))))</f>
        <v>0.996548236025579</v>
      </c>
      <c r="C1060" s="51" t="n">
        <f aca="false">1+IF($G$7=$E$7,$F$7,IF(Q1060&lt;($F$7-$E$7)/($G$7-$E$7),$E$7+SQRT(Q1060*($G$7-$E$7)*($F$7-$E$7)),$G$7-SQRT((1-Q1060)*($G$7-$E$7)*($G$7-$F$7))))</f>
        <v>1.00683136267553</v>
      </c>
      <c r="D1060" s="51" t="n">
        <f aca="false">1+IF($G$8=$E$8,$F$8,IF(R1060&lt;($F$8-$E$8)/($G$8-$E$8),$E$8+SQRT(R1060*($G$8-$E$8)*($F$8-$E$8)),$G$8-SQRT((1-R1060)*($G$8-$E$8)*($G$8-$F$8))))</f>
        <v>1.00646678839327</v>
      </c>
      <c r="E1060" s="51" t="n">
        <f aca="false">1+IF($G$9=$E$9,$F$9,IF(S1060&lt;($F$9-$E$9)/($G$9-$E$9),$E$9+SQRT(S1060*($G$9-$E$9)*($F$9-$E$9)),$G$9-SQRT((1-S1060)*($G$9-$E$9)*($G$9-$F$9))))</f>
        <v>1.02261426811213</v>
      </c>
      <c r="F1060" s="51" t="n">
        <f aca="false">1+IF($G$10=$E$10,$F$10,IF(T1060&lt;($F$10-$E$10)/($G$10-$E$10),$E$10+SQRT(T1060*($G$10-$E$10)*($F$10-$E$10)),$G$10-SQRT((1-T1060)*($G$10-$E$10)*($G$10-$F$10))))</f>
        <v>1.09276494783291</v>
      </c>
      <c r="G1060" s="52" t="n">
        <f aca="false">IF($G$11=$E$11,$F$11,IF(U1060&lt;($F$11-$E$11)/($G$11-$E$11),$E$11+SQRT(U1060*($G$11-$E$11)*($F$11-$E$11)),$G$11-SQRT((1-U1060)*($G$11-$E$11)*($G$11-$F$11))))</f>
        <v>0.09529336385989</v>
      </c>
      <c r="H1060" s="53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-2185529895.66581</v>
      </c>
      <c r="I1060" s="53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-3635603.53490034</v>
      </c>
      <c r="J1060" s="53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299435012.635458</v>
      </c>
      <c r="K1060" s="53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657143876.197462</v>
      </c>
      <c r="L1060" s="53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792843398.918531</v>
      </c>
      <c r="M1060" s="53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983561310.905417</v>
      </c>
      <c r="N1060" s="53" t="n">
        <f aca="false">IF(COUNT('Business Case'!B11:G11)=0,"",H1060+NPV(G1060,I1060:M1060))</f>
        <v>-264296792.491658</v>
      </c>
      <c r="P1060" s="54" t="n">
        <f aca="true">RAND()</f>
        <v>0.610378379023719</v>
      </c>
      <c r="Q1060" s="54" t="n">
        <f aca="true">RAND()</f>
        <v>0.609576024507684</v>
      </c>
      <c r="R1060" s="54" t="n">
        <f aca="true">RAND()</f>
        <v>0.48008334526918</v>
      </c>
      <c r="S1060" s="54" t="n">
        <f aca="true">RAND()</f>
        <v>0.600763233345239</v>
      </c>
      <c r="T1060" s="54" t="n">
        <f aca="true">RAND()</f>
        <v>0.770012871734417</v>
      </c>
      <c r="U1060" s="54" t="n">
        <f aca="true">RAND()</f>
        <v>0.0933990031773001</v>
      </c>
    </row>
    <row r="1061" customFormat="false" ht="15" hidden="false" customHeight="false" outlineLevel="0" collapsed="false">
      <c r="A1061" s="50" t="n">
        <v>981</v>
      </c>
      <c r="B1061" s="51" t="n">
        <f aca="false">1+IF($G$6=$E$6,$F$6,IF(P1061&lt;($F$6-$E$6)/($G$6-$E$6),$E$6+SQRT(P1061*($G$6-$E$6)*($F$6-$E$6)),$G$6-SQRT((1-P1061)*($G$6-$E$6)*($G$6-$F$6))))</f>
        <v>0.978793655652596</v>
      </c>
      <c r="C1061" s="51" t="n">
        <f aca="false">1+IF($G$7=$E$7,$F$7,IF(Q1061&lt;($F$7-$E$7)/($G$7-$E$7),$E$7+SQRT(Q1061*($G$7-$E$7)*($F$7-$E$7)),$G$7-SQRT((1-Q1061)*($G$7-$E$7)*($G$7-$F$7))))</f>
        <v>1.12704076410504</v>
      </c>
      <c r="D1061" s="51" t="n">
        <f aca="false">1+IF($G$8=$E$8,$F$8,IF(R1061&lt;($F$8-$E$8)/($G$8-$E$8),$E$8+SQRT(R1061*($G$8-$E$8)*($F$8-$E$8)),$G$8-SQRT((1-R1061)*($G$8-$E$8)*($G$8-$F$8))))</f>
        <v>1.00447436390123</v>
      </c>
      <c r="E1061" s="51" t="n">
        <f aca="false">1+IF($G$9=$E$9,$F$9,IF(S1061&lt;($F$9-$E$9)/($G$9-$E$9),$E$9+SQRT(S1061*($G$9-$E$9)*($F$9-$E$9)),$G$9-SQRT((1-S1061)*($G$9-$E$9)*($G$9-$F$9))))</f>
        <v>1.06447983905393</v>
      </c>
      <c r="F1061" s="51" t="n">
        <f aca="false">1+IF($G$10=$E$10,$F$10,IF(T1061&lt;($F$10-$E$10)/($G$10-$E$10),$E$10+SQRT(T1061*($G$10-$E$10)*($F$10-$E$10)),$G$10-SQRT((1-T1061)*($G$10-$E$10)*($G$10-$F$10))))</f>
        <v>1.12523442181647</v>
      </c>
      <c r="G1061" s="52" t="n">
        <f aca="false">IF($G$11=$E$11,$F$11,IF(U1061&lt;($F$11-$E$11)/($G$11-$E$11),$E$11+SQRT(U1061*($G$11-$E$11)*($F$11-$E$11)),$G$11-SQRT((1-U1061)*($G$11-$E$11)*($G$11-$F$11))))</f>
        <v>0.0934840108312509</v>
      </c>
      <c r="H1061" s="53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-2250468843.63295</v>
      </c>
      <c r="I1061" s="53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2935888.10594086</v>
      </c>
      <c r="J1061" s="53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326951047.228596</v>
      </c>
      <c r="K1061" s="53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707227927.442076</v>
      </c>
      <c r="L1061" s="53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853357510.964026</v>
      </c>
      <c r="M1061" s="53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1063042428.60989</v>
      </c>
      <c r="N1061" s="53" t="n">
        <f aca="false">IF(COUNT('Business Case'!B11:G11)=0,"",H1061+NPV(G1061,I1061:M1061))</f>
        <v>-156600235.141142</v>
      </c>
      <c r="P1061" s="54" t="n">
        <f aca="true">RAND()</f>
        <v>0.36007228593709</v>
      </c>
      <c r="Q1061" s="54" t="n">
        <f aca="true">RAND()</f>
        <v>0.989959494992753</v>
      </c>
      <c r="R1061" s="54" t="n">
        <f aca="true">RAND()</f>
        <v>0.451526758834261</v>
      </c>
      <c r="S1061" s="54" t="n">
        <f aca="true">RAND()</f>
        <v>0.915887877757696</v>
      </c>
      <c r="T1061" s="54" t="n">
        <f aca="true">RAND()</f>
        <v>0.888202166377658</v>
      </c>
      <c r="U1061" s="54" t="n">
        <f aca="true">RAND()</f>
        <v>0.0404611049075777</v>
      </c>
    </row>
    <row r="1062" customFormat="false" ht="15" hidden="false" customHeight="false" outlineLevel="0" collapsed="false">
      <c r="A1062" s="50" t="n">
        <v>982</v>
      </c>
      <c r="B1062" s="51" t="n">
        <f aca="false">1+IF($G$6=$E$6,$F$6,IF(P1062&lt;($F$6-$E$6)/($G$6-$E$6),$E$6+SQRT(P1062*($G$6-$E$6)*($F$6-$E$6)),$G$6-SQRT((1-P1062)*($G$6-$E$6)*($G$6-$F$6))))</f>
        <v>0.974121945131652</v>
      </c>
      <c r="C1062" s="51" t="n">
        <f aca="false">1+IF($G$7=$E$7,$F$7,IF(Q1062&lt;($F$7-$E$7)/($G$7-$E$7),$E$7+SQRT(Q1062*($G$7-$E$7)*($F$7-$E$7)),$G$7-SQRT((1-Q1062)*($G$7-$E$7)*($G$7-$F$7))))</f>
        <v>0.914582688716087</v>
      </c>
      <c r="D1062" s="51" t="n">
        <f aca="false">1+IF($G$8=$E$8,$F$8,IF(R1062&lt;($F$8-$E$8)/($G$8-$E$8),$E$8+SQRT(R1062*($G$8-$E$8)*($F$8-$E$8)),$G$8-SQRT((1-R1062)*($G$8-$E$8)*($G$8-$F$8))))</f>
        <v>1.0001342304308</v>
      </c>
      <c r="E1062" s="51" t="n">
        <f aca="false">1+IF($G$9=$E$9,$F$9,IF(S1062&lt;($F$9-$E$9)/($G$9-$E$9),$E$9+SQRT(S1062*($G$9-$E$9)*($F$9-$E$9)),$G$9-SQRT((1-S1062)*($G$9-$E$9)*($G$9-$F$9))))</f>
        <v>1.01787654800905</v>
      </c>
      <c r="F1062" s="51" t="n">
        <f aca="false">1+IF($G$10=$E$10,$F$10,IF(T1062&lt;($F$10-$E$10)/($G$10-$E$10),$E$10+SQRT(T1062*($G$10-$E$10)*($F$10-$E$10)),$G$10-SQRT((1-T1062)*($G$10-$E$10)*($G$10-$F$10))))</f>
        <v>1.01897603396154</v>
      </c>
      <c r="G1062" s="52" t="n">
        <f aca="false">IF($G$11=$E$11,$F$11,IF(U1062&lt;($F$11-$E$11)/($G$11-$E$11),$E$11+SQRT(U1062*($G$11-$E$11)*($F$11-$E$11)),$G$11-SQRT((1-U1062)*($G$11-$E$11)*($G$11-$F$11))))</f>
        <v>0.107806527049987</v>
      </c>
      <c r="H1062" s="53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-2037952067.92308</v>
      </c>
      <c r="I1062" s="53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-31357115.0677214</v>
      </c>
      <c r="J1062" s="53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230110455.497988</v>
      </c>
      <c r="K1062" s="53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542526827.761774</v>
      </c>
      <c r="L1062" s="53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660472709.35727</v>
      </c>
      <c r="M1062" s="53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829817845.428699</v>
      </c>
      <c r="N1062" s="53" t="n">
        <f aca="false">IF(COUNT('Business Case'!B11:G11)=0,"",H1062+NPV(G1062,I1062:M1062))</f>
        <v>-543821468.017498</v>
      </c>
      <c r="P1062" s="54" t="n">
        <f aca="true">RAND()</f>
        <v>0.305123431753495</v>
      </c>
      <c r="Q1062" s="54" t="n">
        <f aca="true">RAND()</f>
        <v>0.18755989362011</v>
      </c>
      <c r="R1062" s="54" t="n">
        <f aca="true">RAND()</f>
        <v>0.386678735684604</v>
      </c>
      <c r="S1062" s="54" t="n">
        <f aca="true">RAND()</f>
        <v>0.550382575539335</v>
      </c>
      <c r="T1062" s="54" t="n">
        <f aca="true">RAND()</f>
        <v>0.344606474394131</v>
      </c>
      <c r="U1062" s="54" t="n">
        <f aca="true">RAND()</f>
        <v>0.752198695695521</v>
      </c>
    </row>
    <row r="1063" customFormat="false" ht="15" hidden="false" customHeight="false" outlineLevel="0" collapsed="false">
      <c r="A1063" s="50" t="n">
        <v>983</v>
      </c>
      <c r="B1063" s="51" t="n">
        <f aca="false">1+IF($G$6=$E$6,$F$6,IF(P1063&lt;($F$6-$E$6)/($G$6-$E$6),$E$6+SQRT(P1063*($G$6-$E$6)*($F$6-$E$6)),$G$6-SQRT((1-P1063)*($G$6-$E$6)*($G$6-$F$6))))</f>
        <v>0.975895747891686</v>
      </c>
      <c r="C1063" s="51" t="n">
        <f aca="false">1+IF($G$7=$E$7,$F$7,IF(Q1063&lt;($F$7-$E$7)/($G$7-$E$7),$E$7+SQRT(Q1063*($G$7-$E$7)*($F$7-$E$7)),$G$7-SQRT((1-Q1063)*($G$7-$E$7)*($G$7-$F$7))))</f>
        <v>0.965105899786971</v>
      </c>
      <c r="D1063" s="51" t="n">
        <f aca="false">1+IF($G$8=$E$8,$F$8,IF(R1063&lt;($F$8-$E$8)/($G$8-$E$8),$E$8+SQRT(R1063*($G$8-$E$8)*($F$8-$E$8)),$G$8-SQRT((1-R1063)*($G$8-$E$8)*($G$8-$F$8))))</f>
        <v>1.00460795162992</v>
      </c>
      <c r="E1063" s="51" t="n">
        <f aca="false">1+IF($G$9=$E$9,$F$9,IF(S1063&lt;($F$9-$E$9)/($G$9-$E$9),$E$9+SQRT(S1063*($G$9-$E$9)*($F$9-$E$9)),$G$9-SQRT((1-S1063)*($G$9-$E$9)*($G$9-$F$9))))</f>
        <v>1.01906611991429</v>
      </c>
      <c r="F1063" s="51" t="n">
        <f aca="false">1+IF($G$10=$E$10,$F$10,IF(T1063&lt;($F$10-$E$10)/($G$10-$E$10),$E$10+SQRT(T1063*($G$10-$E$10)*($F$10-$E$10)),$G$10-SQRT((1-T1063)*($G$10-$E$10)*($G$10-$F$10))))</f>
        <v>0.973711688626066</v>
      </c>
      <c r="G1063" s="52" t="n">
        <f aca="false">IF($G$11=$E$11,$F$11,IF(U1063&lt;($F$11-$E$11)/($G$11-$E$11),$E$11+SQRT(U1063*($G$11-$E$11)*($F$11-$E$11)),$G$11-SQRT((1-U1063)*($G$11-$E$11)*($G$11-$F$11))))</f>
        <v>0.106796857684931</v>
      </c>
      <c r="H1063" s="53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-1947423377.25213</v>
      </c>
      <c r="I1063" s="53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-16004082.085305</v>
      </c>
      <c r="J1063" s="53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259099334.785888</v>
      </c>
      <c r="K1063" s="53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582888336.088385</v>
      </c>
      <c r="L1063" s="53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707139560.273502</v>
      </c>
      <c r="M1063" s="53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886165029.027796</v>
      </c>
      <c r="N1063" s="53" t="n">
        <f aca="false">IF(COUNT('Business Case'!B11:G11)=0,"",H1063+NPV(G1063,I1063:M1063))</f>
        <v>-315678936.790888</v>
      </c>
      <c r="P1063" s="54" t="n">
        <f aca="true">RAND()</f>
        <v>0.32545152420531</v>
      </c>
      <c r="Q1063" s="54" t="n">
        <f aca="true">RAND()</f>
        <v>0.389427973492363</v>
      </c>
      <c r="R1063" s="54" t="n">
        <f aca="true">RAND()</f>
        <v>0.453465292554125</v>
      </c>
      <c r="S1063" s="54" t="n">
        <f aca="true">RAND()</f>
        <v>0.56331380361809</v>
      </c>
      <c r="T1063" s="54" t="n">
        <f aca="true">RAND()</f>
        <v>0.044979534199961</v>
      </c>
      <c r="U1063" s="54" t="n">
        <f aca="true">RAND()</f>
        <v>0.70946172168004</v>
      </c>
    </row>
    <row r="1064" customFormat="false" ht="15" hidden="false" customHeight="false" outlineLevel="0" collapsed="false">
      <c r="A1064" s="50" t="n">
        <v>984</v>
      </c>
      <c r="B1064" s="51" t="n">
        <f aca="false">1+IF($G$6=$E$6,$F$6,IF(P1064&lt;($F$6-$E$6)/($G$6-$E$6),$E$6+SQRT(P1064*($G$6-$E$6)*($F$6-$E$6)),$G$6-SQRT((1-P1064)*($G$6-$E$6)*($G$6-$F$6))))</f>
        <v>0.987183833729204</v>
      </c>
      <c r="C1064" s="51" t="n">
        <f aca="false">1+IF($G$7=$E$7,$F$7,IF(Q1064&lt;($F$7-$E$7)/($G$7-$E$7),$E$7+SQRT(Q1064*($G$7-$E$7)*($F$7-$E$7)),$G$7-SQRT((1-Q1064)*($G$7-$E$7)*($G$7-$F$7))))</f>
        <v>0.99852662553218</v>
      </c>
      <c r="D1064" s="51" t="n">
        <f aca="false">1+IF($G$8=$E$8,$F$8,IF(R1064&lt;($F$8-$E$8)/($G$8-$E$8),$E$8+SQRT(R1064*($G$8-$E$8)*($F$8-$E$8)),$G$8-SQRT((1-R1064)*($G$8-$E$8)*($G$8-$F$8))))</f>
        <v>0.985970852651405</v>
      </c>
      <c r="E1064" s="51" t="n">
        <f aca="false">1+IF($G$9=$E$9,$F$9,IF(S1064&lt;($F$9-$E$9)/($G$9-$E$9),$E$9+SQRT(S1064*($G$9-$E$9)*($F$9-$E$9)),$G$9-SQRT((1-S1064)*($G$9-$E$9)*($G$9-$F$9))))</f>
        <v>1.03347718136292</v>
      </c>
      <c r="F1064" s="51" t="n">
        <f aca="false">1+IF($G$10=$E$10,$F$10,IF(T1064&lt;($F$10-$E$10)/($G$10-$E$10),$E$10+SQRT(T1064*($G$10-$E$10)*($F$10-$E$10)),$G$10-SQRT((1-T1064)*($G$10-$E$10)*($G$10-$F$10))))</f>
        <v>1.11232719603151</v>
      </c>
      <c r="G1064" s="52" t="n">
        <f aca="false">IF($G$11=$E$11,$F$11,IF(U1064&lt;($F$11-$E$11)/($G$11-$E$11),$E$11+SQRT(U1064*($G$11-$E$11)*($F$11-$E$11)),$G$11-SQRT((1-U1064)*($G$11-$E$11)*($G$11-$F$11))))</f>
        <v>0.101529329390659</v>
      </c>
      <c r="H1064" s="53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-2224654392.06303</v>
      </c>
      <c r="I1064" s="53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-5904610.57587485</v>
      </c>
      <c r="J1064" s="53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297484162.74467</v>
      </c>
      <c r="K1064" s="53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656489295.86679</v>
      </c>
      <c r="L1064" s="53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791685693.042612</v>
      </c>
      <c r="M1064" s="53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979053126.421967</v>
      </c>
      <c r="N1064" s="53" t="n">
        <f aca="false">IF(COUNT('Business Case'!B11:G11)=0,"",H1064+NPV(G1064,I1064:M1064))</f>
        <v>-352221770.088039</v>
      </c>
      <c r="P1064" s="54" t="n">
        <f aca="true">RAND()</f>
        <v>0.470173699432633</v>
      </c>
      <c r="Q1064" s="54" t="n">
        <f aca="true">RAND()</f>
        <v>0.563040300645634</v>
      </c>
      <c r="R1064" s="54" t="n">
        <f aca="true">RAND()</f>
        <v>0.199061883149087</v>
      </c>
      <c r="S1064" s="54" t="n">
        <f aca="true">RAND()</f>
        <v>0.704980973371904</v>
      </c>
      <c r="T1064" s="54" t="n">
        <f aca="true">RAND()</f>
        <v>0.846269588886069</v>
      </c>
      <c r="U1064" s="54" t="n">
        <f aca="true">RAND()</f>
        <v>0.431390545402039</v>
      </c>
    </row>
    <row r="1065" customFormat="false" ht="15" hidden="false" customHeight="false" outlineLevel="0" collapsed="false">
      <c r="A1065" s="50" t="n">
        <v>985</v>
      </c>
      <c r="B1065" s="51" t="n">
        <f aca="false">1+IF($G$6=$E$6,$F$6,IF(P1065&lt;($F$6-$E$6)/($G$6-$E$6),$E$6+SQRT(P1065*($G$6-$E$6)*($F$6-$E$6)),$G$6-SQRT((1-P1065)*($G$6-$E$6)*($G$6-$F$6))))</f>
        <v>1.03330249613039</v>
      </c>
      <c r="C1065" s="51" t="n">
        <f aca="false">1+IF($G$7=$E$7,$F$7,IF(Q1065&lt;($F$7-$E$7)/($G$7-$E$7),$E$7+SQRT(Q1065*($G$7-$E$7)*($F$7-$E$7)),$G$7-SQRT((1-Q1065)*($G$7-$E$7)*($G$7-$F$7))))</f>
        <v>0.930292186076745</v>
      </c>
      <c r="D1065" s="51" t="n">
        <f aca="false">1+IF($G$8=$E$8,$F$8,IF(R1065&lt;($F$8-$E$8)/($G$8-$E$8),$E$8+SQRT(R1065*($G$8-$E$8)*($F$8-$E$8)),$G$8-SQRT((1-R1065)*($G$8-$E$8)*($G$8-$F$8))))</f>
        <v>0.974783624991247</v>
      </c>
      <c r="E1065" s="51" t="n">
        <f aca="false">1+IF($G$9=$E$9,$F$9,IF(S1065&lt;($F$9-$E$9)/($G$9-$E$9),$E$9+SQRT(S1065*($G$9-$E$9)*($F$9-$E$9)),$G$9-SQRT((1-S1065)*($G$9-$E$9)*($G$9-$F$9))))</f>
        <v>1.04661176640797</v>
      </c>
      <c r="F1065" s="51" t="n">
        <f aca="false">1+IF($G$10=$E$10,$F$10,IF(T1065&lt;($F$10-$E$10)/($G$10-$E$10),$E$10+SQRT(T1065*($G$10-$E$10)*($F$10-$E$10)),$G$10-SQRT((1-T1065)*($G$10-$E$10)*($G$10-$F$10))))</f>
        <v>1.13033792912986</v>
      </c>
      <c r="G1065" s="52" t="n">
        <f aca="false">IF($G$11=$E$11,$F$11,IF(U1065&lt;($F$11-$E$11)/($G$11-$E$11),$E$11+SQRT(U1065*($G$11-$E$11)*($F$11-$E$11)),$G$11-SQRT((1-U1065)*($G$11-$E$11)*($G$11-$F$11))))</f>
        <v>0.109513646896218</v>
      </c>
      <c r="H1065" s="53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-2260675858.25972</v>
      </c>
      <c r="I1065" s="53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11431351.7352091</v>
      </c>
      <c r="J1065" s="53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334557094.224728</v>
      </c>
      <c r="K1065" s="53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714199733.170741</v>
      </c>
      <c r="L1065" s="53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855129917.105988</v>
      </c>
      <c r="M1065" s="53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1037848734.18573</v>
      </c>
      <c r="N1065" s="53" t="n">
        <f aca="false">IF(COUNT('Business Case'!B11:G11)=0,"",H1065+NPV(G1065,I1065:M1065))</f>
        <v>-274144238.69572</v>
      </c>
      <c r="P1065" s="54" t="n">
        <f aca="true">RAND()</f>
        <v>0.990654883732611</v>
      </c>
      <c r="Q1065" s="54" t="n">
        <f aca="true">RAND()</f>
        <v>0.242515053609388</v>
      </c>
      <c r="R1065" s="54" t="n">
        <f aca="true">RAND()</f>
        <v>0.0944966258010372</v>
      </c>
      <c r="S1065" s="54" t="n">
        <f aca="true">RAND()</f>
        <v>0.809979767594831</v>
      </c>
      <c r="T1065" s="54" t="n">
        <f aca="true">RAND()</f>
        <v>0.902943917641666</v>
      </c>
      <c r="U1065" s="54" t="n">
        <f aca="true">RAND()</f>
        <v>0.816727330971342</v>
      </c>
    </row>
    <row r="1066" customFormat="false" ht="15" hidden="false" customHeight="false" outlineLevel="0" collapsed="false">
      <c r="A1066" s="50" t="n">
        <v>986</v>
      </c>
      <c r="B1066" s="51" t="n">
        <f aca="false">1+IF($G$6=$E$6,$F$6,IF(P1066&lt;($F$6-$E$6)/($G$6-$E$6),$E$6+SQRT(P1066*($G$6-$E$6)*($F$6-$E$6)),$G$6-SQRT((1-P1066)*($G$6-$E$6)*($G$6-$F$6))))</f>
        <v>1.01108838326174</v>
      </c>
      <c r="C1066" s="51" t="n">
        <f aca="false">1+IF($G$7=$E$7,$F$7,IF(Q1066&lt;($F$7-$E$7)/($G$7-$E$7),$E$7+SQRT(Q1066*($G$7-$E$7)*($F$7-$E$7)),$G$7-SQRT((1-Q1066)*($G$7-$E$7)*($G$7-$F$7))))</f>
        <v>1.02996416848613</v>
      </c>
      <c r="D1066" s="51" t="n">
        <f aca="false">1+IF($G$8=$E$8,$F$8,IF(R1066&lt;($F$8-$E$8)/($G$8-$E$8),$E$8+SQRT(R1066*($G$8-$E$8)*($F$8-$E$8)),$G$8-SQRT((1-R1066)*($G$8-$E$8)*($G$8-$F$8))))</f>
        <v>1.0236478588779</v>
      </c>
      <c r="E1066" s="51" t="n">
        <f aca="false">1+IF($G$9=$E$9,$F$9,IF(S1066&lt;($F$9-$E$9)/($G$9-$E$9),$E$9+SQRT(S1066*($G$9-$E$9)*($F$9-$E$9)),$G$9-SQRT((1-S1066)*($G$9-$E$9)*($G$9-$F$9))))</f>
        <v>0.999268448004404</v>
      </c>
      <c r="F1066" s="51" t="n">
        <f aca="false">1+IF($G$10=$E$10,$F$10,IF(T1066&lt;($F$10-$E$10)/($G$10-$E$10),$E$10+SQRT(T1066*($G$10-$E$10)*($F$10-$E$10)),$G$10-SQRT((1-T1066)*($G$10-$E$10)*($G$10-$F$10))))</f>
        <v>1.10096273210301</v>
      </c>
      <c r="G1066" s="52" t="n">
        <f aca="false">IF($G$11=$E$11,$F$11,IF(U1066&lt;($F$11-$E$11)/($G$11-$E$11),$E$11+SQRT(U1066*($G$11-$E$11)*($F$11-$E$11)),$G$11-SQRT((1-U1066)*($G$11-$E$11)*($G$11-$F$11))))</f>
        <v>0.104349943861971</v>
      </c>
      <c r="H1066" s="53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-2201925464.20602</v>
      </c>
      <c r="I1066" s="53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7063691.27229299</v>
      </c>
      <c r="J1066" s="53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320305017.400637</v>
      </c>
      <c r="K1066" s="53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688594480.134132</v>
      </c>
      <c r="L1066" s="53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828998514.403262</v>
      </c>
      <c r="M1066" s="53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1026944938.31485</v>
      </c>
      <c r="N1066" s="53" t="n">
        <f aca="false">IF(COUNT('Business Case'!B11:G11)=0,"",H1066+NPV(G1066,I1066:M1066))</f>
        <v>-239092904.740667</v>
      </c>
      <c r="P1066" s="54" t="n">
        <f aca="true">RAND()</f>
        <v>0.825858003662538</v>
      </c>
      <c r="Q1066" s="54" t="n">
        <f aca="true">RAND()</f>
        <v>0.725550460052839</v>
      </c>
      <c r="R1066" s="54" t="n">
        <f aca="true">RAND()</f>
        <v>0.69465732605333</v>
      </c>
      <c r="S1066" s="54" t="n">
        <f aca="true">RAND()</f>
        <v>0.323650662501688</v>
      </c>
      <c r="T1066" s="54" t="n">
        <f aca="true">RAND()</f>
        <v>0.803832391350005</v>
      </c>
      <c r="U1066" s="54" t="n">
        <f aca="true">RAND()</f>
        <v>0.591792904794244</v>
      </c>
    </row>
    <row r="1067" customFormat="false" ht="15" hidden="false" customHeight="false" outlineLevel="0" collapsed="false">
      <c r="A1067" s="50" t="n">
        <v>987</v>
      </c>
      <c r="B1067" s="51" t="n">
        <f aca="false">1+IF($G$6=$E$6,$F$6,IF(P1067&lt;($F$6-$E$6)/($G$6-$E$6),$E$6+SQRT(P1067*($G$6-$E$6)*($F$6-$E$6)),$G$6-SQRT((1-P1067)*($G$6-$E$6)*($G$6-$F$6))))</f>
        <v>0.97701516756532</v>
      </c>
      <c r="C1067" s="51" t="n">
        <f aca="false">1+IF($G$7=$E$7,$F$7,IF(Q1067&lt;($F$7-$E$7)/($G$7-$E$7),$E$7+SQRT(Q1067*($G$7-$E$7)*($F$7-$E$7)),$G$7-SQRT((1-Q1067)*($G$7-$E$7)*($G$7-$F$7))))</f>
        <v>0.926498548673024</v>
      </c>
      <c r="D1067" s="51" t="n">
        <f aca="false">1+IF($G$8=$E$8,$F$8,IF(R1067&lt;($F$8-$E$8)/($G$8-$E$8),$E$8+SQRT(R1067*($G$8-$E$8)*($F$8-$E$8)),$G$8-SQRT((1-R1067)*($G$8-$E$8)*($G$8-$F$8))))</f>
        <v>0.990790826714405</v>
      </c>
      <c r="E1067" s="51" t="n">
        <f aca="false">1+IF($G$9=$E$9,$F$9,IF(S1067&lt;($F$9-$E$9)/($G$9-$E$9),$E$9+SQRT(S1067*($G$9-$E$9)*($F$9-$E$9)),$G$9-SQRT((1-S1067)*($G$9-$E$9)*($G$9-$F$9))))</f>
        <v>1.09831453936209</v>
      </c>
      <c r="F1067" s="51" t="n">
        <f aca="false">1+IF($G$10=$E$10,$F$10,IF(T1067&lt;($F$10-$E$10)/($G$10-$E$10),$E$10+SQRT(T1067*($G$10-$E$10)*($F$10-$E$10)),$G$10-SQRT((1-T1067)*($G$10-$E$10)*($G$10-$F$10))))</f>
        <v>1.05664735890772</v>
      </c>
      <c r="G1067" s="52" t="n">
        <f aca="false">IF($G$11=$E$11,$F$11,IF(U1067&lt;($F$11-$E$11)/($G$11-$E$11),$E$11+SQRT(U1067*($G$11-$E$11)*($F$11-$E$11)),$G$11-SQRT((1-U1067)*($G$11-$E$11)*($G$11-$F$11))))</f>
        <v>0.10509013482264</v>
      </c>
      <c r="H1067" s="53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-2113294717.81544</v>
      </c>
      <c r="I1067" s="53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-37269541.2334738</v>
      </c>
      <c r="J1067" s="53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234231711.428151</v>
      </c>
      <c r="K1067" s="53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558565332.035162</v>
      </c>
      <c r="L1067" s="53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680349569.927061</v>
      </c>
      <c r="M1067" s="53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852410581.786196</v>
      </c>
      <c r="N1067" s="53" t="n">
        <f aca="false">IF(COUNT('Business Case'!B11:G11)=0,"",H1067+NPV(G1067,I1067:M1067))</f>
        <v>-567945713.336005</v>
      </c>
      <c r="P1067" s="54" t="n">
        <f aca="true">RAND()</f>
        <v>0.338617638802244</v>
      </c>
      <c r="Q1067" s="54" t="n">
        <f aca="true">RAND()</f>
        <v>0.228598325948307</v>
      </c>
      <c r="R1067" s="54" t="n">
        <f aca="true">RAND()</f>
        <v>0.255983314468405</v>
      </c>
      <c r="S1067" s="54" t="n">
        <f aca="true">RAND()</f>
        <v>0.999810614829205</v>
      </c>
      <c r="T1067" s="54" t="n">
        <f aca="true">RAND()</f>
        <v>0.589000405837365</v>
      </c>
      <c r="U1067" s="54" t="n">
        <f aca="true">RAND()</f>
        <v>0.629493200654909</v>
      </c>
    </row>
    <row r="1068" customFormat="false" ht="15" hidden="false" customHeight="false" outlineLevel="0" collapsed="false">
      <c r="A1068" s="50" t="n">
        <v>988</v>
      </c>
      <c r="B1068" s="51" t="n">
        <f aca="false">1+IF($G$6=$E$6,$F$6,IF(P1068&lt;($F$6-$E$6)/($G$6-$E$6),$E$6+SQRT(P1068*($G$6-$E$6)*($F$6-$E$6)),$G$6-SQRT((1-P1068)*($G$6-$E$6)*($G$6-$F$6))))</f>
        <v>1.0016628581782</v>
      </c>
      <c r="C1068" s="51" t="n">
        <f aca="false">1+IF($G$7=$E$7,$F$7,IF(Q1068&lt;($F$7-$E$7)/($G$7-$E$7),$E$7+SQRT(Q1068*($G$7-$E$7)*($F$7-$E$7)),$G$7-SQRT((1-Q1068)*($G$7-$E$7)*($G$7-$F$7))))</f>
        <v>0.971545730867307</v>
      </c>
      <c r="D1068" s="51" t="n">
        <f aca="false">1+IF($G$8=$E$8,$F$8,IF(R1068&lt;($F$8-$E$8)/($G$8-$E$8),$E$8+SQRT(R1068*($G$8-$E$8)*($F$8-$E$8)),$G$8-SQRT((1-R1068)*($G$8-$E$8)*($G$8-$F$8))))</f>
        <v>0.99889492036899</v>
      </c>
      <c r="E1068" s="51" t="n">
        <f aca="false">1+IF($G$9=$E$9,$F$9,IF(S1068&lt;($F$9-$E$9)/($G$9-$E$9),$E$9+SQRT(S1068*($G$9-$E$9)*($F$9-$E$9)),$G$9-SQRT((1-S1068)*($G$9-$E$9)*($G$9-$F$9))))</f>
        <v>1.0896696169179</v>
      </c>
      <c r="F1068" s="51" t="n">
        <f aca="false">1+IF($G$10=$E$10,$F$10,IF(T1068&lt;($F$10-$E$10)/($G$10-$E$10),$E$10+SQRT(T1068*($G$10-$E$10)*($F$10-$E$10)),$G$10-SQRT((1-T1068)*($G$10-$E$10)*($G$10-$F$10))))</f>
        <v>1.00841981475076</v>
      </c>
      <c r="G1068" s="52" t="n">
        <f aca="false">IF($G$11=$E$11,$F$11,IF(U1068&lt;($F$11-$E$11)/($G$11-$E$11),$E$11+SQRT(U1068*($G$11-$E$11)*($F$11-$E$11)),$G$11-SQRT((1-U1068)*($G$11-$E$11)*($G$11-$F$11))))</f>
        <v>0.101006235178556</v>
      </c>
      <c r="H1068" s="53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-2016839629.50151</v>
      </c>
      <c r="I1068" s="53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-5956605.82281525</v>
      </c>
      <c r="J1068" s="53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294328469.780221</v>
      </c>
      <c r="K1068" s="53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645034536.120794</v>
      </c>
      <c r="L1068" s="53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778762014.938507</v>
      </c>
      <c r="M1068" s="53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963740509.830359</v>
      </c>
      <c r="N1068" s="53" t="n">
        <f aca="false">IF(COUNT('Business Case'!B11:G11)=0,"",H1068+NPV(G1068,I1068:M1068))</f>
        <v>-170510387.874944</v>
      </c>
      <c r="P1068" s="54" t="n">
        <f aca="true">RAND()</f>
        <v>0.693804907694847</v>
      </c>
      <c r="Q1068" s="54" t="n">
        <f aca="true">RAND()</f>
        <v>0.420399111125692</v>
      </c>
      <c r="R1068" s="54" t="n">
        <f aca="true">RAND()</f>
        <v>0.367802036598449</v>
      </c>
      <c r="S1068" s="54" t="n">
        <f aca="true">RAND()</f>
        <v>0.992885545691801</v>
      </c>
      <c r="T1068" s="54" t="n">
        <f aca="true">RAND()</f>
        <v>0.265940652397304</v>
      </c>
      <c r="U1068" s="54" t="n">
        <f aca="true">RAND()</f>
        <v>0.398728163179457</v>
      </c>
    </row>
    <row r="1069" customFormat="false" ht="15" hidden="false" customHeight="false" outlineLevel="0" collapsed="false">
      <c r="A1069" s="50" t="n">
        <v>989</v>
      </c>
      <c r="B1069" s="51" t="n">
        <f aca="false">1+IF($G$6=$E$6,$F$6,IF(P1069&lt;($F$6-$E$6)/($G$6-$E$6),$E$6+SQRT(P1069*($G$6-$E$6)*($F$6-$E$6)),$G$6-SQRT((1-P1069)*($G$6-$E$6)*($G$6-$F$6))))</f>
        <v>0.982136554916947</v>
      </c>
      <c r="C1069" s="51" t="n">
        <f aca="false">1+IF($G$7=$E$7,$F$7,IF(Q1069&lt;($F$7-$E$7)/($G$7-$E$7),$E$7+SQRT(Q1069*($G$7-$E$7)*($F$7-$E$7)),$G$7-SQRT((1-Q1069)*($G$7-$E$7)*($G$7-$F$7))))</f>
        <v>1.03154709404174</v>
      </c>
      <c r="D1069" s="51" t="n">
        <f aca="false">1+IF($G$8=$E$8,$F$8,IF(R1069&lt;($F$8-$E$8)/($G$8-$E$8),$E$8+SQRT(R1069*($G$8-$E$8)*($F$8-$E$8)),$G$8-SQRT((1-R1069)*($G$8-$E$8)*($G$8-$F$8))))</f>
        <v>1.02871314048959</v>
      </c>
      <c r="E1069" s="51" t="n">
        <f aca="false">1+IF($G$9=$E$9,$F$9,IF(S1069&lt;($F$9-$E$9)/($G$9-$E$9),$E$9+SQRT(S1069*($G$9-$E$9)*($F$9-$E$9)),$G$9-SQRT((1-S1069)*($G$9-$E$9)*($G$9-$F$9))))</f>
        <v>1.06157147568857</v>
      </c>
      <c r="F1069" s="51" t="n">
        <f aca="false">1+IF($G$10=$E$10,$F$10,IF(T1069&lt;($F$10-$E$10)/($G$10-$E$10),$E$10+SQRT(T1069*($G$10-$E$10)*($F$10-$E$10)),$G$10-SQRT((1-T1069)*($G$10-$E$10)*($G$10-$F$10))))</f>
        <v>1.17554623522821</v>
      </c>
      <c r="G1069" s="52" t="n">
        <f aca="false">IF($G$11=$E$11,$F$11,IF(U1069&lt;($F$11-$E$11)/($G$11-$E$11),$E$11+SQRT(U1069*($G$11-$E$11)*($F$11-$E$11)),$G$11-SQRT((1-U1069)*($G$11-$E$11)*($G$11-$F$11))))</f>
        <v>0.109930981071637</v>
      </c>
      <c r="H1069" s="53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-2351092470.45643</v>
      </c>
      <c r="I1069" s="53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-34444044.4231809</v>
      </c>
      <c r="J1069" s="53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252142144.979096</v>
      </c>
      <c r="K1069" s="53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597505646.142784</v>
      </c>
      <c r="L1069" s="53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728047806.916691</v>
      </c>
      <c r="M1069" s="53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920621677.269007</v>
      </c>
      <c r="N1069" s="53" t="n">
        <f aca="false">IF(COUNT('Business Case'!B11:G11)=0,"",H1069+NPV(G1069,I1069:M1069))</f>
        <v>-714261926.255799</v>
      </c>
      <c r="P1069" s="54" t="n">
        <f aca="true">RAND()</f>
        <v>0.402182443431952</v>
      </c>
      <c r="Q1069" s="54" t="n">
        <f aca="true">RAND()</f>
        <v>0.732741125143693</v>
      </c>
      <c r="R1069" s="54" t="n">
        <f aca="true">RAND()</f>
        <v>0.747082503996109</v>
      </c>
      <c r="S1069" s="54" t="n">
        <f aca="true">RAND()</f>
        <v>0.90154990128304</v>
      </c>
      <c r="T1069" s="54" t="n">
        <f aca="true">RAND()</f>
        <v>0.988040267769723</v>
      </c>
      <c r="U1069" s="54" t="n">
        <f aca="true">RAND()</f>
        <v>0.831024763033773</v>
      </c>
    </row>
    <row r="1070" customFormat="false" ht="15" hidden="false" customHeight="false" outlineLevel="0" collapsed="false">
      <c r="A1070" s="50" t="n">
        <v>990</v>
      </c>
      <c r="B1070" s="51" t="n">
        <f aca="false">1+IF($G$6=$E$6,$F$6,IF(P1070&lt;($F$6-$E$6)/($G$6-$E$6),$E$6+SQRT(P1070*($G$6-$E$6)*($F$6-$E$6)),$G$6-SQRT((1-P1070)*($G$6-$E$6)*($G$6-$F$6))))</f>
        <v>0.98277665368911</v>
      </c>
      <c r="C1070" s="51" t="n">
        <f aca="false">1+IF($G$7=$E$7,$F$7,IF(Q1070&lt;($F$7-$E$7)/($G$7-$E$7),$E$7+SQRT(Q1070*($G$7-$E$7)*($F$7-$E$7)),$G$7-SQRT((1-Q1070)*($G$7-$E$7)*($G$7-$F$7))))</f>
        <v>1.02098931712109</v>
      </c>
      <c r="D1070" s="51" t="n">
        <f aca="false">1+IF($G$8=$E$8,$F$8,IF(R1070&lt;($F$8-$E$8)/($G$8-$E$8),$E$8+SQRT(R1070*($G$8-$E$8)*($F$8-$E$8)),$G$8-SQRT((1-R1070)*($G$8-$E$8)*($G$8-$F$8))))</f>
        <v>0.974371331772098</v>
      </c>
      <c r="E1070" s="51" t="n">
        <f aca="false">1+IF($G$9=$E$9,$F$9,IF(S1070&lt;($F$9-$E$9)/($G$9-$E$9),$E$9+SQRT(S1070*($G$9-$E$9)*($F$9-$E$9)),$G$9-SQRT((1-S1070)*($G$9-$E$9)*($G$9-$F$9))))</f>
        <v>1.0470926350195</v>
      </c>
      <c r="F1070" s="51" t="n">
        <f aca="false">1+IF($G$10=$E$10,$F$10,IF(T1070&lt;($F$10-$E$10)/($G$10-$E$10),$E$10+SQRT(T1070*($G$10-$E$10)*($F$10-$E$10)),$G$10-SQRT((1-T1070)*($G$10-$E$10)*($G$10-$F$10))))</f>
        <v>1.09133364804539</v>
      </c>
      <c r="G1070" s="52" t="n">
        <f aca="false">IF($G$11=$E$11,$F$11,IF(U1070&lt;($F$11-$E$11)/($G$11-$E$11),$E$11+SQRT(U1070*($G$11-$E$11)*($F$11-$E$11)),$G$11-SQRT((1-U1070)*($G$11-$E$11)*($G$11-$F$11))))</f>
        <v>0.117390389581199</v>
      </c>
      <c r="H1070" s="53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-2182667296.09077</v>
      </c>
      <c r="I1070" s="53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2544429.47365002</v>
      </c>
      <c r="J1070" s="53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315135283.892981</v>
      </c>
      <c r="K1070" s="53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682292820.714581</v>
      </c>
      <c r="L1070" s="53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821167430.481937</v>
      </c>
      <c r="M1070" s="53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1011894551.10029</v>
      </c>
      <c r="N1070" s="53" t="n">
        <f aca="false">IF(COUNT('Business Case'!B11:G11)=0,"",H1070+NPV(G1070,I1070:M1070))</f>
        <v>-331266993.538847</v>
      </c>
      <c r="P1070" s="54" t="n">
        <f aca="true">RAND()</f>
        <v>0.410511275875251</v>
      </c>
      <c r="Q1070" s="54" t="n">
        <f aca="true">RAND()</f>
        <v>0.682976070535546</v>
      </c>
      <c r="R1070" s="54" t="n">
        <f aca="true">RAND()</f>
        <v>0.0913787403608692</v>
      </c>
      <c r="S1070" s="54" t="n">
        <f aca="true">RAND()</f>
        <v>0.813387382054658</v>
      </c>
      <c r="T1070" s="54" t="n">
        <f aca="true">RAND()</f>
        <v>0.763832479057519</v>
      </c>
      <c r="U1070" s="54" t="n">
        <f aca="true">RAND()</f>
        <v>0.988649889103474</v>
      </c>
    </row>
    <row r="1071" customFormat="false" ht="15" hidden="false" customHeight="false" outlineLevel="0" collapsed="false">
      <c r="A1071" s="50" t="n">
        <v>991</v>
      </c>
      <c r="B1071" s="51" t="n">
        <f aca="false">1+IF($G$6=$E$6,$F$6,IF(P1071&lt;($F$6-$E$6)/($G$6-$E$6),$E$6+SQRT(P1071*($G$6-$E$6)*($F$6-$E$6)),$G$6-SQRT((1-P1071)*($G$6-$E$6)*($G$6-$F$6))))</f>
        <v>0.93448293039625</v>
      </c>
      <c r="C1071" s="51" t="n">
        <f aca="false">1+IF($G$7=$E$7,$F$7,IF(Q1071&lt;($F$7-$E$7)/($G$7-$E$7),$E$7+SQRT(Q1071*($G$7-$E$7)*($F$7-$E$7)),$G$7-SQRT((1-Q1071)*($G$7-$E$7)*($G$7-$F$7))))</f>
        <v>1.06858984750988</v>
      </c>
      <c r="D1071" s="51" t="n">
        <f aca="false">1+IF($G$8=$E$8,$F$8,IF(R1071&lt;($F$8-$E$8)/($G$8-$E$8),$E$8+SQRT(R1071*($G$8-$E$8)*($F$8-$E$8)),$G$8-SQRT((1-R1071)*($G$8-$E$8)*($G$8-$F$8))))</f>
        <v>1.02783125803144</v>
      </c>
      <c r="E1071" s="51" t="n">
        <f aca="false">1+IF($G$9=$E$9,$F$9,IF(S1071&lt;($F$9-$E$9)/($G$9-$E$9),$E$9+SQRT(S1071*($G$9-$E$9)*($F$9-$E$9)),$G$9-SQRT((1-S1071)*($G$9-$E$9)*($G$9-$F$9))))</f>
        <v>0.952732835256532</v>
      </c>
      <c r="F1071" s="51" t="n">
        <f aca="false">1+IF($G$10=$E$10,$F$10,IF(T1071&lt;($F$10-$E$10)/($G$10-$E$10),$E$10+SQRT(T1071*($G$10-$E$10)*($F$10-$E$10)),$G$10-SQRT((1-T1071)*($G$10-$E$10)*($G$10-$F$10))))</f>
        <v>1.02091922485103</v>
      </c>
      <c r="G1071" s="52" t="n">
        <f aca="false">IF($G$11=$E$11,$F$11,IF(U1071&lt;($F$11-$E$11)/($G$11-$E$11),$E$11+SQRT(U1071*($G$11-$E$11)*($F$11-$E$11)),$G$11-SQRT((1-U1071)*($G$11-$E$11)*($G$11-$F$11))))</f>
        <v>0.109390110028295</v>
      </c>
      <c r="H1071" s="53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-2041838449.70205</v>
      </c>
      <c r="I1071" s="53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-33685907.5484435</v>
      </c>
      <c r="J1071" s="53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221965050.474981</v>
      </c>
      <c r="K1071" s="53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528661969.740957</v>
      </c>
      <c r="L1071" s="53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648389845.024289</v>
      </c>
      <c r="M1071" s="53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838199736.039671</v>
      </c>
      <c r="N1071" s="53" t="n">
        <f aca="false">IF(COUNT('Business Case'!B11:G11)=0,"",H1071+NPV(G1071,I1071:M1071))</f>
        <v>-577807851.557893</v>
      </c>
      <c r="P1071" s="54" t="n">
        <f aca="true">RAND()</f>
        <v>0.0218495075898565</v>
      </c>
      <c r="Q1071" s="54" t="n">
        <f aca="true">RAND()</f>
        <v>0.873759753743522</v>
      </c>
      <c r="R1071" s="54" t="n">
        <f aca="true">RAND()</f>
        <v>0.738309842444039</v>
      </c>
      <c r="S1071" s="54" t="n">
        <f aca="true">RAND()</f>
        <v>0.000995785138578891</v>
      </c>
      <c r="T1071" s="54" t="n">
        <f aca="true">RAND()</f>
        <v>0.358601519440857</v>
      </c>
      <c r="U1071" s="54" t="n">
        <f aca="true">RAND()</f>
        <v>0.812383724647181</v>
      </c>
    </row>
    <row r="1072" customFormat="false" ht="15" hidden="false" customHeight="false" outlineLevel="0" collapsed="false">
      <c r="A1072" s="50" t="n">
        <v>992</v>
      </c>
      <c r="B1072" s="51" t="n">
        <f aca="false">1+IF($G$6=$E$6,$F$6,IF(P1072&lt;($F$6-$E$6)/($G$6-$E$6),$E$6+SQRT(P1072*($G$6-$E$6)*($F$6-$E$6)),$G$6-SQRT((1-P1072)*($G$6-$E$6)*($G$6-$F$6))))</f>
        <v>0.985453068195426</v>
      </c>
      <c r="C1072" s="51" t="n">
        <f aca="false">1+IF($G$7=$E$7,$F$7,IF(Q1072&lt;($F$7-$E$7)/($G$7-$E$7),$E$7+SQRT(Q1072*($G$7-$E$7)*($F$7-$E$7)),$G$7-SQRT((1-Q1072)*($G$7-$E$7)*($G$7-$F$7))))</f>
        <v>0.823327336413172</v>
      </c>
      <c r="D1072" s="51" t="n">
        <f aca="false">1+IF($G$8=$E$8,$F$8,IF(R1072&lt;($F$8-$E$8)/($G$8-$E$8),$E$8+SQRT(R1072*($G$8-$E$8)*($F$8-$E$8)),$G$8-SQRT((1-R1072)*($G$8-$E$8)*($G$8-$F$8))))</f>
        <v>1.0161330764065</v>
      </c>
      <c r="E1072" s="51" t="n">
        <f aca="false">1+IF($G$9=$E$9,$F$9,IF(S1072&lt;($F$9-$E$9)/($G$9-$E$9),$E$9+SQRT(S1072*($G$9-$E$9)*($F$9-$E$9)),$G$9-SQRT((1-S1072)*($G$9-$E$9)*($G$9-$F$9))))</f>
        <v>0.976524219700975</v>
      </c>
      <c r="F1072" s="51" t="n">
        <f aca="false">1+IF($G$10=$E$10,$F$10,IF(T1072&lt;($F$10-$E$10)/($G$10-$E$10),$E$10+SQRT(T1072*($G$10-$E$10)*($F$10-$E$10)),$G$10-SQRT((1-T1072)*($G$10-$E$10)*($G$10-$F$10))))</f>
        <v>0.968110526600519</v>
      </c>
      <c r="G1072" s="52" t="n">
        <f aca="false">IF($G$11=$E$11,$F$11,IF(U1072&lt;($F$11-$E$11)/($G$11-$E$11),$E$11+SQRT(U1072*($G$11-$E$11)*($F$11-$E$11)),$G$11-SQRT((1-U1072)*($G$11-$E$11)*($G$11-$F$11))))</f>
        <v>0.105721195817533</v>
      </c>
      <c r="H1072" s="53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-1936221053.20104</v>
      </c>
      <c r="I1072" s="53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-41456230.8817477</v>
      </c>
      <c r="J1072" s="53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194820742.255539</v>
      </c>
      <c r="K1072" s="53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479503241.722852</v>
      </c>
      <c r="L1072" s="53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586302504.313617</v>
      </c>
      <c r="M1072" s="53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740523997.811131</v>
      </c>
      <c r="N1072" s="53" t="n">
        <f aca="false">IF(COUNT('Business Case'!B11:G11)=0,"",H1072+NPV(G1072,I1072:M1072))</f>
        <v>-619409320.384893</v>
      </c>
      <c r="P1072" s="54" t="n">
        <f aca="true">RAND()</f>
        <v>0.446260847520327</v>
      </c>
      <c r="Q1072" s="54" t="n">
        <f aca="true">RAND()</f>
        <v>0.00777378034476123</v>
      </c>
      <c r="R1072" s="54" t="n">
        <f aca="true">RAND()</f>
        <v>0.607790006798319</v>
      </c>
      <c r="S1072" s="54" t="n">
        <f aca="true">RAND()</f>
        <v>0.0938045640994114</v>
      </c>
      <c r="T1072" s="54" t="n">
        <f aca="true">RAND()</f>
        <v>0.0262392938998484</v>
      </c>
      <c r="U1072" s="54" t="n">
        <f aca="true">RAND()</f>
        <v>0.660192918531279</v>
      </c>
    </row>
    <row r="1073" customFormat="false" ht="15" hidden="false" customHeight="false" outlineLevel="0" collapsed="false">
      <c r="A1073" s="50" t="n">
        <v>993</v>
      </c>
      <c r="B1073" s="51" t="n">
        <f aca="false">1+IF($G$6=$E$6,$F$6,IF(P1073&lt;($F$6-$E$6)/($G$6-$E$6),$E$6+SQRT(P1073*($G$6-$E$6)*($F$6-$E$6)),$G$6-SQRT((1-P1073)*($G$6-$E$6)*($G$6-$F$6))))</f>
        <v>0.990545736871023</v>
      </c>
      <c r="C1073" s="51" t="n">
        <f aca="false">1+IF($G$7=$E$7,$F$7,IF(Q1073&lt;($F$7-$E$7)/($G$7-$E$7),$E$7+SQRT(Q1073*($G$7-$E$7)*($F$7-$E$7)),$G$7-SQRT((1-Q1073)*($G$7-$E$7)*($G$7-$F$7))))</f>
        <v>0.982733707040921</v>
      </c>
      <c r="D1073" s="51" t="n">
        <f aca="false">1+IF($G$8=$E$8,$F$8,IF(R1073&lt;($F$8-$E$8)/($G$8-$E$8),$E$8+SQRT(R1073*($G$8-$E$8)*($F$8-$E$8)),$G$8-SQRT((1-R1073)*($G$8-$E$8)*($G$8-$F$8))))</f>
        <v>1.01420129967975</v>
      </c>
      <c r="E1073" s="51" t="n">
        <f aca="false">1+IF($G$9=$E$9,$F$9,IF(S1073&lt;($F$9-$E$9)/($G$9-$E$9),$E$9+SQRT(S1073*($G$9-$E$9)*($F$9-$E$9)),$G$9-SQRT((1-S1073)*($G$9-$E$9)*($G$9-$F$9))))</f>
        <v>1.08842034311549</v>
      </c>
      <c r="F1073" s="51" t="n">
        <f aca="false">1+IF($G$10=$E$10,$F$10,IF(T1073&lt;($F$10-$E$10)/($G$10-$E$10),$E$10+SQRT(T1073*($G$10-$E$10)*($F$10-$E$10)),$G$10-SQRT((1-T1073)*($G$10-$E$10)*($G$10-$F$10))))</f>
        <v>1.16118252906009</v>
      </c>
      <c r="G1073" s="52" t="n">
        <f aca="false">IF($G$11=$E$11,$F$11,IF(U1073&lt;($F$11-$E$11)/($G$11-$E$11),$E$11+SQRT(U1073*($G$11-$E$11)*($F$11-$E$11)),$G$11-SQRT((1-U1073)*($G$11-$E$11)*($G$11-$F$11))))</f>
        <v>0.111581337780224</v>
      </c>
      <c r="H1073" s="53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-2322365058.12017</v>
      </c>
      <c r="I1073" s="53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-34260692.2857132</v>
      </c>
      <c r="J1073" s="53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252833509.863586</v>
      </c>
      <c r="K1073" s="53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597986838.46589</v>
      </c>
      <c r="L1073" s="53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727327085.007644</v>
      </c>
      <c r="M1073" s="53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912359070.380243</v>
      </c>
      <c r="N1073" s="53" t="n">
        <f aca="false">IF(COUNT('Business Case'!B11:G11)=0,"",H1073+NPV(G1073,I1073:M1073))</f>
        <v>-699192601.417888</v>
      </c>
      <c r="P1073" s="54" t="n">
        <f aca="true">RAND()</f>
        <v>0.518406353195379</v>
      </c>
      <c r="Q1073" s="54" t="n">
        <f aca="true">RAND()</f>
        <v>0.477022966984528</v>
      </c>
      <c r="R1073" s="54" t="n">
        <f aca="true">RAND()</f>
        <v>0.583704907323689</v>
      </c>
      <c r="S1073" s="54" t="n">
        <f aca="true">RAND()</f>
        <v>0.991060769762468</v>
      </c>
      <c r="T1073" s="54" t="n">
        <f aca="true">RAND()</f>
        <v>0.96986407899658</v>
      </c>
      <c r="U1073" s="54" t="n">
        <f aca="true">RAND()</f>
        <v>0.881876877382202</v>
      </c>
    </row>
    <row r="1074" customFormat="false" ht="15" hidden="false" customHeight="false" outlineLevel="0" collapsed="false">
      <c r="A1074" s="50" t="n">
        <v>994</v>
      </c>
      <c r="B1074" s="51" t="n">
        <f aca="false">1+IF($G$6=$E$6,$F$6,IF(P1074&lt;($F$6-$E$6)/($G$6-$E$6),$E$6+SQRT(P1074*($G$6-$E$6)*($F$6-$E$6)),$G$6-SQRT((1-P1074)*($G$6-$E$6)*($G$6-$F$6))))</f>
        <v>0.9999240375613</v>
      </c>
      <c r="C1074" s="51" t="n">
        <f aca="false">1+IF($G$7=$E$7,$F$7,IF(Q1074&lt;($F$7-$E$7)/($G$7-$E$7),$E$7+SQRT(Q1074*($G$7-$E$7)*($F$7-$E$7)),$G$7-SQRT((1-Q1074)*($G$7-$E$7)*($G$7-$F$7))))</f>
        <v>0.982192184972795</v>
      </c>
      <c r="D1074" s="51" t="n">
        <f aca="false">1+IF($G$8=$E$8,$F$8,IF(R1074&lt;($F$8-$E$8)/($G$8-$E$8),$E$8+SQRT(R1074*($G$8-$E$8)*($F$8-$E$8)),$G$8-SQRT((1-R1074)*($G$8-$E$8)*($G$8-$F$8))))</f>
        <v>1.00353809670685</v>
      </c>
      <c r="E1074" s="51" t="n">
        <f aca="false">1+IF($G$9=$E$9,$F$9,IF(S1074&lt;($F$9-$E$9)/($G$9-$E$9),$E$9+SQRT(S1074*($G$9-$E$9)*($F$9-$E$9)),$G$9-SQRT((1-S1074)*($G$9-$E$9)*($G$9-$F$9))))</f>
        <v>1.02710312429845</v>
      </c>
      <c r="F1074" s="51" t="n">
        <f aca="false">1+IF($G$10=$E$10,$F$10,IF(T1074&lt;($F$10-$E$10)/($G$10-$E$10),$E$10+SQRT(T1074*($G$10-$E$10)*($F$10-$E$10)),$G$10-SQRT((1-T1074)*($G$10-$E$10)*($G$10-$F$10))))</f>
        <v>1.04174789612609</v>
      </c>
      <c r="G1074" s="52" t="n">
        <f aca="false">IF($G$11=$E$11,$F$11,IF(U1074&lt;($F$11-$E$11)/($G$11-$E$11),$E$11+SQRT(U1074*($G$11-$E$11)*($F$11-$E$11)),$G$11-SQRT((1-U1074)*($G$11-$E$11)*($G$11-$F$11))))</f>
        <v>0.10332471554119</v>
      </c>
      <c r="H1074" s="53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-2083495792.25218</v>
      </c>
      <c r="I1074" s="53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-1299614.26941365</v>
      </c>
      <c r="J1074" s="53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298542600.450455</v>
      </c>
      <c r="K1074" s="53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650472209.976628</v>
      </c>
      <c r="L1074" s="53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784361598.284208</v>
      </c>
      <c r="M1074" s="53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971042506.989467</v>
      </c>
      <c r="N1074" s="53" t="n">
        <f aca="false">IF(COUNT('Business Case'!B11:G11)=0,"",H1074+NPV(G1074,I1074:M1074))</f>
        <v>-231911824.323215</v>
      </c>
      <c r="P1074" s="54" t="n">
        <f aca="true">RAND()</f>
        <v>0.665401227093754</v>
      </c>
      <c r="Q1074" s="54" t="n">
        <f aca="true">RAND()</f>
        <v>0.4741998895023</v>
      </c>
      <c r="R1074" s="54" t="n">
        <f aca="true">RAND()</f>
        <v>0.437843975460536</v>
      </c>
      <c r="S1074" s="54" t="n">
        <f aca="true">RAND()</f>
        <v>0.645736367530171</v>
      </c>
      <c r="T1074" s="54" t="n">
        <f aca="true">RAND()</f>
        <v>0.499125432389614</v>
      </c>
      <c r="U1074" s="54" t="n">
        <f aca="true">RAND()</f>
        <v>0.536558147029598</v>
      </c>
    </row>
    <row r="1075" customFormat="false" ht="15" hidden="false" customHeight="false" outlineLevel="0" collapsed="false">
      <c r="A1075" s="50" t="n">
        <v>995</v>
      </c>
      <c r="B1075" s="51" t="n">
        <f aca="false">1+IF($G$6=$E$6,$F$6,IF(P1075&lt;($F$6-$E$6)/($G$6-$E$6),$E$6+SQRT(P1075*($G$6-$E$6)*($F$6-$E$6)),$G$6-SQRT((1-P1075)*($G$6-$E$6)*($G$6-$F$6))))</f>
        <v>0.994984010516509</v>
      </c>
      <c r="C1075" s="51" t="n">
        <f aca="false">1+IF($G$7=$E$7,$F$7,IF(Q1075&lt;($F$7-$E$7)/($G$7-$E$7),$E$7+SQRT(Q1075*($G$7-$E$7)*($F$7-$E$7)),$G$7-SQRT((1-Q1075)*($G$7-$E$7)*($G$7-$F$7))))</f>
        <v>1.01374799917339</v>
      </c>
      <c r="D1075" s="51" t="n">
        <f aca="false">1+IF($G$8=$E$8,$F$8,IF(R1075&lt;($F$8-$E$8)/($G$8-$E$8),$E$8+SQRT(R1075*($G$8-$E$8)*($F$8-$E$8)),$G$8-SQRT((1-R1075)*($G$8-$E$8)*($G$8-$F$8))))</f>
        <v>0.963478531035035</v>
      </c>
      <c r="E1075" s="51" t="n">
        <f aca="false">1+IF($G$9=$E$9,$F$9,IF(S1075&lt;($F$9-$E$9)/($G$9-$E$9),$E$9+SQRT(S1075*($G$9-$E$9)*($F$9-$E$9)),$G$9-SQRT((1-S1075)*($G$9-$E$9)*($G$9-$F$9))))</f>
        <v>0.995907505102402</v>
      </c>
      <c r="F1075" s="51" t="n">
        <f aca="false">1+IF($G$10=$E$10,$F$10,IF(T1075&lt;($F$10-$E$10)/($G$10-$E$10),$E$10+SQRT(T1075*($G$10-$E$10)*($F$10-$E$10)),$G$10-SQRT((1-T1075)*($G$10-$E$10)*($G$10-$F$10))))</f>
        <v>0.972476515091612</v>
      </c>
      <c r="G1075" s="52" t="n">
        <f aca="false">IF($G$11=$E$11,$F$11,IF(U1075&lt;($F$11-$E$11)/($G$11-$E$11),$E$11+SQRT(U1075*($G$11-$E$11)*($F$11-$E$11)),$G$11-SQRT((1-U1075)*($G$11-$E$11)*($G$11-$F$11))))</f>
        <v>0.113158063977826</v>
      </c>
      <c r="H1075" s="53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-1944953030.18322</v>
      </c>
      <c r="I1075" s="53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35008098.5596237</v>
      </c>
      <c r="J1075" s="53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361170988.359264</v>
      </c>
      <c r="K1075" s="53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735957703.913484</v>
      </c>
      <c r="L1075" s="53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879538062.18356</v>
      </c>
      <c r="M1075" s="53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1071264734.70297</v>
      </c>
      <c r="N1075" s="53" t="n">
        <f aca="false">IF(COUNT('Business Case'!B11:G11)=0,"",H1075+NPV(G1075,I1075:M1075))</f>
        <v>111137175.727919</v>
      </c>
      <c r="P1075" s="54" t="n">
        <f aca="true">RAND()</f>
        <v>0.585687690952079</v>
      </c>
      <c r="Q1075" s="54" t="n">
        <f aca="true">RAND()</f>
        <v>0.646388424204693</v>
      </c>
      <c r="R1075" s="54" t="n">
        <f aca="true">RAND()</f>
        <v>0.02794935367114</v>
      </c>
      <c r="S1075" s="54" t="n">
        <f aca="true">RAND()</f>
        <v>0.28099986996361</v>
      </c>
      <c r="T1075" s="54" t="n">
        <f aca="true">RAND()</f>
        <v>0.0404154984530766</v>
      </c>
      <c r="U1075" s="54" t="n">
        <f aca="true">RAND()</f>
        <v>0.921979852447473</v>
      </c>
    </row>
    <row r="1076" customFormat="false" ht="15" hidden="false" customHeight="false" outlineLevel="0" collapsed="false">
      <c r="A1076" s="50" t="n">
        <v>996</v>
      </c>
      <c r="B1076" s="51" t="n">
        <f aca="false">1+IF($G$6=$E$6,$F$6,IF(P1076&lt;($F$6-$E$6)/($G$6-$E$6),$E$6+SQRT(P1076*($G$6-$E$6)*($F$6-$E$6)),$G$6-SQRT((1-P1076)*($G$6-$E$6)*($G$6-$F$6))))</f>
        <v>0.964291661065809</v>
      </c>
      <c r="C1076" s="51" t="n">
        <f aca="false">1+IF($G$7=$E$7,$F$7,IF(Q1076&lt;($F$7-$E$7)/($G$7-$E$7),$E$7+SQRT(Q1076*($G$7-$E$7)*($F$7-$E$7)),$G$7-SQRT((1-Q1076)*($G$7-$E$7)*($G$7-$F$7))))</f>
        <v>0.929745425652277</v>
      </c>
      <c r="D1076" s="51" t="n">
        <f aca="false">1+IF($G$8=$E$8,$F$8,IF(R1076&lt;($F$8-$E$8)/($G$8-$E$8),$E$8+SQRT(R1076*($G$8-$E$8)*($F$8-$E$8)),$G$8-SQRT((1-R1076)*($G$8-$E$8)*($G$8-$F$8))))</f>
        <v>1.00332899332516</v>
      </c>
      <c r="E1076" s="51" t="n">
        <f aca="false">1+IF($G$9=$E$9,$F$9,IF(S1076&lt;($F$9-$E$9)/($G$9-$E$9),$E$9+SQRT(S1076*($G$9-$E$9)*($F$9-$E$9)),$G$9-SQRT((1-S1076)*($G$9-$E$9)*($G$9-$F$9))))</f>
        <v>1.05222994912148</v>
      </c>
      <c r="F1076" s="51" t="n">
        <f aca="false">1+IF($G$10=$E$10,$F$10,IF(T1076&lt;($F$10-$E$10)/($G$10-$E$10),$E$10+SQRT(T1076*($G$10-$E$10)*($F$10-$E$10)),$G$10-SQRT((1-T1076)*($G$10-$E$10)*($G$10-$F$10))))</f>
        <v>0.990062998661003</v>
      </c>
      <c r="G1076" s="52" t="n">
        <f aca="false">IF($G$11=$E$11,$F$11,IF(U1076&lt;($F$11-$E$11)/($G$11-$E$11),$E$11+SQRT(U1076*($G$11-$E$11)*($F$11-$E$11)),$G$11-SQRT((1-U1076)*($G$11-$E$11)*($G$11-$F$11))))</f>
        <v>0.10467599890664</v>
      </c>
      <c r="H1076" s="53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-1980125997.32201</v>
      </c>
      <c r="I1076" s="53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-38314531.6713726</v>
      </c>
      <c r="J1076" s="53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218481267.53196</v>
      </c>
      <c r="K1076" s="53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524780216.668343</v>
      </c>
      <c r="L1076" s="53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641363437.898475</v>
      </c>
      <c r="M1076" s="53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811778856.124753</v>
      </c>
      <c r="N1076" s="53" t="n">
        <f aca="false">IF(COUNT('Business Case'!B11:G11)=0,"",H1076+NPV(G1076,I1076:M1076))</f>
        <v>-522320338.627928</v>
      </c>
      <c r="P1076" s="54" t="n">
        <f aca="true">RAND()</f>
        <v>0.204349087496715</v>
      </c>
      <c r="Q1076" s="54" t="n">
        <f aca="true">RAND()</f>
        <v>0.240483935395579</v>
      </c>
      <c r="R1076" s="54" t="n">
        <f aca="true">RAND()</f>
        <v>0.434765070717918</v>
      </c>
      <c r="S1076" s="54" t="n">
        <f aca="true">RAND()</f>
        <v>0.84786814927092</v>
      </c>
      <c r="T1076" s="54" t="n">
        <f aca="true">RAND()</f>
        <v>0.128403508936919</v>
      </c>
      <c r="U1076" s="54" t="n">
        <f aca="true">RAND()</f>
        <v>0.608624984151159</v>
      </c>
    </row>
    <row r="1077" customFormat="false" ht="15" hidden="false" customHeight="false" outlineLevel="0" collapsed="false">
      <c r="A1077" s="50" t="n">
        <v>997</v>
      </c>
      <c r="B1077" s="51" t="n">
        <f aca="false">1+IF($G$6=$E$6,$F$6,IF(P1077&lt;($F$6-$E$6)/($G$6-$E$6),$E$6+SQRT(P1077*($G$6-$E$6)*($F$6-$E$6)),$G$6-SQRT((1-P1077)*($G$6-$E$6)*($G$6-$F$6))))</f>
        <v>0.993957554830096</v>
      </c>
      <c r="C1077" s="51" t="n">
        <f aca="false">1+IF($G$7=$E$7,$F$7,IF(Q1077&lt;($F$7-$E$7)/($G$7-$E$7),$E$7+SQRT(Q1077*($G$7-$E$7)*($F$7-$E$7)),$G$7-SQRT((1-Q1077)*($G$7-$E$7)*($G$7-$F$7))))</f>
        <v>1.00924646945964</v>
      </c>
      <c r="D1077" s="51" t="n">
        <f aca="false">1+IF($G$8=$E$8,$F$8,IF(R1077&lt;($F$8-$E$8)/($G$8-$E$8),$E$8+SQRT(R1077*($G$8-$E$8)*($F$8-$E$8)),$G$8-SQRT((1-R1077)*($G$8-$E$8)*($G$8-$F$8))))</f>
        <v>1.0043680588986</v>
      </c>
      <c r="E1077" s="51" t="n">
        <f aca="false">1+IF($G$9=$E$9,$F$9,IF(S1077&lt;($F$9-$E$9)/($G$9-$E$9),$E$9+SQRT(S1077*($G$9-$E$9)*($F$9-$E$9)),$G$9-SQRT((1-S1077)*($G$9-$E$9)*($G$9-$F$9))))</f>
        <v>0.965090050100375</v>
      </c>
      <c r="F1077" s="51" t="n">
        <f aca="false">1+IF($G$10=$E$10,$F$10,IF(T1077&lt;($F$10-$E$10)/($G$10-$E$10),$E$10+SQRT(T1077*($G$10-$E$10)*($F$10-$E$10)),$G$10-SQRT((1-T1077)*($G$10-$E$10)*($G$10-$F$10))))</f>
        <v>1.15040426059204</v>
      </c>
      <c r="G1077" s="52" t="n">
        <f aca="false">IF($G$11=$E$11,$F$11,IF(U1077&lt;($F$11-$E$11)/($G$11-$E$11),$E$11+SQRT(U1077*($G$11-$E$11)*($F$11-$E$11)),$G$11-SQRT((1-U1077)*($G$11-$E$11)*($G$11-$F$11))))</f>
        <v>0.106837493448185</v>
      </c>
      <c r="H1077" s="53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-2300808521.18409</v>
      </c>
      <c r="I1077" s="53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-1539092.81423755</v>
      </c>
      <c r="J1077" s="53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301201245.806782</v>
      </c>
      <c r="K1077" s="53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661461797.457404</v>
      </c>
      <c r="L1077" s="53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797044043.832263</v>
      </c>
      <c r="M1077" s="53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987722444.755455</v>
      </c>
      <c r="N1077" s="53" t="n">
        <f aca="false">IF(COUNT('Business Case'!B11:G11)=0,"",H1077+NPV(G1077,I1077:M1077))</f>
        <v>-442874319.538248</v>
      </c>
      <c r="P1077" s="54" t="n">
        <f aca="true">RAND()</f>
        <v>0.569762491296528</v>
      </c>
      <c r="Q1077" s="54" t="n">
        <f aca="true">RAND()</f>
        <v>0.622637021722334</v>
      </c>
      <c r="R1077" s="54" t="n">
        <f aca="true">RAND()</f>
        <v>0.449981681272498</v>
      </c>
      <c r="S1077" s="54" t="n">
        <f aca="true">RAND()</f>
        <v>0.0303612816042416</v>
      </c>
      <c r="T1077" s="54" t="n">
        <f aca="true">RAND()</f>
        <v>0.950805252651561</v>
      </c>
      <c r="U1077" s="54" t="n">
        <f aca="true">RAND()</f>
        <v>0.711247368789042</v>
      </c>
    </row>
    <row r="1078" customFormat="false" ht="15" hidden="false" customHeight="false" outlineLevel="0" collapsed="false">
      <c r="A1078" s="50" t="n">
        <v>998</v>
      </c>
      <c r="B1078" s="51" t="n">
        <f aca="false">1+IF($G$6=$E$6,$F$6,IF(P1078&lt;($F$6-$E$6)/($G$6-$E$6),$E$6+SQRT(P1078*($G$6-$E$6)*($F$6-$E$6)),$G$6-SQRT((1-P1078)*($G$6-$E$6)*($G$6-$F$6))))</f>
        <v>0.992727918608569</v>
      </c>
      <c r="C1078" s="51" t="n">
        <f aca="false">1+IF($G$7=$E$7,$F$7,IF(Q1078&lt;($F$7-$E$7)/($G$7-$E$7),$E$7+SQRT(Q1078*($G$7-$E$7)*($F$7-$E$7)),$G$7-SQRT((1-Q1078)*($G$7-$E$7)*($G$7-$F$7))))</f>
        <v>1.07805368447409</v>
      </c>
      <c r="D1078" s="51" t="n">
        <f aca="false">1+IF($G$8=$E$8,$F$8,IF(R1078&lt;($F$8-$E$8)/($G$8-$E$8),$E$8+SQRT(R1078*($G$8-$E$8)*($F$8-$E$8)),$G$8-SQRT((1-R1078)*($G$8-$E$8)*($G$8-$F$8))))</f>
        <v>0.995766600028365</v>
      </c>
      <c r="E1078" s="51" t="n">
        <f aca="false">1+IF($G$9=$E$9,$F$9,IF(S1078&lt;($F$9-$E$9)/($G$9-$E$9),$E$9+SQRT(S1078*($G$9-$E$9)*($F$9-$E$9)),$G$9-SQRT((1-S1078)*($G$9-$E$9)*($G$9-$F$9))))</f>
        <v>1.07018248240575</v>
      </c>
      <c r="F1078" s="51" t="n">
        <f aca="false">1+IF($G$10=$E$10,$F$10,IF(T1078&lt;($F$10-$E$10)/($G$10-$E$10),$E$10+SQRT(T1078*($G$10-$E$10)*($F$10-$E$10)),$G$10-SQRT((1-T1078)*($G$10-$E$10)*($G$10-$F$10))))</f>
        <v>1.07022507699627</v>
      </c>
      <c r="G1078" s="52" t="n">
        <f aca="false">IF($G$11=$E$11,$F$11,IF(U1078&lt;($F$11-$E$11)/($G$11-$E$11),$E$11+SQRT(U1078*($G$11-$E$11)*($F$11-$E$11)),$G$11-SQRT((1-U1078)*($G$11-$E$11)*($G$11-$F$11))))</f>
        <v>0.0941064142024822</v>
      </c>
      <c r="H1078" s="53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-2140450153.99255</v>
      </c>
      <c r="I1078" s="53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12359038.4812596</v>
      </c>
      <c r="J1078" s="53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339400426.919275</v>
      </c>
      <c r="K1078" s="53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719953069.207105</v>
      </c>
      <c r="L1078" s="53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865953460.859131</v>
      </c>
      <c r="M1078" s="53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1069379736.14225</v>
      </c>
      <c r="N1078" s="53" t="n">
        <f aca="false">IF(COUNT('Business Case'!B11:G11)=0,"",H1078+NPV(G1078,I1078:M1078))</f>
        <v>-9544921.37389398</v>
      </c>
      <c r="P1078" s="54" t="n">
        <f aca="true">RAND()</f>
        <v>0.550973973451531</v>
      </c>
      <c r="Q1078" s="54" t="n">
        <f aca="true">RAND()</f>
        <v>0.901404336804682</v>
      </c>
      <c r="R1078" s="54" t="n">
        <f aca="true">RAND()</f>
        <v>0.322243335100968</v>
      </c>
      <c r="S1078" s="54" t="n">
        <f aca="true">RAND()</f>
        <v>0.940727709634422</v>
      </c>
      <c r="T1078" s="54" t="n">
        <f aca="true">RAND()</f>
        <v>0.663169387187536</v>
      </c>
      <c r="U1078" s="54" t="n">
        <f aca="true">RAND()</f>
        <v>0.0562087920078257</v>
      </c>
    </row>
    <row r="1079" customFormat="false" ht="15" hidden="false" customHeight="false" outlineLevel="0" collapsed="false">
      <c r="A1079" s="50" t="n">
        <v>999</v>
      </c>
      <c r="B1079" s="51" t="n">
        <f aca="false">1+IF($G$6=$E$6,$F$6,IF(P1079&lt;($F$6-$E$6)/($G$6-$E$6),$E$6+SQRT(P1079*($G$6-$E$6)*($F$6-$E$6)),$G$6-SQRT((1-P1079)*($G$6-$E$6)*($G$6-$F$6))))</f>
        <v>0.951776556289196</v>
      </c>
      <c r="C1079" s="51" t="n">
        <f aca="false">1+IF($G$7=$E$7,$F$7,IF(Q1079&lt;($F$7-$E$7)/($G$7-$E$7),$E$7+SQRT(Q1079*($G$7-$E$7)*($F$7-$E$7)),$G$7-SQRT((1-Q1079)*($G$7-$E$7)*($G$7-$F$7))))</f>
        <v>1.06909088094258</v>
      </c>
      <c r="D1079" s="51" t="n">
        <f aca="false">1+IF($G$8=$E$8,$F$8,IF(R1079&lt;($F$8-$E$8)/($G$8-$E$8),$E$8+SQRT(R1079*($G$8-$E$8)*($F$8-$E$8)),$G$8-SQRT((1-R1079)*($G$8-$E$8)*($G$8-$F$8))))</f>
        <v>1.05302644704726</v>
      </c>
      <c r="E1079" s="51" t="n">
        <f aca="false">1+IF($G$9=$E$9,$F$9,IF(S1079&lt;($F$9-$E$9)/($G$9-$E$9),$E$9+SQRT(S1079*($G$9-$E$9)*($F$9-$E$9)),$G$9-SQRT((1-S1079)*($G$9-$E$9)*($G$9-$F$9))))</f>
        <v>0.992015948736985</v>
      </c>
      <c r="F1079" s="51" t="n">
        <f aca="false">1+IF($G$10=$E$10,$F$10,IF(T1079&lt;($F$10-$E$10)/($G$10-$E$10),$E$10+SQRT(T1079*($G$10-$E$10)*($F$10-$E$10)),$G$10-SQRT((1-T1079)*($G$10-$E$10)*($G$10-$F$10))))</f>
        <v>0.990064154436378</v>
      </c>
      <c r="G1079" s="52" t="n">
        <f aca="false">IF($G$11=$E$11,$F$11,IF(U1079&lt;($F$11-$E$11)/($G$11-$E$11),$E$11+SQRT(U1079*($G$11-$E$11)*($F$11-$E$11)),$G$11-SQRT((1-U1079)*($G$11-$E$11)*($G$11-$F$11))))</f>
        <v>0.107706387408106</v>
      </c>
      <c r="H1079" s="53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-1980128308.87276</v>
      </c>
      <c r="I1079" s="53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-35694976.6392588</v>
      </c>
      <c r="J1079" s="53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221430177.498829</v>
      </c>
      <c r="K1079" s="53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528058539.358735</v>
      </c>
      <c r="L1079" s="53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648932955.686971</v>
      </c>
      <c r="M1079" s="53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842346129.572437</v>
      </c>
      <c r="N1079" s="53" t="n">
        <f aca="false">IF(COUNT('Business Case'!B11:G11)=0,"",H1079+NPV(G1079,I1079:M1079))</f>
        <v>-507262536.451179</v>
      </c>
      <c r="P1079" s="54" t="n">
        <f aca="true">RAND()</f>
        <v>0.105182242666715</v>
      </c>
      <c r="Q1079" s="54" t="n">
        <f aca="true">RAND()</f>
        <v>0.875308846730513</v>
      </c>
      <c r="R1079" s="54" t="n">
        <f aca="true">RAND()</f>
        <v>0.93004110010634</v>
      </c>
      <c r="S1079" s="54" t="n">
        <f aca="true">RAND()</f>
        <v>0.235378659769197</v>
      </c>
      <c r="T1079" s="54" t="n">
        <f aca="true">RAND()</f>
        <v>0.128410917656155</v>
      </c>
      <c r="U1079" s="54" t="n">
        <f aca="true">RAND()</f>
        <v>0.748111815734061</v>
      </c>
    </row>
    <row r="1080" customFormat="false" ht="15" hidden="false" customHeight="false" outlineLevel="0" collapsed="false">
      <c r="A1080" s="50" t="n">
        <v>1000</v>
      </c>
      <c r="B1080" s="51" t="n">
        <f aca="false">1+IF($G$6=$E$6,$F$6,IF(P1080&lt;($F$6-$E$6)/($G$6-$E$6),$E$6+SQRT(P1080*($G$6-$E$6)*($F$6-$E$6)),$G$6-SQRT((1-P1080)*($G$6-$E$6)*($G$6-$F$6))))</f>
        <v>0.996481899282692</v>
      </c>
      <c r="C1080" s="51" t="n">
        <f aca="false">1+IF($G$7=$E$7,$F$7,IF(Q1080&lt;($F$7-$E$7)/($G$7-$E$7),$E$7+SQRT(Q1080*($G$7-$E$7)*($F$7-$E$7)),$G$7-SQRT((1-Q1080)*($G$7-$E$7)*($G$7-$F$7))))</f>
        <v>1.06219835425584</v>
      </c>
      <c r="D1080" s="51" t="n">
        <f aca="false">1+IF($G$8=$E$8,$F$8,IF(R1080&lt;($F$8-$E$8)/($G$8-$E$8),$E$8+SQRT(R1080*($G$8-$E$8)*($F$8-$E$8)),$G$8-SQRT((1-R1080)*($G$8-$E$8)*($G$8-$F$8))))</f>
        <v>0.969339996441135</v>
      </c>
      <c r="E1080" s="51" t="n">
        <f aca="false">1+IF($G$9=$E$9,$F$9,IF(S1080&lt;($F$9-$E$9)/($G$9-$E$9),$E$9+SQRT(S1080*($G$9-$E$9)*($F$9-$E$9)),$G$9-SQRT((1-S1080)*($G$9-$E$9)*($G$9-$F$9))))</f>
        <v>1.00002148878811</v>
      </c>
      <c r="F1080" s="51" t="n">
        <f aca="false">1+IF($G$10=$E$10,$F$10,IF(T1080&lt;($F$10-$E$10)/($G$10-$E$10),$E$10+SQRT(T1080*($G$10-$E$10)*($F$10-$E$10)),$G$10-SQRT((1-T1080)*($G$10-$E$10)*($G$10-$F$10))))</f>
        <v>1.04037088876367</v>
      </c>
      <c r="G1080" s="52" t="n">
        <f aca="false">IF($G$11=$E$11,$F$11,IF(U1080&lt;($F$11-$E$11)/($G$11-$E$11),$E$11+SQRT(U1080*($G$11-$E$11)*($F$11-$E$11)),$G$11-SQRT((1-U1080)*($G$11-$E$11)*($G$11-$F$11))))</f>
        <v>0.0963843652358853</v>
      </c>
      <c r="H1080" s="53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-2080741777.52734</v>
      </c>
      <c r="I1080" s="53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38756457.7909065</v>
      </c>
      <c r="J1080" s="53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378623700.874613</v>
      </c>
      <c r="K1080" s="53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770509488.396504</v>
      </c>
      <c r="L1080" s="53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920378996.564915</v>
      </c>
      <c r="M1080" s="53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1121571345.83772</v>
      </c>
      <c r="N1080" s="53" t="n">
        <f aca="false">IF(COUNT('Business Case'!B11:G11)=0,"",H1080+NPV(G1080,I1080:M1080))</f>
        <v>199159484.749628</v>
      </c>
      <c r="P1080" s="54" t="n">
        <f aca="true">RAND()</f>
        <v>0.609320928946647</v>
      </c>
      <c r="Q1080" s="54" t="n">
        <f aca="true">RAND()</f>
        <v>0.853159447706995</v>
      </c>
      <c r="R1080" s="54" t="n">
        <f aca="true">RAND()</f>
        <v>0.0575439172835543</v>
      </c>
      <c r="S1080" s="54" t="n">
        <f aca="true">RAND()</f>
        <v>0.333619819723627</v>
      </c>
      <c r="T1080" s="54" t="n">
        <f aca="true">RAND()</f>
        <v>0.490370936917988</v>
      </c>
      <c r="U1080" s="54" t="n">
        <f aca="true">RAND()</f>
        <v>0.135867064883936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734</v>
      </c>
    </row>
    <row r="2" customFormat="false" ht="15" hidden="false" customHeight="false" outlineLevel="0" collapsed="false">
      <c r="A2" s="3" t="s">
        <v>735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423</v>
      </c>
      <c r="B5" s="38"/>
    </row>
    <row r="6" customFormat="false" ht="15" hidden="false" customHeight="false" outlineLevel="0" collapsed="false">
      <c r="A6" s="5" t="s">
        <v>447</v>
      </c>
      <c r="B6" s="38"/>
    </row>
    <row r="7" customFormat="false" ht="23.85" hidden="false" customHeight="false" outlineLevel="0" collapsed="false">
      <c r="A7" s="5" t="s">
        <v>736</v>
      </c>
      <c r="B7" s="38"/>
    </row>
    <row r="8" customFormat="false" ht="23.85" hidden="false" customHeight="false" outlineLevel="0" collapsed="false">
      <c r="A8" s="5" t="s">
        <v>737</v>
      </c>
      <c r="B8" s="38"/>
    </row>
    <row r="10" customFormat="false" ht="30" hidden="false" customHeight="true" outlineLevel="0" collapsed="false">
      <c r="A10" s="12" t="s">
        <v>738</v>
      </c>
      <c r="B10" s="12" t="s">
        <v>739</v>
      </c>
      <c r="C10" s="12" t="s">
        <v>620</v>
      </c>
      <c r="D10" s="12" t="s">
        <v>621</v>
      </c>
      <c r="E10" s="12" t="s">
        <v>428</v>
      </c>
      <c r="F10" s="12" t="s">
        <v>740</v>
      </c>
    </row>
    <row r="11" customFormat="false" ht="15" hidden="false" customHeight="false" outlineLevel="0" collapsed="false">
      <c r="A11" s="38"/>
      <c r="B11" s="24"/>
      <c r="C11" s="35" t="str">
        <f aca="false">IF(OR(A11="",B11=""),"",A11*B11)</f>
        <v/>
      </c>
      <c r="D11" s="35" t="str">
        <f aca="false">IF(C11="","",(A11-$B$5)*B11)</f>
        <v/>
      </c>
      <c r="E11" s="41" t="str">
        <f aca="false">IF(D11="","",D11-$B$6)</f>
        <v/>
      </c>
      <c r="F11" s="15" t="str">
        <f aca="false">IF(A11="","",IF(AND(A11&gt;=$B$7,A11&lt;=$B$8),"Yes","No"))</f>
        <v/>
      </c>
    </row>
    <row r="12" customFormat="false" ht="15" hidden="false" customHeight="false" outlineLevel="0" collapsed="false">
      <c r="A12" s="38"/>
      <c r="B12" s="24"/>
      <c r="C12" s="35" t="str">
        <f aca="false">IF(OR(A12="",B12=""),"",A12*B12)</f>
        <v/>
      </c>
      <c r="D12" s="35" t="str">
        <f aca="false">IF(C12="","",(A12-$B$5)*B12)</f>
        <v/>
      </c>
      <c r="E12" s="41" t="str">
        <f aca="false">IF(D12="","",D12-$B$6)</f>
        <v/>
      </c>
      <c r="F12" s="15" t="str">
        <f aca="false">IF(A12="","",IF(AND(A12&gt;=$B$7,A12&lt;=$B$8),"Yes","No"))</f>
        <v/>
      </c>
    </row>
    <row r="13" customFormat="false" ht="15" hidden="false" customHeight="false" outlineLevel="0" collapsed="false">
      <c r="A13" s="38"/>
      <c r="B13" s="24"/>
      <c r="C13" s="35" t="str">
        <f aca="false">IF(OR(A13="",B13=""),"",A13*B13)</f>
        <v/>
      </c>
      <c r="D13" s="35" t="str">
        <f aca="false">IF(C13="","",(A13-$B$5)*B13)</f>
        <v/>
      </c>
      <c r="E13" s="41" t="str">
        <f aca="false">IF(D13="","",D13-$B$6)</f>
        <v/>
      </c>
      <c r="F13" s="15" t="str">
        <f aca="false">IF(A13="","",IF(AND(A13&gt;=$B$7,A13&lt;=$B$8),"Yes","No"))</f>
        <v/>
      </c>
    </row>
    <row r="14" customFormat="false" ht="15" hidden="false" customHeight="false" outlineLevel="0" collapsed="false">
      <c r="A14" s="38"/>
      <c r="B14" s="24"/>
      <c r="C14" s="35" t="str">
        <f aca="false">IF(OR(A14="",B14=""),"",A14*B14)</f>
        <v/>
      </c>
      <c r="D14" s="35" t="str">
        <f aca="false">IF(C14="","",(A14-$B$5)*B14)</f>
        <v/>
      </c>
      <c r="E14" s="41" t="str">
        <f aca="false">IF(D14="","",D14-$B$6)</f>
        <v/>
      </c>
      <c r="F14" s="15" t="str">
        <f aca="false">IF(A14="","",IF(AND(A14&gt;=$B$7,A14&lt;=$B$8),"Yes","No"))</f>
        <v/>
      </c>
    </row>
    <row r="15" customFormat="false" ht="15" hidden="false" customHeight="false" outlineLevel="0" collapsed="false">
      <c r="A15" s="38"/>
      <c r="B15" s="24"/>
      <c r="C15" s="35" t="str">
        <f aca="false">IF(OR(A15="",B15=""),"",A15*B15)</f>
        <v/>
      </c>
      <c r="D15" s="35" t="str">
        <f aca="false">IF(C15="","",(A15-$B$5)*B15)</f>
        <v/>
      </c>
      <c r="E15" s="41" t="str">
        <f aca="false">IF(D15="","",D15-$B$6)</f>
        <v/>
      </c>
      <c r="F15" s="15" t="str">
        <f aca="false">IF(A15="","",IF(AND(A15&gt;=$B$7,A15&lt;=$B$8),"Yes","No"))</f>
        <v/>
      </c>
    </row>
    <row r="16" customFormat="false" ht="15" hidden="false" customHeight="false" outlineLevel="0" collapsed="false">
      <c r="A16" s="38"/>
      <c r="B16" s="24"/>
      <c r="C16" s="35" t="str">
        <f aca="false">IF(OR(A16="",B16=""),"",A16*B16)</f>
        <v/>
      </c>
      <c r="D16" s="35" t="str">
        <f aca="false">IF(C16="","",(A16-$B$5)*B16)</f>
        <v/>
      </c>
      <c r="E16" s="41" t="str">
        <f aca="false">IF(D16="","",D16-$B$6)</f>
        <v/>
      </c>
      <c r="F16" s="15" t="str">
        <f aca="false">IF(A16="","",IF(AND(A16&gt;=$B$7,A16&lt;=$B$8),"Yes","No"))</f>
        <v/>
      </c>
    </row>
    <row r="17" customFormat="false" ht="15" hidden="false" customHeight="false" outlineLevel="0" collapsed="false">
      <c r="A17" s="38"/>
      <c r="B17" s="24"/>
      <c r="C17" s="35" t="str">
        <f aca="false">IF(OR(A17="",B17=""),"",A17*B17)</f>
        <v/>
      </c>
      <c r="D17" s="35" t="str">
        <f aca="false">IF(C17="","",(A17-$B$5)*B17)</f>
        <v/>
      </c>
      <c r="E17" s="41" t="str">
        <f aca="false">IF(D17="","",D17-$B$6)</f>
        <v/>
      </c>
      <c r="F17" s="15" t="str">
        <f aca="false">IF(A17="","",IF(AND(A17&gt;=$B$7,A17&lt;=$B$8),"Yes","No"))</f>
        <v/>
      </c>
    </row>
    <row r="18" customFormat="false" ht="15" hidden="false" customHeight="false" outlineLevel="0" collapsed="false">
      <c r="A18" s="38"/>
      <c r="B18" s="24"/>
      <c r="C18" s="35" t="str">
        <f aca="false">IF(OR(A18="",B18=""),"",A18*B18)</f>
        <v/>
      </c>
      <c r="D18" s="35" t="str">
        <f aca="false">IF(C18="","",(A18-$B$5)*B18)</f>
        <v/>
      </c>
      <c r="E18" s="41" t="str">
        <f aca="false">IF(D18="","",D18-$B$6)</f>
        <v/>
      </c>
      <c r="F18" s="15" t="str">
        <f aca="false">IF(A18="","",IF(AND(A18&gt;=$B$7,A18&lt;=$B$8),"Yes","No"))</f>
        <v/>
      </c>
    </row>
    <row r="20" customFormat="false" ht="15" hidden="false" customHeight="false" outlineLevel="0" collapsed="false">
      <c r="A20" s="20" t="s">
        <v>741</v>
      </c>
      <c r="B20" s="48" t="str">
        <f aca="false">IFERROR(INDEX(A11:A18,MATCH(_xlfn.MAXIFS(E11:E18,F11:F18,"Yes"),E11:E18,0)),"")</f>
        <v/>
      </c>
      <c r="C20" s="5" t="s">
        <v>742</v>
      </c>
      <c r="D20" s="55" t="n">
        <f aca="false">IFERROR(_xlfn.MAXIFS(E11:E18,F11:F18,"Yes"),"")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30"/>
  </cols>
  <sheetData>
    <row r="1" customFormat="false" ht="19.7" hidden="false" customHeight="false" outlineLevel="0" collapsed="false">
      <c r="A1" s="7" t="s">
        <v>743</v>
      </c>
    </row>
    <row r="2" customFormat="false" ht="15" hidden="false" customHeight="false" outlineLevel="0" collapsed="false">
      <c r="A2" s="3" t="s">
        <v>744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745</v>
      </c>
    </row>
    <row r="6" customFormat="false" ht="30" hidden="false" customHeight="true" outlineLevel="0" collapsed="false">
      <c r="A6" s="12" t="s">
        <v>746</v>
      </c>
      <c r="B6" s="12" t="s">
        <v>747</v>
      </c>
      <c r="C6" s="12" t="s">
        <v>748</v>
      </c>
      <c r="D6" s="12" t="s">
        <v>486</v>
      </c>
      <c r="E6" s="12" t="s">
        <v>749</v>
      </c>
      <c r="F6" s="12" t="s">
        <v>750</v>
      </c>
    </row>
    <row r="7" customFormat="false" ht="15" hidden="false" customHeight="false" outlineLevel="0" collapsed="false">
      <c r="A7" s="11"/>
      <c r="B7" s="56"/>
      <c r="C7" s="56"/>
      <c r="D7" s="11"/>
      <c r="E7" s="44" t="str">
        <f aca="false">IF(OR(B7="",C7="",B7=0),"",ABS(B7-C7)/ABS(B7))</f>
        <v/>
      </c>
      <c r="F7" s="16" t="str">
        <f aca="false">IF(E7="","",IF(E7&lt;0.1,"Yes","No"))</f>
        <v/>
      </c>
    </row>
    <row r="8" customFormat="false" ht="15" hidden="false" customHeight="false" outlineLevel="0" collapsed="false">
      <c r="A8" s="11"/>
      <c r="B8" s="56"/>
      <c r="C8" s="56"/>
      <c r="D8" s="11"/>
      <c r="E8" s="44" t="str">
        <f aca="false">IF(OR(B8="",C8="",B8=0),"",ABS(B8-C8)/ABS(B8))</f>
        <v/>
      </c>
      <c r="F8" s="16" t="str">
        <f aca="false">IF(E8="","",IF(E8&lt;0.1,"Yes","No"))</f>
        <v/>
      </c>
    </row>
    <row r="9" customFormat="false" ht="15" hidden="false" customHeight="false" outlineLevel="0" collapsed="false">
      <c r="A9" s="11"/>
      <c r="B9" s="56"/>
      <c r="C9" s="56"/>
      <c r="D9" s="11"/>
      <c r="E9" s="44" t="str">
        <f aca="false">IF(OR(B9="",C9="",B9=0),"",ABS(B9-C9)/ABS(B9))</f>
        <v/>
      </c>
      <c r="F9" s="16" t="str">
        <f aca="false">IF(E9="","",IF(E9&lt;0.1,"Yes","No"))</f>
        <v/>
      </c>
    </row>
    <row r="10" customFormat="false" ht="15" hidden="false" customHeight="false" outlineLevel="0" collapsed="false">
      <c r="A10" s="11"/>
      <c r="B10" s="56"/>
      <c r="C10" s="56"/>
      <c r="D10" s="11"/>
      <c r="E10" s="44" t="str">
        <f aca="false">IF(OR(B10="",C10="",B10=0),"",ABS(B10-C10)/ABS(B10))</f>
        <v/>
      </c>
      <c r="F10" s="16" t="str">
        <f aca="false">IF(E10="","",IF(E10&lt;0.1,"Yes","No"))</f>
        <v/>
      </c>
    </row>
    <row r="11" customFormat="false" ht="15" hidden="false" customHeight="false" outlineLevel="0" collapsed="false">
      <c r="A11" s="11"/>
      <c r="B11" s="56"/>
      <c r="C11" s="56"/>
      <c r="D11" s="11"/>
      <c r="E11" s="44" t="str">
        <f aca="false">IF(OR(B11="",C11="",B11=0),"",ABS(B11-C11)/ABS(B11))</f>
        <v/>
      </c>
      <c r="F11" s="16" t="str">
        <f aca="false">IF(E11="","",IF(E11&lt;0.1,"Yes","No"))</f>
        <v/>
      </c>
    </row>
    <row r="12" customFormat="false" ht="15" hidden="false" customHeight="false" outlineLevel="0" collapsed="false">
      <c r="A12" s="11"/>
      <c r="B12" s="56"/>
      <c r="C12" s="56"/>
      <c r="D12" s="11"/>
      <c r="E12" s="44" t="str">
        <f aca="false">IF(OR(B12="",C12="",B12=0),"",ABS(B12-C12)/ABS(B12))</f>
        <v/>
      </c>
      <c r="F12" s="16" t="str">
        <f aca="false">IF(E12="","",IF(E12&lt;0.1,"Yes","No"))</f>
        <v/>
      </c>
    </row>
    <row r="13" customFormat="false" ht="15" hidden="false" customHeight="false" outlineLevel="0" collapsed="false">
      <c r="A13" s="11"/>
      <c r="B13" s="56"/>
      <c r="C13" s="56"/>
      <c r="D13" s="11"/>
      <c r="E13" s="44" t="str">
        <f aca="false">IF(OR(B13="",C13="",B13=0),"",ABS(B13-C13)/ABS(B13))</f>
        <v/>
      </c>
      <c r="F13" s="16" t="str">
        <f aca="false">IF(E13="","",IF(E13&lt;0.1,"Yes","No"))</f>
        <v/>
      </c>
    </row>
    <row r="14" customFormat="false" ht="15" hidden="false" customHeight="false" outlineLevel="0" collapsed="false">
      <c r="A14" s="11"/>
      <c r="B14" s="56"/>
      <c r="C14" s="56"/>
      <c r="D14" s="11"/>
      <c r="E14" s="44" t="str">
        <f aca="false">IF(OR(B14="",C14="",B14=0),"",ABS(B14-C14)/ABS(B14))</f>
        <v/>
      </c>
      <c r="F14" s="16" t="str">
        <f aca="false">IF(E14="","",IF(E14&lt;0.1,"Yes","No"))</f>
        <v/>
      </c>
    </row>
    <row r="16" customFormat="false" ht="15" hidden="false" customHeight="false" outlineLevel="0" collapsed="false">
      <c r="A16" s="17" t="s">
        <v>751</v>
      </c>
    </row>
    <row r="17" customFormat="false" ht="30" hidden="false" customHeight="true" outlineLevel="0" collapsed="false">
      <c r="A17" s="12" t="s">
        <v>752</v>
      </c>
      <c r="B17" s="12" t="s">
        <v>753</v>
      </c>
      <c r="C17" s="12" t="s">
        <v>754</v>
      </c>
      <c r="D17" s="12" t="s">
        <v>755</v>
      </c>
    </row>
    <row r="18" customFormat="false" ht="30" hidden="false" customHeight="true" outlineLevel="0" collapsed="false">
      <c r="A18" s="11"/>
      <c r="B18" s="11"/>
      <c r="C18" s="11"/>
      <c r="D18" s="11"/>
    </row>
    <row r="19" customFormat="false" ht="30" hidden="false" customHeight="true" outlineLevel="0" collapsed="false">
      <c r="A19" s="11"/>
      <c r="B19" s="11"/>
      <c r="C19" s="11"/>
      <c r="D19" s="11"/>
    </row>
    <row r="20" customFormat="false" ht="30" hidden="false" customHeight="true" outlineLevel="0" collapsed="false">
      <c r="A20" s="11"/>
      <c r="B20" s="11"/>
      <c r="C20" s="11"/>
      <c r="D20" s="11"/>
    </row>
    <row r="21" customFormat="false" ht="30" hidden="false" customHeight="true" outlineLevel="0" collapsed="false">
      <c r="A21" s="11"/>
      <c r="B21" s="11"/>
      <c r="C21" s="11"/>
      <c r="D21" s="11"/>
    </row>
    <row r="22" customFormat="false" ht="30" hidden="false" customHeight="true" outlineLevel="0" collapsed="false">
      <c r="A22" s="11"/>
      <c r="B22" s="11"/>
      <c r="C22" s="11"/>
      <c r="D22" s="11"/>
    </row>
    <row r="24" customFormat="false" ht="15" hidden="false" customHeight="false" outlineLevel="0" collapsed="false">
      <c r="A24" s="17" t="s">
        <v>756</v>
      </c>
    </row>
    <row r="25" customFormat="false" ht="30" hidden="false" customHeight="true" outlineLevel="0" collapsed="false">
      <c r="A25" s="12" t="s">
        <v>157</v>
      </c>
      <c r="B25" s="12" t="s">
        <v>757</v>
      </c>
      <c r="C25" s="12" t="s">
        <v>758</v>
      </c>
      <c r="D25" s="12" t="s">
        <v>759</v>
      </c>
      <c r="E25" s="12" t="s">
        <v>760</v>
      </c>
      <c r="F25" s="12" t="s">
        <v>761</v>
      </c>
      <c r="G25" s="12" t="s">
        <v>762</v>
      </c>
      <c r="H25" s="12" t="s">
        <v>763</v>
      </c>
    </row>
    <row r="26" customFormat="false" ht="15" hidden="false" customHeight="false" outlineLevel="0" collapsed="false">
      <c r="A26" s="11"/>
      <c r="B26" s="19"/>
      <c r="C26" s="19"/>
      <c r="D26" s="26" t="str">
        <f aca="false">IF(OR(B26="",C26=""),"",B26*C26)</f>
        <v/>
      </c>
      <c r="E26" s="16" t="str">
        <f aca="false">IF(D26="","",IF(D26&gt;=15,"High",IF(D26&gt;=8,"Medium","Low")))</f>
        <v/>
      </c>
      <c r="F26" s="11"/>
      <c r="G26" s="11"/>
      <c r="H26" s="11"/>
    </row>
    <row r="27" customFormat="false" ht="15" hidden="false" customHeight="false" outlineLevel="0" collapsed="false">
      <c r="A27" s="11"/>
      <c r="B27" s="19"/>
      <c r="C27" s="19"/>
      <c r="D27" s="26" t="str">
        <f aca="false">IF(OR(B27="",C27=""),"",B27*C27)</f>
        <v/>
      </c>
      <c r="E27" s="16" t="str">
        <f aca="false">IF(D27="","",IF(D27&gt;=15,"High",IF(D27&gt;=8,"Medium","Low")))</f>
        <v/>
      </c>
      <c r="F27" s="11"/>
      <c r="G27" s="11"/>
      <c r="H27" s="11"/>
    </row>
    <row r="28" customFormat="false" ht="15" hidden="false" customHeight="false" outlineLevel="0" collapsed="false">
      <c r="A28" s="11"/>
      <c r="B28" s="19"/>
      <c r="C28" s="19"/>
      <c r="D28" s="26" t="str">
        <f aca="false">IF(OR(B28="",C28=""),"",B28*C28)</f>
        <v/>
      </c>
      <c r="E28" s="16" t="str">
        <f aca="false">IF(D28="","",IF(D28&gt;=15,"High",IF(D28&gt;=8,"Medium","Low")))</f>
        <v/>
      </c>
      <c r="F28" s="11"/>
      <c r="G28" s="11"/>
      <c r="H28" s="11"/>
    </row>
    <row r="29" customFormat="false" ht="15" hidden="false" customHeight="false" outlineLevel="0" collapsed="false">
      <c r="A29" s="11"/>
      <c r="B29" s="19"/>
      <c r="C29" s="19"/>
      <c r="D29" s="26" t="str">
        <f aca="false">IF(OR(B29="",C29=""),"",B29*C29)</f>
        <v/>
      </c>
      <c r="E29" s="16" t="str">
        <f aca="false">IF(D29="","",IF(D29&gt;=15,"High",IF(D29&gt;=8,"Medium","Low")))</f>
        <v/>
      </c>
      <c r="F29" s="11"/>
      <c r="G29" s="11"/>
      <c r="H29" s="11"/>
    </row>
    <row r="30" customFormat="false" ht="15" hidden="false" customHeight="false" outlineLevel="0" collapsed="false">
      <c r="A30" s="11"/>
      <c r="B30" s="19"/>
      <c r="C30" s="19"/>
      <c r="D30" s="26" t="str">
        <f aca="false">IF(OR(B30="",C30=""),"",B30*C30)</f>
        <v/>
      </c>
      <c r="E30" s="16" t="str">
        <f aca="false">IF(D30="","",IF(D30&gt;=15,"High",IF(D30&gt;=8,"Medium","Low")))</f>
        <v/>
      </c>
      <c r="F30" s="11"/>
      <c r="G30" s="11"/>
      <c r="H30" s="11"/>
    </row>
    <row r="31" customFormat="false" ht="15" hidden="false" customHeight="false" outlineLevel="0" collapsed="false">
      <c r="A31" s="11"/>
      <c r="B31" s="19"/>
      <c r="C31" s="19"/>
      <c r="D31" s="26" t="str">
        <f aca="false">IF(OR(B31="",C31=""),"",B31*C31)</f>
        <v/>
      </c>
      <c r="E31" s="16" t="str">
        <f aca="false">IF(D31="","",IF(D31&gt;=15,"High",IF(D31&gt;=8,"Medium","Low")))</f>
        <v/>
      </c>
      <c r="F31" s="11"/>
      <c r="G31" s="11"/>
      <c r="H31" s="11"/>
    </row>
    <row r="32" customFormat="false" ht="15" hidden="false" customHeight="false" outlineLevel="0" collapsed="false">
      <c r="A32" s="11"/>
      <c r="B32" s="19"/>
      <c r="C32" s="19"/>
      <c r="D32" s="26" t="str">
        <f aca="false">IF(OR(B32="",C32=""),"",B32*C32)</f>
        <v/>
      </c>
      <c r="E32" s="16" t="str">
        <f aca="false">IF(D32="","",IF(D32&gt;=15,"High",IF(D32&gt;=8,"Medium","Low")))</f>
        <v/>
      </c>
      <c r="F32" s="11"/>
      <c r="G32" s="11"/>
      <c r="H32" s="11"/>
    </row>
    <row r="33" customFormat="false" ht="15" hidden="false" customHeight="false" outlineLevel="0" collapsed="false">
      <c r="A33" s="11"/>
      <c r="B33" s="19"/>
      <c r="C33" s="19"/>
      <c r="D33" s="26" t="str">
        <f aca="false">IF(OR(B33="",C33=""),"",B33*C33)</f>
        <v/>
      </c>
      <c r="E33" s="16" t="str">
        <f aca="false">IF(D33="","",IF(D33&gt;=15,"High",IF(D33&gt;=8,"Medium","Low")))</f>
        <v/>
      </c>
      <c r="F33" s="11"/>
      <c r="G33" s="11"/>
      <c r="H33" s="11"/>
    </row>
    <row r="34" customFormat="false" ht="15" hidden="false" customHeight="false" outlineLevel="0" collapsed="false">
      <c r="A34" s="11"/>
      <c r="B34" s="19"/>
      <c r="C34" s="19"/>
      <c r="D34" s="26" t="str">
        <f aca="false">IF(OR(B34="",C34=""),"",B34*C34)</f>
        <v/>
      </c>
      <c r="E34" s="16" t="str">
        <f aca="false">IF(D34="","",IF(D34&gt;=15,"High",IF(D34&gt;=8,"Medium","Low")))</f>
        <v/>
      </c>
      <c r="F34" s="11"/>
      <c r="G34" s="11"/>
      <c r="H34" s="11"/>
    </row>
    <row r="35" customFormat="false" ht="15" hidden="false" customHeight="false" outlineLevel="0" collapsed="false">
      <c r="A35" s="11"/>
      <c r="B35" s="19"/>
      <c r="C35" s="19"/>
      <c r="D35" s="26" t="str">
        <f aca="false">IF(OR(B35="",C35=""),"",B35*C35)</f>
        <v/>
      </c>
      <c r="E35" s="16" t="str">
        <f aca="false">IF(D35="","",IF(D35&gt;=15,"High",IF(D35&gt;=8,"Medium","Low")))</f>
        <v/>
      </c>
      <c r="F35" s="11"/>
      <c r="G35" s="11"/>
      <c r="H35" s="11"/>
    </row>
    <row r="37" customFormat="false" ht="15" hidden="false" customHeight="false" outlineLevel="0" collapsed="false">
      <c r="A37" s="20" t="s">
        <v>764</v>
      </c>
      <c r="B37" s="57" t="n">
        <f aca="false">COUNTIFS(E26:E35,"High",F26:F35,"")</f>
        <v>0</v>
      </c>
    </row>
  </sheetData>
  <conditionalFormatting sqref="F7:F14">
    <cfRule type="expression" priority="2" aboveAverage="0" equalAverage="0" bottom="0" percent="0" rank="0" text="" dxfId="0">
      <formula>F7="No"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F7="Yes"</formula>
    </cfRule>
  </conditionalFormatting>
  <conditionalFormatting sqref="E26:E35">
    <cfRule type="expression" priority="5" aboveAverage="0" equalAverage="0" bottom="0" percent="0" rank="0" text="" dxfId="0">
      <formula>E26="Low"</formula>
    </cfRule>
    <cfRule type="expression" priority="6" aboveAverage="0" equalAverage="0" bottom="0" percent="0" rank="0" text="" dxfId="1">
      <formula>E26="Medium"</formula>
    </cfRule>
    <cfRule type="expression" priority="7" aboveAverage="0" equalAverage="0" bottom="0" percent="0" rank="0" text="" dxfId="2">
      <formula>E26="High"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B26:C3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7" t="s">
        <v>765</v>
      </c>
    </row>
    <row r="2" customFormat="false" ht="15" hidden="false" customHeight="false" outlineLevel="0" collapsed="false">
      <c r="A2" s="3" t="s">
        <v>766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767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768</v>
      </c>
      <c r="B6" s="11"/>
      <c r="C6" s="11"/>
      <c r="D6" s="11"/>
      <c r="E6" s="11"/>
      <c r="F6" s="11"/>
      <c r="G6" s="11"/>
      <c r="H6" s="11"/>
      <c r="I6" s="11"/>
    </row>
    <row r="7" customFormat="false" ht="15" hidden="false" customHeight="false" outlineLevel="0" collapsed="false">
      <c r="A7" s="5" t="s">
        <v>769</v>
      </c>
      <c r="B7" s="11"/>
      <c r="C7" s="11"/>
      <c r="D7" s="11"/>
      <c r="E7" s="11"/>
      <c r="F7" s="11"/>
      <c r="G7" s="11"/>
      <c r="H7" s="11"/>
      <c r="I7" s="11"/>
    </row>
    <row r="9" customFormat="false" ht="30" hidden="false" customHeight="true" outlineLevel="0" collapsed="false">
      <c r="A9" s="12" t="s">
        <v>770</v>
      </c>
      <c r="B9" s="12" t="s">
        <v>771</v>
      </c>
      <c r="C9" s="12" t="s">
        <v>772</v>
      </c>
      <c r="D9" s="12" t="s">
        <v>773</v>
      </c>
      <c r="E9" s="12" t="s">
        <v>774</v>
      </c>
      <c r="F9" s="12" t="s">
        <v>775</v>
      </c>
      <c r="G9" s="12" t="s">
        <v>776</v>
      </c>
      <c r="H9" s="12" t="s">
        <v>777</v>
      </c>
      <c r="I9" s="12" t="s">
        <v>778</v>
      </c>
    </row>
    <row r="10" customFormat="false" ht="15" hidden="false" customHeight="false" outlineLevel="0" collapsed="false">
      <c r="A10" s="11"/>
      <c r="B10" s="38"/>
      <c r="C10" s="24"/>
      <c r="D10" s="22"/>
      <c r="E10" s="22"/>
      <c r="F10" s="42" t="str">
        <f aca="false">IF(OR(C10="",D10=""),"",C10*D10)</f>
        <v/>
      </c>
      <c r="G10" s="42" t="str">
        <f aca="false">IF(OR(F10="",E10=""),"",F10*E10)</f>
        <v/>
      </c>
      <c r="H10" s="35" t="str">
        <f aca="false">IFERROR(IF(G10&gt;0,B10/G10,""),"")</f>
        <v/>
      </c>
      <c r="I10" s="15" t="str">
        <f aca="false">IFERROR(IF(H10="","",IF('Unit Economics'!$E$13="","set LTV on Unit Economics",IF(H10&lt;='Unit Economics'!$E$13/3,"Fits (LTV/CAC ≥ 3)",IF(H10&lt;='Unit Economics'!$E$13,"Thin","Burns value")))),"")</f>
        <v/>
      </c>
    </row>
    <row r="11" customFormat="false" ht="15" hidden="false" customHeight="false" outlineLevel="0" collapsed="false">
      <c r="A11" s="11"/>
      <c r="B11" s="38"/>
      <c r="C11" s="24"/>
      <c r="D11" s="22"/>
      <c r="E11" s="22"/>
      <c r="F11" s="42" t="str">
        <f aca="false">IF(OR(C11="",D11=""),"",C11*D11)</f>
        <v/>
      </c>
      <c r="G11" s="42" t="str">
        <f aca="false">IF(OR(F11="",E11=""),"",F11*E11)</f>
        <v/>
      </c>
      <c r="H11" s="35" t="str">
        <f aca="false">IFERROR(IF(G11&gt;0,B11/G11,""),"")</f>
        <v/>
      </c>
      <c r="I11" s="15" t="str">
        <f aca="false">IFERROR(IF(H11="","",IF('Unit Economics'!$E$13="","set LTV on Unit Economics",IF(H11&lt;='Unit Economics'!$E$13/3,"Fits (LTV/CAC ≥ 3)",IF(H11&lt;='Unit Economics'!$E$13,"Thin","Burns value")))),"")</f>
        <v/>
      </c>
    </row>
    <row r="12" customFormat="false" ht="15" hidden="false" customHeight="false" outlineLevel="0" collapsed="false">
      <c r="A12" s="11"/>
      <c r="B12" s="38"/>
      <c r="C12" s="24"/>
      <c r="D12" s="22"/>
      <c r="E12" s="22"/>
      <c r="F12" s="42" t="str">
        <f aca="false">IF(OR(C12="",D12=""),"",C12*D12)</f>
        <v/>
      </c>
      <c r="G12" s="42" t="str">
        <f aca="false">IF(OR(F12="",E12=""),"",F12*E12)</f>
        <v/>
      </c>
      <c r="H12" s="35" t="str">
        <f aca="false">IFERROR(IF(G12&gt;0,B12/G12,""),"")</f>
        <v/>
      </c>
      <c r="I12" s="15" t="str">
        <f aca="false">IFERROR(IF(H12="","",IF('Unit Economics'!$E$13="","set LTV on Unit Economics",IF(H12&lt;='Unit Economics'!$E$13/3,"Fits (LTV/CAC ≥ 3)",IF(H12&lt;='Unit Economics'!$E$13,"Thin","Burns value")))),"")</f>
        <v/>
      </c>
    </row>
    <row r="13" customFormat="false" ht="15" hidden="false" customHeight="false" outlineLevel="0" collapsed="false">
      <c r="A13" s="11"/>
      <c r="B13" s="38"/>
      <c r="C13" s="24"/>
      <c r="D13" s="22"/>
      <c r="E13" s="22"/>
      <c r="F13" s="42" t="str">
        <f aca="false">IF(OR(C13="",D13=""),"",C13*D13)</f>
        <v/>
      </c>
      <c r="G13" s="42" t="str">
        <f aca="false">IF(OR(F13="",E13=""),"",F13*E13)</f>
        <v/>
      </c>
      <c r="H13" s="35" t="str">
        <f aca="false">IFERROR(IF(G13&gt;0,B13/G13,""),"")</f>
        <v/>
      </c>
      <c r="I13" s="15" t="str">
        <f aca="false">IFERROR(IF(H13="","",IF('Unit Economics'!$E$13="","set LTV on Unit Economics",IF(H13&lt;='Unit Economics'!$E$13/3,"Fits (LTV/CAC ≥ 3)",IF(H13&lt;='Unit Economics'!$E$13,"Thin","Burns value")))),"")</f>
        <v/>
      </c>
    </row>
    <row r="14" customFormat="false" ht="15" hidden="false" customHeight="false" outlineLevel="0" collapsed="false">
      <c r="A14" s="11"/>
      <c r="B14" s="38"/>
      <c r="C14" s="24"/>
      <c r="D14" s="22"/>
      <c r="E14" s="22"/>
      <c r="F14" s="42" t="str">
        <f aca="false">IF(OR(C14="",D14=""),"",C14*D14)</f>
        <v/>
      </c>
      <c r="G14" s="42" t="str">
        <f aca="false">IF(OR(F14="",E14=""),"",F14*E14)</f>
        <v/>
      </c>
      <c r="H14" s="35" t="str">
        <f aca="false">IFERROR(IF(G14&gt;0,B14/G14,""),"")</f>
        <v/>
      </c>
      <c r="I14" s="15" t="str">
        <f aca="false">IFERROR(IF(H14="","",IF('Unit Economics'!$E$13="","set LTV on Unit Economics",IF(H14&lt;='Unit Economics'!$E$13/3,"Fits (LTV/CAC ≥ 3)",IF(H14&lt;='Unit Economics'!$E$13,"Thin","Burns value")))),"")</f>
        <v/>
      </c>
    </row>
    <row r="15" customFormat="false" ht="15" hidden="false" customHeight="false" outlineLevel="0" collapsed="false">
      <c r="A15" s="11"/>
      <c r="B15" s="38"/>
      <c r="C15" s="24"/>
      <c r="D15" s="22"/>
      <c r="E15" s="22"/>
      <c r="F15" s="42" t="str">
        <f aca="false">IF(OR(C15="",D15=""),"",C15*D15)</f>
        <v/>
      </c>
      <c r="G15" s="42" t="str">
        <f aca="false">IF(OR(F15="",E15=""),"",F15*E15)</f>
        <v/>
      </c>
      <c r="H15" s="35" t="str">
        <f aca="false">IFERROR(IF(G15&gt;0,B15/G15,""),"")</f>
        <v/>
      </c>
      <c r="I15" s="15" t="str">
        <f aca="false">IFERROR(IF(H15="","",IF('Unit Economics'!$E$13="","set LTV on Unit Economics",IF(H15&lt;='Unit Economics'!$E$13/3,"Fits (LTV/CAC ≥ 3)",IF(H15&lt;='Unit Economics'!$E$13,"Thin","Burns value")))),"")</f>
        <v/>
      </c>
    </row>
    <row r="16" customFormat="false" ht="15" hidden="false" customHeight="false" outlineLevel="0" collapsed="false">
      <c r="A16" s="11"/>
      <c r="B16" s="38"/>
      <c r="C16" s="24"/>
      <c r="D16" s="22"/>
      <c r="E16" s="22"/>
      <c r="F16" s="42" t="str">
        <f aca="false">IF(OR(C16="",D16=""),"",C16*D16)</f>
        <v/>
      </c>
      <c r="G16" s="42" t="str">
        <f aca="false">IF(OR(F16="",E16=""),"",F16*E16)</f>
        <v/>
      </c>
      <c r="H16" s="35" t="str">
        <f aca="false">IFERROR(IF(G16&gt;0,B16/G16,""),"")</f>
        <v/>
      </c>
      <c r="I16" s="15" t="str">
        <f aca="false">IFERROR(IF(H16="","",IF('Unit Economics'!$E$13="","set LTV on Unit Economics",IF(H16&lt;='Unit Economics'!$E$13/3,"Fits (LTV/CAC ≥ 3)",IF(H16&lt;='Unit Economics'!$E$13,"Thin","Burns value")))),"")</f>
        <v/>
      </c>
    </row>
    <row r="17" customFormat="false" ht="15" hidden="false" customHeight="false" outlineLevel="0" collapsed="false">
      <c r="A17" s="11"/>
      <c r="B17" s="38"/>
      <c r="C17" s="24"/>
      <c r="D17" s="22"/>
      <c r="E17" s="22"/>
      <c r="F17" s="42" t="str">
        <f aca="false">IF(OR(C17="",D17=""),"",C17*D17)</f>
        <v/>
      </c>
      <c r="G17" s="42" t="str">
        <f aca="false">IF(OR(F17="",E17=""),"",F17*E17)</f>
        <v/>
      </c>
      <c r="H17" s="35" t="str">
        <f aca="false">IFERROR(IF(G17&gt;0,B17/G17,""),"")</f>
        <v/>
      </c>
      <c r="I17" s="15" t="str">
        <f aca="false">IFERROR(IF(H17="","",IF('Unit Economics'!$E$13="","set LTV on Unit Economics",IF(H17&lt;='Unit Economics'!$E$13/3,"Fits (LTV/CAC ≥ 3)",IF(H17&lt;='Unit Economics'!$E$13,"Thin","Burns value")))),"")</f>
        <v/>
      </c>
    </row>
    <row r="18" customFormat="false" ht="15" hidden="false" customHeight="false" outlineLevel="0" collapsed="false">
      <c r="A18" s="20" t="s">
        <v>779</v>
      </c>
      <c r="B18" s="48" t="n">
        <f aca="false">SUM(B10:B17)</f>
        <v>0</v>
      </c>
      <c r="G18" s="23" t="n">
        <f aca="false">SUM(G10:G17)</f>
        <v>0</v>
      </c>
      <c r="H18" s="48" t="str">
        <f aca="false">IFERROR(B18/G18,"")</f>
        <v/>
      </c>
    </row>
    <row r="20" customFormat="false" ht="15" hidden="false" customHeight="false" outlineLevel="0" collapsed="false">
      <c r="A20" s="17" t="s">
        <v>780</v>
      </c>
    </row>
    <row r="21" customFormat="false" ht="30" hidden="false" customHeight="true" outlineLevel="0" collapsed="false">
      <c r="A21" s="12" t="s">
        <v>781</v>
      </c>
      <c r="B21" s="12" t="s">
        <v>782</v>
      </c>
      <c r="C21" s="12" t="s">
        <v>783</v>
      </c>
      <c r="D21" s="12" t="s">
        <v>784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</sheetData>
  <mergeCells count="3">
    <mergeCell ref="B5:I5"/>
    <mergeCell ref="B6:I6"/>
    <mergeCell ref="B7:I7"/>
  </mergeCells>
  <conditionalFormatting sqref="I10:I17">
    <cfRule type="expression" priority="2" aboveAverage="0" equalAverage="0" bottom="0" percent="0" rank="0" text="" dxfId="0">
      <formula>LEFT(I10,4)="Fits"</formula>
    </cfRule>
    <cfRule type="expression" priority="3" aboveAverage="0" equalAverage="0" bottom="0" percent="0" rank="0" text="" dxfId="1">
      <formula>I10="Thin"</formula>
    </cfRule>
    <cfRule type="expression" priority="4" aboveAverage="0" equalAverage="0" bottom="0" percent="0" rank="0" text="" dxfId="2">
      <formula>I10="Burns value"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7" t="s">
        <v>785</v>
      </c>
    </row>
    <row r="2" customFormat="false" ht="15" hidden="false" customHeight="false" outlineLevel="0" collapsed="false">
      <c r="A2" s="3" t="s">
        <v>786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787</v>
      </c>
      <c r="C5" s="12" t="s">
        <v>788</v>
      </c>
      <c r="D5" s="12" t="s">
        <v>772</v>
      </c>
      <c r="E5" s="12" t="s">
        <v>789</v>
      </c>
      <c r="F5" s="12" t="s">
        <v>790</v>
      </c>
      <c r="G5" s="12" t="s">
        <v>791</v>
      </c>
      <c r="H5" s="12" t="s">
        <v>792</v>
      </c>
      <c r="I5" s="12" t="s">
        <v>389</v>
      </c>
      <c r="J5" s="12" t="s">
        <v>793</v>
      </c>
      <c r="K5" s="12" t="s">
        <v>474</v>
      </c>
    </row>
    <row r="6" customFormat="false" ht="15" hidden="false" customHeight="false" outlineLevel="0" collapsed="false">
      <c r="A6" s="11"/>
      <c r="B6" s="11"/>
      <c r="C6" s="11"/>
      <c r="D6" s="24"/>
      <c r="E6" s="40"/>
      <c r="F6" s="31"/>
      <c r="G6" s="28"/>
      <c r="H6" s="23" t="str">
        <f aca="false">IF(OR(D6="",E6="",F6="",G6="",G6=0),"",D6*E6*F6/G6)</f>
        <v/>
      </c>
      <c r="I6" s="26" t="str">
        <f aca="false">IF(H6="","",RANK(H6,$H$6:$H$17))</f>
        <v/>
      </c>
      <c r="J6" s="11"/>
      <c r="K6" s="11"/>
    </row>
    <row r="7" customFormat="false" ht="15" hidden="false" customHeight="false" outlineLevel="0" collapsed="false">
      <c r="A7" s="11"/>
      <c r="B7" s="11"/>
      <c r="C7" s="11"/>
      <c r="D7" s="24"/>
      <c r="E7" s="40"/>
      <c r="F7" s="31"/>
      <c r="G7" s="28"/>
      <c r="H7" s="23" t="str">
        <f aca="false">IF(OR(D7="",E7="",F7="",G7="",G7=0),"",D7*E7*F7/G7)</f>
        <v/>
      </c>
      <c r="I7" s="26" t="str">
        <f aca="false">IF(H7="","",RANK(H7,$H$6:$H$17))</f>
        <v/>
      </c>
      <c r="J7" s="11"/>
      <c r="K7" s="11"/>
    </row>
    <row r="8" customFormat="false" ht="15" hidden="false" customHeight="false" outlineLevel="0" collapsed="false">
      <c r="A8" s="11"/>
      <c r="B8" s="11"/>
      <c r="C8" s="11"/>
      <c r="D8" s="24"/>
      <c r="E8" s="40"/>
      <c r="F8" s="31"/>
      <c r="G8" s="28"/>
      <c r="H8" s="23" t="str">
        <f aca="false">IF(OR(D8="",E8="",F8="",G8="",G8=0),"",D8*E8*F8/G8)</f>
        <v/>
      </c>
      <c r="I8" s="26" t="str">
        <f aca="false">IF(H8="","",RANK(H8,$H$6:$H$17))</f>
        <v/>
      </c>
      <c r="J8" s="11"/>
      <c r="K8" s="11"/>
    </row>
    <row r="9" customFormat="false" ht="15" hidden="false" customHeight="false" outlineLevel="0" collapsed="false">
      <c r="A9" s="11"/>
      <c r="B9" s="11"/>
      <c r="C9" s="11"/>
      <c r="D9" s="24"/>
      <c r="E9" s="40"/>
      <c r="F9" s="31"/>
      <c r="G9" s="28"/>
      <c r="H9" s="23" t="str">
        <f aca="false">IF(OR(D9="",E9="",F9="",G9="",G9=0),"",D9*E9*F9/G9)</f>
        <v/>
      </c>
      <c r="I9" s="26" t="str">
        <f aca="false">IF(H9="","",RANK(H9,$H$6:$H$17))</f>
        <v/>
      </c>
      <c r="J9" s="11"/>
      <c r="K9" s="11"/>
    </row>
    <row r="10" customFormat="false" ht="15" hidden="false" customHeight="false" outlineLevel="0" collapsed="false">
      <c r="A10" s="11"/>
      <c r="B10" s="11"/>
      <c r="C10" s="11"/>
      <c r="D10" s="24"/>
      <c r="E10" s="40"/>
      <c r="F10" s="31"/>
      <c r="G10" s="28"/>
      <c r="H10" s="23" t="str">
        <f aca="false">IF(OR(D10="",E10="",F10="",G10="",G10=0),"",D10*E10*F10/G10)</f>
        <v/>
      </c>
      <c r="I10" s="26" t="str">
        <f aca="false">IF(H10="","",RANK(H10,$H$6:$H$17))</f>
        <v/>
      </c>
      <c r="J10" s="11"/>
      <c r="K10" s="11"/>
    </row>
    <row r="11" customFormat="false" ht="15" hidden="false" customHeight="false" outlineLevel="0" collapsed="false">
      <c r="A11" s="11"/>
      <c r="B11" s="11"/>
      <c r="C11" s="11"/>
      <c r="D11" s="24"/>
      <c r="E11" s="40"/>
      <c r="F11" s="31"/>
      <c r="G11" s="28"/>
      <c r="H11" s="23" t="str">
        <f aca="false">IF(OR(D11="",E11="",F11="",G11="",G11=0),"",D11*E11*F11/G11)</f>
        <v/>
      </c>
      <c r="I11" s="26" t="str">
        <f aca="false">IF(H11="","",RANK(H11,$H$6:$H$17))</f>
        <v/>
      </c>
      <c r="J11" s="11"/>
      <c r="K11" s="11"/>
    </row>
    <row r="12" customFormat="false" ht="15" hidden="false" customHeight="false" outlineLevel="0" collapsed="false">
      <c r="A12" s="11"/>
      <c r="B12" s="11"/>
      <c r="C12" s="11"/>
      <c r="D12" s="24"/>
      <c r="E12" s="40"/>
      <c r="F12" s="31"/>
      <c r="G12" s="28"/>
      <c r="H12" s="23" t="str">
        <f aca="false">IF(OR(D12="",E12="",F12="",G12="",G12=0),"",D12*E12*F12/G12)</f>
        <v/>
      </c>
      <c r="I12" s="26" t="str">
        <f aca="false">IF(H12="","",RANK(H12,$H$6:$H$17))</f>
        <v/>
      </c>
      <c r="J12" s="11"/>
      <c r="K12" s="11"/>
    </row>
    <row r="13" customFormat="false" ht="15" hidden="false" customHeight="false" outlineLevel="0" collapsed="false">
      <c r="A13" s="11"/>
      <c r="B13" s="11"/>
      <c r="C13" s="11"/>
      <c r="D13" s="24"/>
      <c r="E13" s="40"/>
      <c r="F13" s="31"/>
      <c r="G13" s="28"/>
      <c r="H13" s="23" t="str">
        <f aca="false">IF(OR(D13="",E13="",F13="",G13="",G13=0),"",D13*E13*F13/G13)</f>
        <v/>
      </c>
      <c r="I13" s="26" t="str">
        <f aca="false">IF(H13="","",RANK(H13,$H$6:$H$17))</f>
        <v/>
      </c>
      <c r="J13" s="11"/>
      <c r="K13" s="11"/>
    </row>
    <row r="14" customFormat="false" ht="15" hidden="false" customHeight="false" outlineLevel="0" collapsed="false">
      <c r="A14" s="11"/>
      <c r="B14" s="11"/>
      <c r="C14" s="11"/>
      <c r="D14" s="24"/>
      <c r="E14" s="40"/>
      <c r="F14" s="31"/>
      <c r="G14" s="28"/>
      <c r="H14" s="23" t="str">
        <f aca="false">IF(OR(D14="",E14="",F14="",G14="",G14=0),"",D14*E14*F14/G14)</f>
        <v/>
      </c>
      <c r="I14" s="26" t="str">
        <f aca="false">IF(H14="","",RANK(H14,$H$6:$H$17))</f>
        <v/>
      </c>
      <c r="J14" s="11"/>
      <c r="K14" s="11"/>
    </row>
    <row r="15" customFormat="false" ht="15" hidden="false" customHeight="false" outlineLevel="0" collapsed="false">
      <c r="A15" s="11"/>
      <c r="B15" s="11"/>
      <c r="C15" s="11"/>
      <c r="D15" s="24"/>
      <c r="E15" s="40"/>
      <c r="F15" s="31"/>
      <c r="G15" s="28"/>
      <c r="H15" s="23" t="str">
        <f aca="false">IF(OR(D15="",E15="",F15="",G15="",G15=0),"",D15*E15*F15/G15)</f>
        <v/>
      </c>
      <c r="I15" s="26" t="str">
        <f aca="false">IF(H15="","",RANK(H15,$H$6:$H$17))</f>
        <v/>
      </c>
      <c r="J15" s="11"/>
      <c r="K15" s="11"/>
    </row>
    <row r="16" customFormat="false" ht="15" hidden="false" customHeight="false" outlineLevel="0" collapsed="false">
      <c r="A16" s="11"/>
      <c r="B16" s="11"/>
      <c r="C16" s="11"/>
      <c r="D16" s="24"/>
      <c r="E16" s="40"/>
      <c r="F16" s="31"/>
      <c r="G16" s="28"/>
      <c r="H16" s="23" t="str">
        <f aca="false">IF(OR(D16="",E16="",F16="",G16="",G16=0),"",D16*E16*F16/G16)</f>
        <v/>
      </c>
      <c r="I16" s="26" t="str">
        <f aca="false">IF(H16="","",RANK(H16,$H$6:$H$17))</f>
        <v/>
      </c>
      <c r="J16" s="11"/>
      <c r="K16" s="11"/>
    </row>
    <row r="17" customFormat="false" ht="15" hidden="false" customHeight="false" outlineLevel="0" collapsed="false">
      <c r="A17" s="11"/>
      <c r="B17" s="11"/>
      <c r="C17" s="11"/>
      <c r="D17" s="24"/>
      <c r="E17" s="40"/>
      <c r="F17" s="31"/>
      <c r="G17" s="28"/>
      <c r="H17" s="23" t="str">
        <f aca="false">IF(OR(D17="",E17="",F17="",G17="",G17=0),"",D17*E17*F17/G17)</f>
        <v/>
      </c>
      <c r="I17" s="26" t="str">
        <f aca="false">IF(H17="","",RANK(H17,$H$6:$H$17))</f>
        <v/>
      </c>
      <c r="J17" s="11"/>
      <c r="K17" s="11"/>
    </row>
    <row r="19" customFormat="false" ht="57.45" hidden="false" customHeight="false" outlineLevel="0" collapsed="false">
      <c r="A19" s="20" t="s">
        <v>794</v>
      </c>
      <c r="C19" s="57" t="n">
        <f aca="false">COUNTIFS(B6:B17,"&lt;&gt;",C6:C17,"")</f>
        <v>0</v>
      </c>
    </row>
  </sheetData>
  <dataValidations count="1">
    <dataValidation allowBlank="true" errorStyle="stop" operator="between" showDropDown="false" showErrorMessage="false" showInputMessage="false" sqref="K6:K17" type="list">
      <formula1>"now,next,later,dropped"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7" t="s">
        <v>795</v>
      </c>
    </row>
    <row r="2" customFormat="false" ht="15" hidden="false" customHeight="false" outlineLevel="0" collapsed="false">
      <c r="A2" s="3" t="s">
        <v>796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797</v>
      </c>
    </row>
    <row r="6" customFormat="false" ht="30" hidden="false" customHeight="true" outlineLevel="0" collapsed="false">
      <c r="A6" s="12" t="s">
        <v>798</v>
      </c>
      <c r="B6" s="12" t="s">
        <v>799</v>
      </c>
      <c r="C6" s="12" t="s">
        <v>800</v>
      </c>
      <c r="D6" s="12" t="s">
        <v>801</v>
      </c>
      <c r="E6" s="12" t="s">
        <v>440</v>
      </c>
      <c r="F6" s="12" t="s">
        <v>802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4" customFormat="false" ht="15" hidden="false" customHeight="false" outlineLevel="0" collapsed="false">
      <c r="A14" s="17" t="s">
        <v>803</v>
      </c>
    </row>
    <row r="15" customFormat="false" ht="30" hidden="false" customHeight="true" outlineLevel="0" collapsed="false">
      <c r="A15" s="12" t="s">
        <v>804</v>
      </c>
      <c r="B15" s="12"/>
      <c r="C15" s="12"/>
      <c r="D15" s="12"/>
      <c r="E15" s="12"/>
      <c r="F15" s="12"/>
      <c r="G15" s="12" t="s">
        <v>805</v>
      </c>
      <c r="H15" s="12" t="s">
        <v>806</v>
      </c>
      <c r="I15" s="12" t="s">
        <v>807</v>
      </c>
      <c r="J15" s="12" t="s">
        <v>808</v>
      </c>
      <c r="K15" s="12" t="s">
        <v>809</v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9"/>
      <c r="H16" s="19"/>
      <c r="I16" s="58"/>
      <c r="J16" s="16" t="str">
        <f aca="false">IF(OR(G16="",H16=""),"",IF(G16&gt;=3,IF(H16&gt;=3,"Manage closely","Keep satisfied"),IF(H16&gt;=3,"Keep informed","Monitor")))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9"/>
      <c r="H17" s="19"/>
      <c r="I17" s="58"/>
      <c r="J17" s="16" t="str">
        <f aca="false">IF(OR(G17="",H17=""),"",IF(G17&gt;=3,IF(H17&gt;=3,"Manage closely","Keep satisfied"),IF(H17&gt;=3,"Keep informed","Monitor")))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9"/>
      <c r="H18" s="19"/>
      <c r="I18" s="58"/>
      <c r="J18" s="16" t="str">
        <f aca="false">IF(OR(G18="",H18=""),"",IF(G18&gt;=3,IF(H18&gt;=3,"Manage closely","Keep satisfied"),IF(H18&gt;=3,"Keep informed","Monitor")))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9"/>
      <c r="H19" s="19"/>
      <c r="I19" s="58"/>
      <c r="J19" s="16" t="str">
        <f aca="false">IF(OR(G19="",H19=""),"",IF(G19&gt;=3,IF(H19&gt;=3,"Manage closely","Keep satisfied"),IF(H19&gt;=3,"Keep informed","Monitor")))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9"/>
      <c r="H20" s="19"/>
      <c r="I20" s="58"/>
      <c r="J20" s="16" t="str">
        <f aca="false">IF(OR(G20="",H20=""),"",IF(G20&gt;=3,IF(H20&gt;=3,"Manage closely","Keep satisfied"),IF(H20&gt;=3,"Keep informed","Monitor")))</f>
        <v/>
      </c>
      <c r="K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9"/>
      <c r="H21" s="19"/>
      <c r="I21" s="58"/>
      <c r="J21" s="16" t="str">
        <f aca="false">IF(OR(G21="",H21=""),"",IF(G21&gt;=3,IF(H21&gt;=3,"Manage closely","Keep satisfied"),IF(H21&gt;=3,"Keep informed","Monitor")))</f>
        <v/>
      </c>
      <c r="K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9"/>
      <c r="H22" s="19"/>
      <c r="I22" s="58"/>
      <c r="J22" s="16" t="str">
        <f aca="false">IF(OR(G22="",H22=""),"",IF(G22&gt;=3,IF(H22&gt;=3,"Manage closely","Keep satisfied"),IF(H22&gt;=3,"Keep informed","Monitor")))</f>
        <v/>
      </c>
      <c r="K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9"/>
      <c r="H23" s="19"/>
      <c r="I23" s="58"/>
      <c r="J23" s="16" t="str">
        <f aca="false">IF(OR(G23="",H23=""),"",IF(G23&gt;=3,IF(H23&gt;=3,"Manage closely","Keep satisfied"),IF(H23&gt;=3,"Keep informed","Monitor")))</f>
        <v/>
      </c>
      <c r="K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9"/>
      <c r="H24" s="19"/>
      <c r="I24" s="58"/>
      <c r="J24" s="16" t="str">
        <f aca="false">IF(OR(G24="",H24=""),"",IF(G24&gt;=3,IF(H24&gt;=3,"Manage closely","Keep satisfied"),IF(H24&gt;=3,"Keep informed","Monitor")))</f>
        <v/>
      </c>
      <c r="K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9"/>
      <c r="H25" s="19"/>
      <c r="I25" s="58"/>
      <c r="J25" s="16" t="str">
        <f aca="false">IF(OR(G25="",H25=""),"",IF(G25&gt;=3,IF(H25&gt;=3,"Manage closely","Keep satisfied"),IF(H25&gt;=3,"Keep informed","Monitor")))</f>
        <v/>
      </c>
      <c r="K25" s="11"/>
    </row>
  </sheetData>
  <mergeCells count="11"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</mergeCells>
  <dataValidations count="2">
    <dataValidation allowBlank="true" error="Enter a whole number from 1 to 5." errorStyle="stop" errorTitle="StratOS" operator="between" showDropDown="false" showErrorMessage="false" showInputMessage="false" sqref="G16:H25" type="whole">
      <formula1>1</formula1>
      <formula2>5</formula2>
    </dataValidation>
    <dataValidation allowBlank="true" error="Enter a whole number from -2 to 2." errorStyle="stop" errorTitle="StratOS" operator="between" showDropDown="false" showErrorMessage="false" showInputMessage="false" sqref="I16:I2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S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19" min="5" style="0" width="3.2"/>
    <col collapsed="false" customWidth="true" hidden="false" outlineLevel="0" max="20" min="20" style="0" width="4"/>
  </cols>
  <sheetData>
    <row r="1" customFormat="false" ht="19.7" hidden="false" customHeight="false" outlineLevel="0" collapsed="false">
      <c r="A1" s="7" t="s">
        <v>810</v>
      </c>
    </row>
    <row r="2" customFormat="false" ht="15" hidden="false" customHeight="false" outlineLevel="0" collapsed="false">
      <c r="A2" s="3" t="s">
        <v>811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812</v>
      </c>
      <c r="B5" s="12" t="s">
        <v>761</v>
      </c>
      <c r="C5" s="12" t="s">
        <v>813</v>
      </c>
      <c r="D5" s="12" t="s">
        <v>814</v>
      </c>
      <c r="E5" s="12" t="s">
        <v>815</v>
      </c>
      <c r="F5" s="12" t="s">
        <v>816</v>
      </c>
      <c r="G5" s="12" t="s">
        <v>817</v>
      </c>
      <c r="H5" s="12" t="s">
        <v>818</v>
      </c>
      <c r="I5" s="12" t="s">
        <v>819</v>
      </c>
      <c r="J5" s="12" t="s">
        <v>820</v>
      </c>
      <c r="K5" s="12" t="s">
        <v>821</v>
      </c>
      <c r="L5" s="12" t="s">
        <v>822</v>
      </c>
      <c r="M5" s="12" t="s">
        <v>823</v>
      </c>
      <c r="N5" s="12" t="s">
        <v>824</v>
      </c>
      <c r="O5" s="12" t="s">
        <v>825</v>
      </c>
      <c r="P5" s="12" t="s">
        <v>826</v>
      </c>
      <c r="Q5" s="12" t="s">
        <v>827</v>
      </c>
      <c r="R5" s="12" t="s">
        <v>828</v>
      </c>
      <c r="S5" s="12" t="s">
        <v>829</v>
      </c>
    </row>
    <row r="6" customFormat="false" ht="15" hidden="false" customHeight="false" outlineLevel="0" collapsed="false">
      <c r="A6" s="11"/>
      <c r="B6" s="11"/>
      <c r="C6" s="19"/>
      <c r="D6" s="1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customFormat="false" ht="15" hidden="false" customHeight="false" outlineLevel="0" collapsed="false">
      <c r="A7" s="11"/>
      <c r="B7" s="11"/>
      <c r="C7" s="19"/>
      <c r="D7" s="1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customFormat="false" ht="15" hidden="false" customHeight="false" outlineLevel="0" collapsed="false">
      <c r="A8" s="11"/>
      <c r="B8" s="11"/>
      <c r="C8" s="19"/>
      <c r="D8" s="1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" hidden="false" customHeight="false" outlineLevel="0" collapsed="false">
      <c r="A9" s="11"/>
      <c r="B9" s="11"/>
      <c r="C9" s="19"/>
      <c r="D9" s="1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customFormat="false" ht="15" hidden="false" customHeight="false" outlineLevel="0" collapsed="false">
      <c r="A10" s="11"/>
      <c r="B10" s="11"/>
      <c r="C10" s="19"/>
      <c r="D10" s="1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customFormat="false" ht="15" hidden="false" customHeight="false" outlineLevel="0" collapsed="false">
      <c r="A11" s="11"/>
      <c r="B11" s="11"/>
      <c r="C11" s="19"/>
      <c r="D11" s="1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customFormat="false" ht="15" hidden="false" customHeight="false" outlineLevel="0" collapsed="false">
      <c r="A12" s="11"/>
      <c r="B12" s="11"/>
      <c r="C12" s="19"/>
      <c r="D12" s="1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customFormat="false" ht="15" hidden="false" customHeight="false" outlineLevel="0" collapsed="false">
      <c r="A13" s="11"/>
      <c r="B13" s="11"/>
      <c r="C13" s="19"/>
      <c r="D13" s="1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customFormat="false" ht="15" hidden="false" customHeight="false" outlineLevel="0" collapsed="false">
      <c r="A14" s="11"/>
      <c r="B14" s="11"/>
      <c r="C14" s="19"/>
      <c r="D14" s="1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customFormat="false" ht="15" hidden="false" customHeight="false" outlineLevel="0" collapsed="false">
      <c r="A15" s="11"/>
      <c r="B15" s="11"/>
      <c r="C15" s="19"/>
      <c r="D15" s="1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customFormat="false" ht="15" hidden="false" customHeight="false" outlineLevel="0" collapsed="false">
      <c r="A16" s="11"/>
      <c r="B16" s="11"/>
      <c r="C16" s="19"/>
      <c r="D16" s="1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customFormat="false" ht="15" hidden="false" customHeight="false" outlineLevel="0" collapsed="false">
      <c r="A17" s="11"/>
      <c r="B17" s="11"/>
      <c r="C17" s="19"/>
      <c r="D17" s="1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20" customFormat="false" ht="15" hidden="false" customHeight="false" outlineLevel="0" collapsed="false">
      <c r="A20" s="17" t="s">
        <v>830</v>
      </c>
    </row>
    <row r="21" customFormat="false" ht="30" hidden="false" customHeight="true" outlineLevel="0" collapsed="false">
      <c r="A21" s="12" t="s">
        <v>831</v>
      </c>
      <c r="B21" s="12" t="s">
        <v>832</v>
      </c>
      <c r="C21" s="12" t="s">
        <v>833</v>
      </c>
      <c r="D21" s="12" t="s">
        <v>104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1"/>
      <c r="B26" s="11"/>
      <c r="C26" s="11"/>
      <c r="D26" s="11"/>
    </row>
    <row r="27" customFormat="false" ht="15" hidden="false" customHeight="false" outlineLevel="0" collapsed="false">
      <c r="A27" s="11"/>
      <c r="B27" s="11"/>
      <c r="C27" s="11"/>
      <c r="D27" s="11"/>
    </row>
    <row r="29" customFormat="false" ht="15" hidden="false" customHeight="false" outlineLevel="0" collapsed="false">
      <c r="A29" s="17" t="s">
        <v>834</v>
      </c>
    </row>
    <row r="30" customFormat="false" ht="30" hidden="false" customHeight="true" outlineLevel="0" collapsed="false">
      <c r="A30" s="12" t="s">
        <v>835</v>
      </c>
      <c r="B30" s="12" t="s">
        <v>836</v>
      </c>
      <c r="C30" s="12" t="s">
        <v>837</v>
      </c>
      <c r="D30" s="12" t="s">
        <v>838</v>
      </c>
    </row>
    <row r="31" customFormat="false" ht="15" hidden="false" customHeight="false" outlineLevel="0" collapsed="false">
      <c r="A31" s="11"/>
      <c r="B31" s="11"/>
      <c r="C31" s="11"/>
      <c r="D31" s="11"/>
    </row>
    <row r="32" customFormat="false" ht="15" hidden="false" customHeight="false" outlineLevel="0" collapsed="false">
      <c r="A32" s="11"/>
      <c r="B32" s="11"/>
      <c r="C32" s="11"/>
      <c r="D32" s="11"/>
    </row>
    <row r="33" customFormat="false" ht="15" hidden="false" customHeight="false" outlineLevel="0" collapsed="false">
      <c r="A33" s="11"/>
      <c r="B33" s="11"/>
      <c r="C33" s="11"/>
      <c r="D33" s="11"/>
    </row>
    <row r="34" customFormat="false" ht="15" hidden="false" customHeight="false" outlineLevel="0" collapsed="false">
      <c r="A34" s="11"/>
      <c r="B34" s="11"/>
      <c r="C34" s="11"/>
      <c r="D34" s="11"/>
    </row>
  </sheetData>
  <conditionalFormatting sqref="E6:S6">
    <cfRule type="expression" priority="2" aboveAverage="0" equalAverage="0" bottom="0" percent="0" rank="0" text="" dxfId="3">
      <formula>AND(ISNUMBER($C6),ISNUMBER($D6),E$5*1&gt;=$C6,E$5*1&lt;=$D6)</formula>
    </cfRule>
  </conditionalFormatting>
  <conditionalFormatting sqref="E7:S7">
    <cfRule type="expression" priority="3" aboveAverage="0" equalAverage="0" bottom="0" percent="0" rank="0" text="" dxfId="3">
      <formula>AND(ISNUMBER($C7),ISNUMBER($D7),E$5*1&gt;=$C7,E$5*1&lt;=$D7)</formula>
    </cfRule>
  </conditionalFormatting>
  <conditionalFormatting sqref="E8:S8">
    <cfRule type="expression" priority="4" aboveAverage="0" equalAverage="0" bottom="0" percent="0" rank="0" text="" dxfId="3">
      <formula>AND(ISNUMBER($C8),ISNUMBER($D8),E$5*1&gt;=$C8,E$5*1&lt;=$D8)</formula>
    </cfRule>
  </conditionalFormatting>
  <conditionalFormatting sqref="E9:S9">
    <cfRule type="expression" priority="5" aboveAverage="0" equalAverage="0" bottom="0" percent="0" rank="0" text="" dxfId="3">
      <formula>AND(ISNUMBER($C9),ISNUMBER($D9),E$5*1&gt;=$C9,E$5*1&lt;=$D9)</formula>
    </cfRule>
  </conditionalFormatting>
  <conditionalFormatting sqref="E10:S10">
    <cfRule type="expression" priority="6" aboveAverage="0" equalAverage="0" bottom="0" percent="0" rank="0" text="" dxfId="3">
      <formula>AND(ISNUMBER($C10),ISNUMBER($D10),E$5*1&gt;=$C10,E$5*1&lt;=$D10)</formula>
    </cfRule>
  </conditionalFormatting>
  <conditionalFormatting sqref="E11:S11">
    <cfRule type="expression" priority="7" aboveAverage="0" equalAverage="0" bottom="0" percent="0" rank="0" text="" dxfId="3">
      <formula>AND(ISNUMBER($C11),ISNUMBER($D11),E$5*1&gt;=$C11,E$5*1&lt;=$D11)</formula>
    </cfRule>
  </conditionalFormatting>
  <conditionalFormatting sqref="E12:S12">
    <cfRule type="expression" priority="8" aboveAverage="0" equalAverage="0" bottom="0" percent="0" rank="0" text="" dxfId="3">
      <formula>AND(ISNUMBER($C12),ISNUMBER($D12),E$5*1&gt;=$C12,E$5*1&lt;=$D12)</formula>
    </cfRule>
  </conditionalFormatting>
  <conditionalFormatting sqref="E13:S13">
    <cfRule type="expression" priority="9" aboveAverage="0" equalAverage="0" bottom="0" percent="0" rank="0" text="" dxfId="3">
      <formula>AND(ISNUMBER($C13),ISNUMBER($D13),E$5*1&gt;=$C13,E$5*1&lt;=$D13)</formula>
    </cfRule>
  </conditionalFormatting>
  <conditionalFormatting sqref="E14:S14">
    <cfRule type="expression" priority="10" aboveAverage="0" equalAverage="0" bottom="0" percent="0" rank="0" text="" dxfId="3">
      <formula>AND(ISNUMBER($C14),ISNUMBER($D14),E$5*1&gt;=$C14,E$5*1&lt;=$D14)</formula>
    </cfRule>
  </conditionalFormatting>
  <conditionalFormatting sqref="E15:S15">
    <cfRule type="expression" priority="11" aboveAverage="0" equalAverage="0" bottom="0" percent="0" rank="0" text="" dxfId="3">
      <formula>AND(ISNUMBER($C15),ISNUMBER($D15),E$5*1&gt;=$C15,E$5*1&lt;=$D15)</formula>
    </cfRule>
  </conditionalFormatting>
  <conditionalFormatting sqref="E16:S16">
    <cfRule type="expression" priority="12" aboveAverage="0" equalAverage="0" bottom="0" percent="0" rank="0" text="" dxfId="3">
      <formula>AND(ISNUMBER($C16),ISNUMBER($D16),E$5*1&gt;=$C16,E$5*1&lt;=$D16)</formula>
    </cfRule>
  </conditionalFormatting>
  <conditionalFormatting sqref="E17:S17">
    <cfRule type="expression" priority="13" aboveAverage="0" equalAverage="0" bottom="0" percent="0" rank="0" text="" dxfId="3">
      <formula>AND(ISNUMBER($C17),ISNUMBER($D17),E$5*1&gt;=$C17,E$5*1&lt;=$D17)</formula>
    </cfRule>
  </conditionalFormatting>
  <dataValidations count="1">
    <dataValidation allowBlank="true" error="Enter a whole number from 1 to 15." errorStyle="stop" errorTitle="StratOS" operator="between" showDropDown="false" showErrorMessage="false" showInputMessage="false" sqref="C6:D17" type="whole">
      <formula1>1</formula1>
      <formula2>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7" t="s">
        <v>64</v>
      </c>
    </row>
    <row r="2" customFormat="false" ht="15" hidden="false" customHeight="false" outlineLevel="0" collapsed="false">
      <c r="A2" s="3" t="s">
        <v>839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840</v>
      </c>
      <c r="B5" s="12" t="s">
        <v>841</v>
      </c>
      <c r="C5" s="12" t="s">
        <v>842</v>
      </c>
      <c r="D5" s="12" t="s">
        <v>843</v>
      </c>
      <c r="E5" s="12" t="s">
        <v>844</v>
      </c>
      <c r="F5" s="12" t="s">
        <v>104</v>
      </c>
      <c r="G5" s="12" t="s">
        <v>845</v>
      </c>
      <c r="H5" s="12" t="s">
        <v>846</v>
      </c>
      <c r="I5" s="12" t="s">
        <v>474</v>
      </c>
      <c r="J5" s="12" t="s">
        <v>761</v>
      </c>
      <c r="K5" s="12" t="s">
        <v>787</v>
      </c>
      <c r="L5" s="12" t="s">
        <v>788</v>
      </c>
    </row>
    <row r="6" customFormat="false" ht="15" hidden="false" customHeight="false" outlineLevel="0" collapsed="false">
      <c r="A6" s="11" t="s">
        <v>847</v>
      </c>
      <c r="B6" s="11" t="s">
        <v>848</v>
      </c>
      <c r="C6" s="11" t="s">
        <v>849</v>
      </c>
      <c r="D6" s="11" t="s">
        <v>850</v>
      </c>
      <c r="E6" s="11" t="s">
        <v>851</v>
      </c>
      <c r="F6" s="60" t="n">
        <v>0.08</v>
      </c>
      <c r="G6" s="60" t="n">
        <v>0.06</v>
      </c>
      <c r="H6" s="44" t="n">
        <f aca="false">IF(AND(ISNUMBER(F6),ISNUMBER(G6),F6&lt;&gt;0,G6&lt;&gt;0),IF(E6="Lower",F6/G6,G6/F6),"")</f>
        <v>0.75</v>
      </c>
      <c r="I6" s="15" t="str">
        <f aca="false">IF(H6="",IF(C6="","","No actual yet"),IF(H6&gt;=1,"On target",IF(H6&gt;=0.9,"Caution","Below plan")))</f>
        <v>Below plan</v>
      </c>
      <c r="J6" s="11" t="s">
        <v>852</v>
      </c>
      <c r="K6" s="11"/>
      <c r="L6" s="11"/>
    </row>
    <row r="7" customFormat="false" ht="15" hidden="false" customHeight="false" outlineLevel="0" collapsed="false">
      <c r="A7" s="11" t="s">
        <v>853</v>
      </c>
      <c r="B7" s="11" t="s">
        <v>854</v>
      </c>
      <c r="C7" s="11" t="s">
        <v>855</v>
      </c>
      <c r="D7" s="11" t="s">
        <v>850</v>
      </c>
      <c r="E7" s="11" t="s">
        <v>851</v>
      </c>
      <c r="F7" s="60" t="n">
        <v>90</v>
      </c>
      <c r="G7" s="60" t="n">
        <v>74</v>
      </c>
      <c r="H7" s="44" t="n">
        <f aca="false">IF(AND(ISNUMBER(F7),ISNUMBER(G7),F7&lt;&gt;0,G7&lt;&gt;0),IF(E7="Lower",F7/G7,G7/F7),"")</f>
        <v>0.822222222222222</v>
      </c>
      <c r="I7" s="15" t="str">
        <f aca="false">IF(H7="",IF(C7="","","No actual yet"),IF(H7&gt;=1,"On target",IF(H7&gt;=0.9,"Caution","Below plan")))</f>
        <v>Below plan</v>
      </c>
      <c r="J7" s="11" t="s">
        <v>856</v>
      </c>
      <c r="K7" s="11"/>
      <c r="L7" s="11"/>
    </row>
    <row r="8" customFormat="false" ht="15" hidden="false" customHeight="false" outlineLevel="0" collapsed="false">
      <c r="A8" s="11" t="s">
        <v>857</v>
      </c>
      <c r="B8" s="11" t="s">
        <v>858</v>
      </c>
      <c r="C8" s="11" t="s">
        <v>859</v>
      </c>
      <c r="D8" s="11" t="s">
        <v>860</v>
      </c>
      <c r="E8" s="11" t="s">
        <v>851</v>
      </c>
      <c r="F8" s="60" t="n">
        <v>0.5</v>
      </c>
      <c r="G8" s="60" t="n">
        <v>0.55</v>
      </c>
      <c r="H8" s="44" t="n">
        <f aca="false">IF(AND(ISNUMBER(F8),ISNUMBER(G8),F8&lt;&gt;0,G8&lt;&gt;0),IF(E8="Lower",F8/G8,G8/F8),"")</f>
        <v>1.1</v>
      </c>
      <c r="I8" s="15" t="str">
        <f aca="false">IF(H8="",IF(C8="","","No actual yet"),IF(H8&gt;=1,"On target",IF(H8&gt;=0.9,"Caution","Below plan")))</f>
        <v>On target</v>
      </c>
      <c r="J8" s="11" t="s">
        <v>861</v>
      </c>
      <c r="K8" s="11"/>
      <c r="L8" s="11"/>
    </row>
    <row r="9" customFormat="false" ht="15" hidden="false" customHeight="false" outlineLevel="0" collapsed="false">
      <c r="A9" s="11" t="s">
        <v>862</v>
      </c>
      <c r="B9" s="11" t="s">
        <v>863</v>
      </c>
      <c r="C9" s="11" t="s">
        <v>864</v>
      </c>
      <c r="D9" s="11" t="s">
        <v>860</v>
      </c>
      <c r="E9" s="11" t="s">
        <v>851</v>
      </c>
      <c r="F9" s="60" t="n">
        <v>1200</v>
      </c>
      <c r="G9" s="60" t="n">
        <v>900</v>
      </c>
      <c r="H9" s="44" t="n">
        <f aca="false">IF(AND(ISNUMBER(F9),ISNUMBER(G9),F9&lt;&gt;0,G9&lt;&gt;0),IF(E9="Lower",F9/G9,G9/F9),"")</f>
        <v>0.75</v>
      </c>
      <c r="I9" s="15" t="str">
        <f aca="false">IF(H9="",IF(C9="","","No actual yet"),IF(H9&gt;=1,"On target",IF(H9&gt;=0.9,"Caution","Below plan")))</f>
        <v>Below plan</v>
      </c>
      <c r="J9" s="11" t="s">
        <v>865</v>
      </c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60"/>
      <c r="G10" s="60"/>
      <c r="H10" s="44" t="str">
        <f aca="false">IF(AND(ISNUMBER(F10),ISNUMBER(G10),F10&lt;&gt;0,G10&lt;&gt;0),IF(E10="Lower",F10/G10,G10/F10),"")</f>
        <v/>
      </c>
      <c r="I10" s="15" t="str">
        <f aca="false">IF(H10="",IF(C10="","","No actual yet"),IF(H10&gt;=1,"On target",IF(H10&gt;=0.9,"Caution","Below plan")))</f>
        <v/>
      </c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60"/>
      <c r="G11" s="60"/>
      <c r="H11" s="44" t="str">
        <f aca="false">IF(AND(ISNUMBER(F11),ISNUMBER(G11),F11&lt;&gt;0,G11&lt;&gt;0),IF(E11="Lower",F11/G11,G11/F11),"")</f>
        <v/>
      </c>
      <c r="I11" s="15" t="str">
        <f aca="false">IF(H11="",IF(C11="","","No actual yet"),IF(H11&gt;=1,"On target",IF(H11&gt;=0.9,"Caution","Below plan")))</f>
        <v/>
      </c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60"/>
      <c r="G12" s="60"/>
      <c r="H12" s="44" t="str">
        <f aca="false">IF(AND(ISNUMBER(F12),ISNUMBER(G12),F12&lt;&gt;0,G12&lt;&gt;0),IF(E12="Lower",F12/G12,G12/F12),"")</f>
        <v/>
      </c>
      <c r="I12" s="15" t="str">
        <f aca="false">IF(H12="",IF(C12="","","No actual yet"),IF(H12&gt;=1,"On target",IF(H12&gt;=0.9,"Caution","Below plan")))</f>
        <v/>
      </c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60"/>
      <c r="G13" s="60"/>
      <c r="H13" s="44" t="str">
        <f aca="false">IF(AND(ISNUMBER(F13),ISNUMBER(G13),F13&lt;&gt;0,G13&lt;&gt;0),IF(E13="Lower",F13/G13,G13/F13),"")</f>
        <v/>
      </c>
      <c r="I13" s="15" t="str">
        <f aca="false">IF(H13="",IF(C13="","","No actual yet"),IF(H13&gt;=1,"On target",IF(H13&gt;=0.9,"Caution","Below plan")))</f>
        <v/>
      </c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60"/>
      <c r="G14" s="60"/>
      <c r="H14" s="44" t="str">
        <f aca="false">IF(AND(ISNUMBER(F14),ISNUMBER(G14),F14&lt;&gt;0,G14&lt;&gt;0),IF(E14="Lower",F14/G14,G14/F14),"")</f>
        <v/>
      </c>
      <c r="I14" s="15" t="str">
        <f aca="false">IF(H14="",IF(C14="","","No actual yet"),IF(H14&gt;=1,"On target",IF(H14&gt;=0.9,"Caution","Below plan")))</f>
        <v/>
      </c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60"/>
      <c r="G15" s="60"/>
      <c r="H15" s="44" t="str">
        <f aca="false">IF(AND(ISNUMBER(F15),ISNUMBER(G15),F15&lt;&gt;0,G15&lt;&gt;0),IF(E15="Lower",F15/G15,G15/F15),"")</f>
        <v/>
      </c>
      <c r="I15" s="15" t="str">
        <f aca="false">IF(H15="",IF(C15="","","No actual yet"),IF(H15&gt;=1,"On target",IF(H15&gt;=0.9,"Caution","Below plan")))</f>
        <v/>
      </c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60"/>
      <c r="G16" s="60"/>
      <c r="H16" s="44" t="str">
        <f aca="false">IF(AND(ISNUMBER(F16),ISNUMBER(G16),F16&lt;&gt;0,G16&lt;&gt;0),IF(E16="Lower",F16/G16,G16/F16),"")</f>
        <v/>
      </c>
      <c r="I16" s="15" t="str">
        <f aca="false">IF(H16="",IF(C16="","","No actual yet"),IF(H16&gt;=1,"On target",IF(H16&gt;=0.9,"Caution","Below plan")))</f>
        <v/>
      </c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60"/>
      <c r="G17" s="60"/>
      <c r="H17" s="44" t="str">
        <f aca="false">IF(AND(ISNUMBER(F17),ISNUMBER(G17),F17&lt;&gt;0,G17&lt;&gt;0),IF(E17="Lower",F17/G17,G17/F17),"")</f>
        <v/>
      </c>
      <c r="I17" s="15" t="str">
        <f aca="false">IF(H17="",IF(C17="","","No actual yet"),IF(H17&gt;=1,"On target",IF(H17&gt;=0.9,"Caution","Below plan")))</f>
        <v/>
      </c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60"/>
      <c r="G18" s="60"/>
      <c r="H18" s="44" t="str">
        <f aca="false">IF(AND(ISNUMBER(F18),ISNUMBER(G18),F18&lt;&gt;0,G18&lt;&gt;0),IF(E18="Lower",F18/G18,G18/F18),"")</f>
        <v/>
      </c>
      <c r="I18" s="15" t="str">
        <f aca="false">IF(H18="",IF(C18="","","No actual yet"),IF(H18&gt;=1,"On target",IF(H18&gt;=0.9,"Caution","Below plan")))</f>
        <v/>
      </c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60"/>
      <c r="G19" s="60"/>
      <c r="H19" s="44" t="str">
        <f aca="false">IF(AND(ISNUMBER(F19),ISNUMBER(G19),F19&lt;&gt;0,G19&lt;&gt;0),IF(E19="Lower",F19/G19,G19/F19),"")</f>
        <v/>
      </c>
      <c r="I19" s="15" t="str">
        <f aca="false">IF(H19="",IF(C19="","","No actual yet"),IF(H19&gt;=1,"On target",IF(H19&gt;=0.9,"Caution","Below plan")))</f>
        <v/>
      </c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60"/>
      <c r="G20" s="60"/>
      <c r="H20" s="44" t="str">
        <f aca="false">IF(AND(ISNUMBER(F20),ISNUMBER(G20),F20&lt;&gt;0,G20&lt;&gt;0),IF(E20="Lower",F20/G20,G20/F20),"")</f>
        <v/>
      </c>
      <c r="I20" s="15" t="str">
        <f aca="false">IF(H20="",IF(C20="","","No actual yet"),IF(H20&gt;=1,"On target",IF(H20&gt;=0.9,"Caution","Below plan")))</f>
        <v/>
      </c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60"/>
      <c r="G21" s="60"/>
      <c r="H21" s="44" t="str">
        <f aca="false">IF(AND(ISNUMBER(F21),ISNUMBER(G21),F21&lt;&gt;0,G21&lt;&gt;0),IF(E21="Lower",F21/G21,G21/F21),"")</f>
        <v/>
      </c>
      <c r="I21" s="15" t="str">
        <f aca="false">IF(H21="",IF(C21="","","No actual yet"),IF(H21&gt;=1,"On target",IF(H21&gt;=0.9,"Caution","Below plan")))</f>
        <v/>
      </c>
      <c r="J21" s="11"/>
      <c r="K21" s="11"/>
      <c r="L21" s="11"/>
    </row>
    <row r="23" customFormat="false" ht="15" hidden="false" customHeight="false" outlineLevel="0" collapsed="false">
      <c r="A23" s="20" t="s">
        <v>866</v>
      </c>
    </row>
    <row r="24" customFormat="false" ht="15" hidden="false" customHeight="false" outlineLevel="0" collapsed="false">
      <c r="B24" s="5" t="s">
        <v>847</v>
      </c>
      <c r="C24" s="26" t="n">
        <f aca="false">COUNTIFS($A$6:$A$21,B24,$C$6:$C$21,"&lt;&gt;")</f>
        <v>1</v>
      </c>
      <c r="D24" s="15" t="str">
        <f aca="false">IF(C24=0,"Add a measure","OK")</f>
        <v>OK</v>
      </c>
    </row>
    <row r="25" customFormat="false" ht="15" hidden="false" customHeight="false" outlineLevel="0" collapsed="false">
      <c r="B25" s="5" t="s">
        <v>853</v>
      </c>
      <c r="C25" s="26" t="n">
        <f aca="false">COUNTIFS($A$6:$A$21,B25,$C$6:$C$21,"&lt;&gt;")</f>
        <v>1</v>
      </c>
      <c r="D25" s="15" t="str">
        <f aca="false">IF(C25=0,"Add a measure","OK")</f>
        <v>OK</v>
      </c>
    </row>
    <row r="26" customFormat="false" ht="15" hidden="false" customHeight="false" outlineLevel="0" collapsed="false">
      <c r="B26" s="5" t="s">
        <v>857</v>
      </c>
      <c r="C26" s="26" t="n">
        <f aca="false">COUNTIFS($A$6:$A$21,B26,$C$6:$C$21,"&lt;&gt;")</f>
        <v>1</v>
      </c>
      <c r="D26" s="15" t="str">
        <f aca="false">IF(C26=0,"Add a measure","OK")</f>
        <v>OK</v>
      </c>
    </row>
    <row r="27" customFormat="false" ht="15" hidden="false" customHeight="false" outlineLevel="0" collapsed="false">
      <c r="B27" s="5" t="s">
        <v>862</v>
      </c>
      <c r="C27" s="26" t="n">
        <f aca="false">COUNTIFS($A$6:$A$21,B27,$C$6:$C$21,"&lt;&gt;")</f>
        <v>1</v>
      </c>
      <c r="D27" s="15" t="str">
        <f aca="false">IF(C27=0,"Add a measure","OK")</f>
        <v>OK</v>
      </c>
    </row>
    <row r="29" customFormat="false" ht="15" hidden="false" customHeight="false" outlineLevel="0" collapsed="false">
      <c r="B29" s="5" t="s">
        <v>867</v>
      </c>
      <c r="C29" s="26" t="n">
        <f aca="false">COUNTA(C6:C21)</f>
        <v>4</v>
      </c>
    </row>
    <row r="30" customFormat="false" ht="15" hidden="false" customHeight="false" outlineLevel="0" collapsed="false">
      <c r="B30" s="5" t="s">
        <v>868</v>
      </c>
      <c r="C30" s="44" t="n">
        <f aca="false">IF(C29=0,"",COUNTIFS(D6:D21,"Leading",C6:C21,"&lt;&gt;")/C29)</f>
        <v>0.5</v>
      </c>
      <c r="D30" s="15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869</v>
      </c>
      <c r="C31" s="26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7" t="s">
        <v>66</v>
      </c>
    </row>
    <row r="2" customFormat="false" ht="15" hidden="false" customHeight="false" outlineLevel="0" collapsed="false">
      <c r="A2" s="3" t="s">
        <v>870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840</v>
      </c>
      <c r="C5" s="12" t="s">
        <v>841</v>
      </c>
      <c r="D5" s="12" t="s">
        <v>871</v>
      </c>
      <c r="E5" s="12" t="s">
        <v>872</v>
      </c>
    </row>
    <row r="6" customFormat="false" ht="15" hidden="false" customHeight="false" outlineLevel="0" collapsed="false">
      <c r="A6" s="11" t="s">
        <v>873</v>
      </c>
      <c r="B6" s="11" t="s">
        <v>847</v>
      </c>
      <c r="C6" s="11" t="s">
        <v>848</v>
      </c>
      <c r="D6" s="11"/>
      <c r="E6" s="15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11" t="s">
        <v>464</v>
      </c>
      <c r="B7" s="11" t="s">
        <v>853</v>
      </c>
      <c r="C7" s="11" t="s">
        <v>854</v>
      </c>
      <c r="D7" s="11" t="s">
        <v>873</v>
      </c>
      <c r="E7" s="15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11" t="s">
        <v>874</v>
      </c>
      <c r="B8" s="11" t="s">
        <v>857</v>
      </c>
      <c r="C8" s="11" t="s">
        <v>858</v>
      </c>
      <c r="D8" s="11" t="s">
        <v>464</v>
      </c>
      <c r="E8" s="15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11" t="s">
        <v>875</v>
      </c>
      <c r="B9" s="11" t="s">
        <v>862</v>
      </c>
      <c r="C9" s="11" t="s">
        <v>863</v>
      </c>
      <c r="D9" s="11" t="s">
        <v>874</v>
      </c>
      <c r="E9" s="15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11"/>
      <c r="B10" s="11"/>
      <c r="C10" s="11"/>
      <c r="D10" s="11"/>
      <c r="E10" s="15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5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5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5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5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5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5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5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5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5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5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5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7" t="s">
        <v>876</v>
      </c>
    </row>
    <row r="2" customFormat="false" ht="15" hidden="false" customHeight="false" outlineLevel="0" collapsed="false">
      <c r="A2" s="3" t="s">
        <v>877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3" t="s">
        <v>878</v>
      </c>
    </row>
    <row r="5" customFormat="false" ht="30" hidden="false" customHeight="true" outlineLevel="0" collapsed="false">
      <c r="A5" s="12" t="s">
        <v>235</v>
      </c>
      <c r="B5" s="12" t="s">
        <v>879</v>
      </c>
      <c r="C5" s="12" t="s">
        <v>880</v>
      </c>
      <c r="D5" s="12" t="s">
        <v>881</v>
      </c>
      <c r="E5" s="12" t="s">
        <v>882</v>
      </c>
      <c r="F5" s="12" t="s">
        <v>883</v>
      </c>
      <c r="G5" s="12" t="s">
        <v>884</v>
      </c>
    </row>
    <row r="6" customFormat="false" ht="15" hidden="false" customHeight="false" outlineLevel="0" collapsed="false">
      <c r="A6" s="11"/>
      <c r="B6" s="11"/>
      <c r="C6" s="38"/>
      <c r="D6" s="28"/>
      <c r="E6" s="28"/>
      <c r="F6" s="19"/>
      <c r="G6" s="15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/>
      </c>
    </row>
    <row r="7" customFormat="false" ht="15" hidden="false" customHeight="false" outlineLevel="0" collapsed="false">
      <c r="A7" s="11"/>
      <c r="B7" s="11"/>
      <c r="C7" s="38"/>
      <c r="D7" s="28"/>
      <c r="E7" s="28"/>
      <c r="F7" s="19"/>
      <c r="G7" s="15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/>
      </c>
    </row>
    <row r="8" customFormat="false" ht="15" hidden="false" customHeight="false" outlineLevel="0" collapsed="false">
      <c r="A8" s="11"/>
      <c r="B8" s="11"/>
      <c r="C8" s="38"/>
      <c r="D8" s="28"/>
      <c r="E8" s="28"/>
      <c r="F8" s="19"/>
      <c r="G8" s="15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/>
      </c>
    </row>
    <row r="9" customFormat="false" ht="15" hidden="false" customHeight="false" outlineLevel="0" collapsed="false">
      <c r="A9" s="11"/>
      <c r="B9" s="11"/>
      <c r="C9" s="38"/>
      <c r="D9" s="28"/>
      <c r="E9" s="28"/>
      <c r="F9" s="19"/>
      <c r="G9" s="15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/>
      </c>
    </row>
    <row r="10" customFormat="false" ht="15" hidden="false" customHeight="false" outlineLevel="0" collapsed="false">
      <c r="A10" s="11"/>
      <c r="B10" s="11"/>
      <c r="C10" s="38"/>
      <c r="D10" s="28"/>
      <c r="E10" s="28"/>
      <c r="F10" s="19"/>
      <c r="G10" s="15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/>
      </c>
    </row>
    <row r="11" customFormat="false" ht="15" hidden="false" customHeight="false" outlineLevel="0" collapsed="false">
      <c r="A11" s="11"/>
      <c r="B11" s="11"/>
      <c r="C11" s="38"/>
      <c r="D11" s="28"/>
      <c r="E11" s="28"/>
      <c r="F11" s="19"/>
      <c r="G11" s="15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11"/>
      <c r="B12" s="11"/>
      <c r="C12" s="38"/>
      <c r="D12" s="28"/>
      <c r="E12" s="28"/>
      <c r="F12" s="19"/>
      <c r="G12" s="15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11"/>
      <c r="B13" s="11"/>
      <c r="C13" s="38"/>
      <c r="D13" s="28"/>
      <c r="E13" s="28"/>
      <c r="F13" s="19"/>
      <c r="G13" s="15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11"/>
      <c r="B14" s="11"/>
      <c r="C14" s="38"/>
      <c r="D14" s="28"/>
      <c r="E14" s="28"/>
      <c r="F14" s="19"/>
      <c r="G14" s="15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11"/>
      <c r="B15" s="11"/>
      <c r="C15" s="38"/>
      <c r="D15" s="28"/>
      <c r="E15" s="28"/>
      <c r="F15" s="19"/>
      <c r="G15" s="15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11"/>
      <c r="B16" s="11"/>
      <c r="C16" s="38"/>
      <c r="D16" s="28"/>
      <c r="E16" s="28"/>
      <c r="F16" s="19"/>
      <c r="G16" s="15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11"/>
      <c r="B17" s="11"/>
      <c r="C17" s="38"/>
      <c r="D17" s="28"/>
      <c r="E17" s="28"/>
      <c r="F17" s="19"/>
      <c r="G17" s="15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11"/>
      <c r="B18" s="11"/>
      <c r="C18" s="38"/>
      <c r="D18" s="28"/>
      <c r="E18" s="28"/>
      <c r="F18" s="19"/>
      <c r="G18" s="15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11"/>
      <c r="B19" s="11"/>
      <c r="C19" s="38"/>
      <c r="D19" s="28"/>
      <c r="E19" s="28"/>
      <c r="F19" s="19"/>
      <c r="G19" s="15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11"/>
      <c r="B20" s="11"/>
      <c r="C20" s="38"/>
      <c r="D20" s="28"/>
      <c r="E20" s="28"/>
      <c r="F20" s="19"/>
      <c r="G20" s="15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11"/>
      <c r="B21" s="11"/>
      <c r="C21" s="38"/>
      <c r="D21" s="28"/>
      <c r="E21" s="28"/>
      <c r="F21" s="19"/>
      <c r="G21" s="15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11"/>
      <c r="B22" s="11"/>
      <c r="C22" s="38"/>
      <c r="D22" s="28"/>
      <c r="E22" s="28"/>
      <c r="F22" s="19"/>
      <c r="G22" s="15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11"/>
      <c r="B23" s="11"/>
      <c r="C23" s="38"/>
      <c r="D23" s="28"/>
      <c r="E23" s="28"/>
      <c r="F23" s="19"/>
      <c r="G23" s="15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11"/>
      <c r="B24" s="11"/>
      <c r="C24" s="38"/>
      <c r="D24" s="28"/>
      <c r="E24" s="28"/>
      <c r="F24" s="19"/>
      <c r="G24" s="15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11"/>
      <c r="B25" s="11"/>
      <c r="C25" s="38"/>
      <c r="D25" s="28"/>
      <c r="E25" s="28"/>
      <c r="F25" s="19"/>
      <c r="G25" s="15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11"/>
      <c r="B26" s="11"/>
      <c r="C26" s="38"/>
      <c r="D26" s="28"/>
      <c r="E26" s="28"/>
      <c r="F26" s="19"/>
      <c r="G26" s="15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11"/>
      <c r="B27" s="11"/>
      <c r="C27" s="38"/>
      <c r="D27" s="28"/>
      <c r="E27" s="28"/>
      <c r="F27" s="19"/>
      <c r="G27" s="15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11"/>
      <c r="B28" s="11"/>
      <c r="C28" s="38"/>
      <c r="D28" s="28"/>
      <c r="E28" s="28"/>
      <c r="F28" s="19"/>
      <c r="G28" s="15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11"/>
      <c r="B29" s="11"/>
      <c r="C29" s="38"/>
      <c r="D29" s="28"/>
      <c r="E29" s="28"/>
      <c r="F29" s="19"/>
      <c r="G29" s="15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20" t="s">
        <v>885</v>
      </c>
      <c r="C31" s="20" t="s">
        <v>444</v>
      </c>
      <c r="D31" s="20" t="s">
        <v>886</v>
      </c>
    </row>
    <row r="32" customFormat="false" ht="15" hidden="false" customHeight="false" outlineLevel="0" collapsed="false">
      <c r="A32" s="5" t="s">
        <v>887</v>
      </c>
      <c r="C32" s="35" t="str">
        <f aca="false">IFERROR(SUMPRODUCT(($B$6:$B$29="Camera")*$C$6:$C$29*$E$6:$E$29)/SUMIF($B$6:$B$29,"Camera",$E$6:$E$29),"")</f>
        <v/>
      </c>
      <c r="D32" s="47" t="str">
        <f aca="false">IFERROR(SUMPRODUCT(($B$6:$B$29="Camera")*$D$6:$D$29*$E$6:$E$29)/SUMIF($B$6:$B$29,"Camera",$E$6:$E$29),"")</f>
        <v/>
      </c>
    </row>
    <row r="33" customFormat="false" ht="15" hidden="false" customHeight="false" outlineLevel="0" collapsed="false">
      <c r="A33" s="5" t="s">
        <v>888</v>
      </c>
      <c r="C33" s="35" t="str">
        <f aca="false">IFERROR(SUMPRODUCT(($B$6:$B$29="Drone")*$C$6:$C$29*$E$6:$E$29)/SUMIF($B$6:$B$29,"Drone",$E$6:$E$29),"")</f>
        <v/>
      </c>
      <c r="D33" s="47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7" t="s">
        <v>889</v>
      </c>
    </row>
    <row r="2" customFormat="false" ht="15" hidden="false" customHeight="false" outlineLevel="0" collapsed="false">
      <c r="A2" s="3" t="s">
        <v>890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4" t="s">
        <v>891</v>
      </c>
      <c r="D4" s="31" t="n">
        <v>0.15</v>
      </c>
    </row>
    <row r="5" customFormat="false" ht="30" hidden="false" customHeight="true" outlineLevel="0" collapsed="false">
      <c r="A5" s="12" t="s">
        <v>892</v>
      </c>
      <c r="B5" s="12" t="s">
        <v>893</v>
      </c>
      <c r="C5" s="12" t="s">
        <v>798</v>
      </c>
      <c r="D5" s="12" t="s">
        <v>216</v>
      </c>
      <c r="E5" s="12" t="s">
        <v>894</v>
      </c>
      <c r="F5" s="12" t="s">
        <v>895</v>
      </c>
      <c r="G5" s="12" t="s">
        <v>896</v>
      </c>
      <c r="H5" s="12" t="s">
        <v>897</v>
      </c>
      <c r="I5" s="12" t="s">
        <v>898</v>
      </c>
      <c r="J5" s="12" t="s">
        <v>899</v>
      </c>
      <c r="K5" s="12" t="s">
        <v>900</v>
      </c>
      <c r="L5" s="12" t="s">
        <v>901</v>
      </c>
      <c r="M5" s="12" t="s">
        <v>902</v>
      </c>
      <c r="N5" s="12" t="s">
        <v>903</v>
      </c>
    </row>
    <row r="6" customFormat="false" ht="15" hidden="false" customHeight="false" outlineLevel="0" collapsed="false">
      <c r="A6" s="61" t="s">
        <v>904</v>
      </c>
      <c r="B6" s="20" t="s">
        <v>905</v>
      </c>
      <c r="C6" s="5" t="s">
        <v>906</v>
      </c>
      <c r="D6" s="5" t="s">
        <v>907</v>
      </c>
      <c r="E6" s="11" t="s">
        <v>908</v>
      </c>
      <c r="F6" s="11" t="s">
        <v>908</v>
      </c>
      <c r="G6" s="11" t="s">
        <v>908</v>
      </c>
      <c r="H6" s="11"/>
      <c r="I6" s="11"/>
      <c r="J6" s="11"/>
      <c r="K6" s="11"/>
      <c r="L6" s="11"/>
      <c r="M6" s="11"/>
      <c r="N6" s="11"/>
    </row>
    <row r="7" customFormat="false" ht="23.85" hidden="false" customHeight="false" outlineLevel="0" collapsed="false">
      <c r="A7" s="61" t="s">
        <v>909</v>
      </c>
      <c r="B7" s="20"/>
      <c r="C7" s="5" t="s">
        <v>910</v>
      </c>
      <c r="D7" s="5" t="s">
        <v>907</v>
      </c>
      <c r="E7" s="11" t="s">
        <v>911</v>
      </c>
      <c r="F7" s="11" t="s">
        <v>911</v>
      </c>
      <c r="G7" s="11" t="s">
        <v>911</v>
      </c>
      <c r="H7" s="11"/>
      <c r="I7" s="11"/>
      <c r="J7" s="11"/>
      <c r="K7" s="11"/>
      <c r="L7" s="11"/>
      <c r="M7" s="11"/>
      <c r="N7" s="11"/>
    </row>
    <row r="8" customFormat="false" ht="15" hidden="false" customHeight="false" outlineLevel="0" collapsed="false">
      <c r="A8" s="61" t="s">
        <v>912</v>
      </c>
      <c r="B8" s="20" t="s">
        <v>913</v>
      </c>
      <c r="C8" s="5" t="s">
        <v>914</v>
      </c>
      <c r="D8" s="5" t="s">
        <v>915</v>
      </c>
      <c r="E8" s="28"/>
      <c r="F8" s="28"/>
      <c r="G8" s="28"/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61" t="s">
        <v>916</v>
      </c>
      <c r="B9" s="20"/>
      <c r="C9" s="5" t="s">
        <v>917</v>
      </c>
      <c r="D9" s="5" t="s">
        <v>915</v>
      </c>
      <c r="E9" s="28"/>
      <c r="F9" s="28"/>
      <c r="G9" s="28"/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61" t="s">
        <v>918</v>
      </c>
      <c r="B10" s="20"/>
      <c r="C10" s="5" t="s">
        <v>919</v>
      </c>
      <c r="D10" s="5" t="s">
        <v>920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customFormat="false" ht="15" hidden="false" customHeight="false" outlineLevel="0" collapsed="false">
      <c r="A11" s="61" t="s">
        <v>921</v>
      </c>
      <c r="B11" s="20"/>
      <c r="C11" s="5" t="s">
        <v>922</v>
      </c>
      <c r="D11" s="5" t="s">
        <v>920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customFormat="false" ht="15" hidden="false" customHeight="false" outlineLevel="0" collapsed="false">
      <c r="A12" s="61" t="s">
        <v>923</v>
      </c>
      <c r="B12" s="20"/>
      <c r="C12" s="5" t="s">
        <v>924</v>
      </c>
      <c r="D12" s="5" t="s">
        <v>925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customFormat="false" ht="15" hidden="false" customHeight="false" outlineLevel="0" collapsed="false">
      <c r="A13" s="61" t="s">
        <v>926</v>
      </c>
      <c r="B13" s="20"/>
      <c r="C13" s="5" t="s">
        <v>927</v>
      </c>
      <c r="D13" s="5" t="s">
        <v>925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</row>
    <row r="14" customFormat="false" ht="15" hidden="false" customHeight="false" outlineLevel="0" collapsed="false">
      <c r="A14" s="61" t="s">
        <v>928</v>
      </c>
      <c r="B14" s="20" t="s">
        <v>929</v>
      </c>
      <c r="C14" s="5" t="s">
        <v>930</v>
      </c>
      <c r="D14" s="5" t="s">
        <v>611</v>
      </c>
      <c r="E14" s="62" t="n">
        <v>264</v>
      </c>
      <c r="F14" s="62" t="n">
        <v>239</v>
      </c>
      <c r="G14" s="62" t="n">
        <v>239</v>
      </c>
      <c r="H14" s="62"/>
      <c r="I14" s="62"/>
      <c r="J14" s="62"/>
      <c r="K14" s="62"/>
      <c r="L14" s="62"/>
      <c r="M14" s="62"/>
      <c r="N14" s="62"/>
    </row>
    <row r="15" customFormat="false" ht="15" hidden="false" customHeight="false" outlineLevel="0" collapsed="false">
      <c r="A15" s="61" t="s">
        <v>931</v>
      </c>
      <c r="B15" s="20"/>
      <c r="C15" s="5" t="s">
        <v>932</v>
      </c>
      <c r="D15" s="5" t="s">
        <v>611</v>
      </c>
      <c r="E15" s="62" t="n">
        <v>270</v>
      </c>
      <c r="F15" s="62" t="n">
        <v>272</v>
      </c>
      <c r="G15" s="62" t="n">
        <v>262</v>
      </c>
      <c r="H15" s="62"/>
      <c r="I15" s="62"/>
      <c r="J15" s="62"/>
      <c r="K15" s="62"/>
      <c r="L15" s="62"/>
      <c r="M15" s="62"/>
      <c r="N15" s="62"/>
    </row>
    <row r="16" customFormat="false" ht="15" hidden="false" customHeight="false" outlineLevel="0" collapsed="false">
      <c r="A16" s="61" t="s">
        <v>933</v>
      </c>
      <c r="B16" s="20"/>
      <c r="C16" s="5" t="s">
        <v>934</v>
      </c>
      <c r="D16" s="5" t="s">
        <v>611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</row>
    <row r="17" customFormat="false" ht="15" hidden="false" customHeight="false" outlineLevel="0" collapsed="false">
      <c r="A17" s="61" t="s">
        <v>935</v>
      </c>
      <c r="B17" s="20"/>
      <c r="C17" s="5" t="s">
        <v>936</v>
      </c>
      <c r="D17" s="5" t="s">
        <v>611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</row>
    <row r="18" customFormat="false" ht="15" hidden="false" customHeight="false" outlineLevel="0" collapsed="false">
      <c r="A18" s="61" t="s">
        <v>937</v>
      </c>
      <c r="B18" s="20"/>
      <c r="C18" s="5" t="s">
        <v>938</v>
      </c>
      <c r="D18" s="5" t="s">
        <v>611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</row>
    <row r="19" customFormat="false" ht="15" hidden="false" customHeight="false" outlineLevel="0" collapsed="false">
      <c r="A19" s="61" t="s">
        <v>939</v>
      </c>
      <c r="B19" s="20"/>
      <c r="C19" s="5" t="s">
        <v>940</v>
      </c>
      <c r="D19" s="5" t="s">
        <v>611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</row>
    <row r="20" customFormat="false" ht="15" hidden="false" customHeight="false" outlineLevel="0" collapsed="false">
      <c r="A20" s="61" t="s">
        <v>941</v>
      </c>
      <c r="B20" s="20"/>
      <c r="C20" s="5" t="s">
        <v>942</v>
      </c>
      <c r="D20" s="5" t="s">
        <v>611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</row>
    <row r="21" customFormat="false" ht="15" hidden="false" customHeight="false" outlineLevel="0" collapsed="false">
      <c r="A21" s="61" t="s">
        <v>943</v>
      </c>
      <c r="B21" s="20"/>
      <c r="C21" s="5" t="s">
        <v>944</v>
      </c>
      <c r="D21" s="5" t="s">
        <v>611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</row>
    <row r="22" customFormat="false" ht="15" hidden="false" customHeight="false" outlineLevel="0" collapsed="false">
      <c r="A22" s="61" t="s">
        <v>945</v>
      </c>
      <c r="B22" s="20"/>
      <c r="C22" s="5" t="s">
        <v>946</v>
      </c>
      <c r="D22" s="5" t="s">
        <v>925</v>
      </c>
      <c r="E22" s="24" t="n">
        <v>7500</v>
      </c>
      <c r="F22" s="24" t="n">
        <v>6500</v>
      </c>
      <c r="G22" s="24" t="n">
        <v>6800</v>
      </c>
      <c r="H22" s="24"/>
      <c r="I22" s="24"/>
      <c r="J22" s="24"/>
      <c r="K22" s="24"/>
      <c r="L22" s="24"/>
      <c r="M22" s="24"/>
      <c r="N22" s="24"/>
    </row>
    <row r="23" customFormat="false" ht="15" hidden="false" customHeight="false" outlineLevel="0" collapsed="false">
      <c r="A23" s="61" t="s">
        <v>947</v>
      </c>
      <c r="B23" s="20"/>
      <c r="C23" s="5" t="s">
        <v>948</v>
      </c>
      <c r="D23" s="5" t="s">
        <v>925</v>
      </c>
      <c r="E23" s="24" t="n">
        <v>6000</v>
      </c>
      <c r="F23" s="24" t="n">
        <v>6100</v>
      </c>
      <c r="G23" s="24" t="n">
        <v>6200</v>
      </c>
      <c r="H23" s="24"/>
      <c r="I23" s="24"/>
      <c r="J23" s="24"/>
      <c r="K23" s="24"/>
      <c r="L23" s="24"/>
      <c r="M23" s="24"/>
      <c r="N23" s="24"/>
    </row>
    <row r="24" customFormat="false" ht="15" hidden="false" customHeight="false" outlineLevel="0" collapsed="false">
      <c r="A24" s="61" t="s">
        <v>949</v>
      </c>
      <c r="B24" s="20"/>
      <c r="C24" s="5" t="s">
        <v>950</v>
      </c>
      <c r="D24" s="5" t="s">
        <v>925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</row>
    <row r="25" customFormat="false" ht="15" hidden="false" customHeight="false" outlineLevel="0" collapsed="false">
      <c r="A25" s="61" t="s">
        <v>951</v>
      </c>
      <c r="B25" s="20"/>
      <c r="C25" s="5" t="s">
        <v>952</v>
      </c>
      <c r="D25" s="5" t="s">
        <v>925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customFormat="false" ht="15" hidden="false" customHeight="false" outlineLevel="0" collapsed="false">
      <c r="A26" s="61" t="s">
        <v>953</v>
      </c>
      <c r="B26" s="20"/>
      <c r="C26" s="5" t="s">
        <v>954</v>
      </c>
      <c r="D26" s="5" t="s">
        <v>925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</row>
    <row r="27" customFormat="false" ht="15" hidden="false" customHeight="false" outlineLevel="0" collapsed="false">
      <c r="A27" s="61" t="s">
        <v>955</v>
      </c>
      <c r="B27" s="20"/>
      <c r="C27" s="5" t="s">
        <v>956</v>
      </c>
      <c r="D27" s="5" t="s">
        <v>925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</row>
    <row r="28" customFormat="false" ht="15" hidden="false" customHeight="false" outlineLevel="0" collapsed="false">
      <c r="A28" s="61" t="s">
        <v>957</v>
      </c>
      <c r="B28" s="20"/>
      <c r="C28" s="5" t="s">
        <v>958</v>
      </c>
      <c r="D28" s="5" t="s">
        <v>925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61" t="s">
        <v>959</v>
      </c>
      <c r="B29" s="20"/>
      <c r="C29" s="5" t="s">
        <v>960</v>
      </c>
      <c r="D29" s="5" t="s">
        <v>925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23.85" hidden="false" customHeight="false" outlineLevel="0" collapsed="false">
      <c r="A30" s="61" t="s">
        <v>961</v>
      </c>
      <c r="B30" s="20"/>
      <c r="C30" s="5" t="s">
        <v>962</v>
      </c>
      <c r="D30" s="5" t="s">
        <v>963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customFormat="false" ht="23.85" hidden="false" customHeight="false" outlineLevel="0" collapsed="false">
      <c r="A31" s="61" t="s">
        <v>964</v>
      </c>
      <c r="B31" s="20"/>
      <c r="C31" s="5" t="s">
        <v>965</v>
      </c>
      <c r="D31" s="5" t="s">
        <v>963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23.85" hidden="false" customHeight="false" outlineLevel="0" collapsed="false">
      <c r="A32" s="61" t="s">
        <v>966</v>
      </c>
      <c r="B32" s="20"/>
      <c r="C32" s="5" t="s">
        <v>967</v>
      </c>
      <c r="D32" s="5" t="s">
        <v>963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23.85" hidden="false" customHeight="false" outlineLevel="0" collapsed="false">
      <c r="A33" s="61" t="s">
        <v>968</v>
      </c>
      <c r="B33" s="20"/>
      <c r="C33" s="5" t="s">
        <v>969</v>
      </c>
      <c r="D33" s="5" t="s">
        <v>963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3.85" hidden="false" customHeight="false" outlineLevel="0" collapsed="false">
      <c r="A34" s="61" t="s">
        <v>970</v>
      </c>
      <c r="B34" s="20"/>
      <c r="C34" s="5" t="s">
        <v>971</v>
      </c>
      <c r="D34" s="5" t="s">
        <v>963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3.85" hidden="false" customHeight="false" outlineLevel="0" collapsed="false">
      <c r="A35" s="61" t="s">
        <v>972</v>
      </c>
      <c r="B35" s="20"/>
      <c r="C35" s="5" t="s">
        <v>973</v>
      </c>
      <c r="D35" s="5" t="s">
        <v>963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3.85" hidden="false" customHeight="false" outlineLevel="0" collapsed="false">
      <c r="A36" s="61" t="s">
        <v>974</v>
      </c>
      <c r="B36" s="20"/>
      <c r="C36" s="5" t="s">
        <v>975</v>
      </c>
      <c r="D36" s="5" t="s">
        <v>963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3.85" hidden="false" customHeight="false" outlineLevel="0" collapsed="false">
      <c r="A37" s="61" t="s">
        <v>976</v>
      </c>
      <c r="B37" s="20"/>
      <c r="C37" s="5" t="s">
        <v>977</v>
      </c>
      <c r="D37" s="5" t="s">
        <v>963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5" hidden="false" customHeight="false" outlineLevel="0" collapsed="false">
      <c r="A38" s="61" t="s">
        <v>978</v>
      </c>
      <c r="B38" s="20"/>
      <c r="C38" s="5" t="s">
        <v>979</v>
      </c>
      <c r="D38" s="5" t="s">
        <v>980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15" hidden="false" customHeight="false" outlineLevel="0" collapsed="false">
      <c r="A39" s="61" t="s">
        <v>981</v>
      </c>
      <c r="B39" s="20"/>
      <c r="C39" s="5" t="s">
        <v>982</v>
      </c>
      <c r="D39" s="5" t="s">
        <v>980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15" hidden="false" customHeight="false" outlineLevel="0" collapsed="false">
      <c r="A40" s="61" t="s">
        <v>983</v>
      </c>
      <c r="B40" s="20"/>
      <c r="C40" s="5" t="s">
        <v>984</v>
      </c>
      <c r="D40" s="5" t="s">
        <v>980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15" hidden="false" customHeight="false" outlineLevel="0" collapsed="false">
      <c r="A41" s="61" t="s">
        <v>985</v>
      </c>
      <c r="B41" s="20"/>
      <c r="C41" s="5" t="s">
        <v>986</v>
      </c>
      <c r="D41" s="5" t="s">
        <v>980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15" hidden="false" customHeight="false" outlineLevel="0" collapsed="false">
      <c r="A42" s="61" t="s">
        <v>987</v>
      </c>
      <c r="B42" s="20"/>
      <c r="C42" s="5" t="s">
        <v>988</v>
      </c>
      <c r="D42" s="5" t="s">
        <v>980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customFormat="false" ht="15" hidden="false" customHeight="false" outlineLevel="0" collapsed="false">
      <c r="A43" s="61" t="s">
        <v>989</v>
      </c>
      <c r="B43" s="20"/>
      <c r="C43" s="5" t="s">
        <v>990</v>
      </c>
      <c r="D43" s="5" t="s">
        <v>980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customFormat="false" ht="15" hidden="false" customHeight="false" outlineLevel="0" collapsed="false">
      <c r="A44" s="61" t="s">
        <v>991</v>
      </c>
      <c r="B44" s="20"/>
      <c r="C44" s="5" t="s">
        <v>992</v>
      </c>
      <c r="D44" s="5" t="s">
        <v>980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customFormat="false" ht="15" hidden="false" customHeight="false" outlineLevel="0" collapsed="false">
      <c r="A45" s="61" t="s">
        <v>993</v>
      </c>
      <c r="B45" s="20"/>
      <c r="C45" s="5" t="s">
        <v>994</v>
      </c>
      <c r="D45" s="5" t="s">
        <v>980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customFormat="false" ht="15" hidden="false" customHeight="false" outlineLevel="0" collapsed="false">
      <c r="A46" s="61" t="s">
        <v>995</v>
      </c>
      <c r="B46" s="20" t="s">
        <v>996</v>
      </c>
      <c r="C46" s="5" t="s">
        <v>997</v>
      </c>
      <c r="D46" s="5" t="s">
        <v>920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15" hidden="false" customHeight="false" outlineLevel="0" collapsed="false">
      <c r="A47" s="61" t="s">
        <v>998</v>
      </c>
      <c r="B47" s="20"/>
      <c r="C47" s="5" t="s">
        <v>999</v>
      </c>
      <c r="D47" s="5" t="s">
        <v>920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15" hidden="false" customHeight="false" outlineLevel="0" collapsed="false">
      <c r="A48" s="61" t="s">
        <v>1000</v>
      </c>
      <c r="B48" s="20"/>
      <c r="C48" s="5" t="s">
        <v>1001</v>
      </c>
      <c r="D48" s="5" t="s">
        <v>1002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customFormat="false" ht="15" hidden="false" customHeight="false" outlineLevel="0" collapsed="false">
      <c r="A49" s="61" t="s">
        <v>1003</v>
      </c>
      <c r="B49" s="20"/>
      <c r="C49" s="5" t="s">
        <v>1004</v>
      </c>
      <c r="D49" s="5" t="s">
        <v>1002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customFormat="false" ht="15" hidden="false" customHeight="false" outlineLevel="0" collapsed="false">
      <c r="A50" s="61" t="s">
        <v>1005</v>
      </c>
      <c r="B50" s="20"/>
      <c r="C50" s="5" t="s">
        <v>1006</v>
      </c>
      <c r="D50" s="5" t="s">
        <v>1007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" hidden="false" customHeight="false" outlineLevel="0" collapsed="false">
      <c r="A51" s="61" t="s">
        <v>1008</v>
      </c>
      <c r="B51" s="20"/>
      <c r="C51" s="5" t="s">
        <v>1009</v>
      </c>
      <c r="D51" s="5" t="s">
        <v>1007</v>
      </c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15" hidden="false" customHeight="false" outlineLevel="0" collapsed="false">
      <c r="A52" s="61" t="s">
        <v>1010</v>
      </c>
      <c r="B52" s="20" t="s">
        <v>1011</v>
      </c>
      <c r="C52" s="5" t="s">
        <v>1012</v>
      </c>
      <c r="D52" s="5" t="s">
        <v>1007</v>
      </c>
      <c r="E52" s="11" t="n">
        <v>21000</v>
      </c>
      <c r="F52" s="11" t="n">
        <v>21500</v>
      </c>
      <c r="G52" s="11" t="n">
        <v>22000</v>
      </c>
      <c r="H52" s="11"/>
      <c r="I52" s="11"/>
      <c r="J52" s="11"/>
      <c r="K52" s="11"/>
      <c r="L52" s="11"/>
      <c r="M52" s="11"/>
      <c r="N52" s="11"/>
    </row>
    <row r="53" customFormat="false" ht="15" hidden="false" customHeight="false" outlineLevel="0" collapsed="false">
      <c r="A53" s="61" t="s">
        <v>1013</v>
      </c>
      <c r="B53" s="20"/>
      <c r="C53" s="5" t="s">
        <v>1014</v>
      </c>
      <c r="D53" s="5" t="s">
        <v>1015</v>
      </c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customFormat="false" ht="15" hidden="false" customHeight="false" outlineLevel="0" collapsed="false">
      <c r="A54" s="61" t="s">
        <v>1016</v>
      </c>
      <c r="B54" s="20"/>
      <c r="C54" s="5" t="s">
        <v>1017</v>
      </c>
      <c r="D54" s="5" t="s">
        <v>1007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customFormat="false" ht="15" hidden="false" customHeight="false" outlineLevel="0" collapsed="false">
      <c r="A55" s="61" t="s">
        <v>1018</v>
      </c>
      <c r="B55" s="20" t="s">
        <v>1019</v>
      </c>
      <c r="C55" s="5" t="s">
        <v>1020</v>
      </c>
      <c r="D55" s="5" t="s">
        <v>925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15" hidden="false" customHeight="false" outlineLevel="0" collapsed="false">
      <c r="A56" s="61" t="s">
        <v>1021</v>
      </c>
      <c r="B56" s="20"/>
      <c r="C56" s="5" t="s">
        <v>1022</v>
      </c>
      <c r="D56" s="5" t="s">
        <v>907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customFormat="false" ht="15" hidden="false" customHeight="false" outlineLevel="0" collapsed="false">
      <c r="A57" s="61" t="s">
        <v>1023</v>
      </c>
      <c r="B57" s="20" t="s">
        <v>161</v>
      </c>
      <c r="C57" s="5" t="s">
        <v>1024</v>
      </c>
      <c r="D57" s="5" t="s">
        <v>925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customFormat="false" ht="15" hidden="false" customHeight="false" outlineLevel="0" collapsed="false">
      <c r="A58" s="61" t="s">
        <v>1025</v>
      </c>
      <c r="B58" s="20"/>
      <c r="C58" s="5" t="s">
        <v>1026</v>
      </c>
      <c r="D58" s="5" t="s">
        <v>925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15" hidden="false" customHeight="false" outlineLevel="0" collapsed="false">
      <c r="A59" s="61" t="s">
        <v>1027</v>
      </c>
      <c r="B59" s="20"/>
      <c r="C59" s="5" t="s">
        <v>1028</v>
      </c>
      <c r="D59" s="5" t="s">
        <v>1029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5" hidden="false" customHeight="false" outlineLevel="0" collapsed="false">
      <c r="A60" s="61" t="s">
        <v>1030</v>
      </c>
      <c r="B60" s="20"/>
      <c r="C60" s="5" t="s">
        <v>1031</v>
      </c>
      <c r="D60" s="5" t="s">
        <v>1029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customFormat="false" ht="15" hidden="false" customHeight="false" outlineLevel="0" collapsed="false">
      <c r="A61" s="61" t="s">
        <v>1032</v>
      </c>
      <c r="B61" s="20"/>
      <c r="C61" s="5" t="s">
        <v>1033</v>
      </c>
      <c r="D61" s="5" t="s">
        <v>611</v>
      </c>
      <c r="E61" s="62"/>
      <c r="F61" s="62"/>
      <c r="G61" s="62"/>
      <c r="H61" s="62"/>
      <c r="I61" s="62"/>
      <c r="J61" s="62"/>
      <c r="K61" s="62"/>
      <c r="L61" s="62"/>
      <c r="M61" s="62"/>
      <c r="N61" s="62"/>
    </row>
    <row r="62" customFormat="false" ht="23.85" hidden="false" customHeight="false" outlineLevel="0" collapsed="false">
      <c r="A62" s="61" t="s">
        <v>1034</v>
      </c>
      <c r="B62" s="20" t="s">
        <v>1035</v>
      </c>
      <c r="C62" s="5" t="s">
        <v>1036</v>
      </c>
      <c r="D62" s="5" t="s">
        <v>611</v>
      </c>
      <c r="E62" s="62"/>
      <c r="F62" s="62"/>
      <c r="G62" s="62"/>
      <c r="H62" s="62"/>
      <c r="I62" s="62"/>
      <c r="J62" s="62"/>
      <c r="K62" s="62"/>
      <c r="L62" s="62"/>
      <c r="M62" s="62"/>
      <c r="N62" s="62"/>
    </row>
    <row r="63" customFormat="false" ht="15" hidden="false" customHeight="false" outlineLevel="0" collapsed="false">
      <c r="A63" s="61" t="s">
        <v>1037</v>
      </c>
      <c r="B63" s="20"/>
      <c r="C63" s="5" t="s">
        <v>1038</v>
      </c>
      <c r="D63" s="5" t="s">
        <v>1002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customFormat="false" ht="15" hidden="false" customHeight="false" outlineLevel="0" collapsed="false">
      <c r="A64" s="61" t="s">
        <v>1039</v>
      </c>
      <c r="B64" s="20"/>
      <c r="C64" s="5" t="s">
        <v>1040</v>
      </c>
      <c r="D64" s="5" t="s">
        <v>611</v>
      </c>
      <c r="E64" s="62"/>
      <c r="F64" s="62"/>
      <c r="G64" s="62"/>
      <c r="H64" s="62"/>
      <c r="I64" s="62"/>
      <c r="J64" s="62"/>
      <c r="K64" s="62"/>
      <c r="L64" s="62"/>
      <c r="M64" s="62"/>
      <c r="N64" s="62"/>
    </row>
    <row r="65" customFormat="false" ht="15" hidden="false" customHeight="false" outlineLevel="0" collapsed="false">
      <c r="A65" s="61" t="s">
        <v>1041</v>
      </c>
      <c r="B65" s="20"/>
      <c r="C65" s="5" t="s">
        <v>1042</v>
      </c>
      <c r="D65" s="5" t="s">
        <v>907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customFormat="false" ht="15" hidden="false" customHeight="false" outlineLevel="0" collapsed="false">
      <c r="A66" s="61" t="s">
        <v>1043</v>
      </c>
      <c r="B66" s="20"/>
      <c r="C66" s="5" t="s">
        <v>1044</v>
      </c>
      <c r="D66" s="5" t="s">
        <v>1045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8" customFormat="false" ht="35.05" hidden="false" customHeight="false" outlineLevel="0" collapsed="false">
      <c r="B68" s="20" t="s">
        <v>1046</v>
      </c>
    </row>
    <row r="69" customFormat="false" ht="15" hidden="false" customHeight="false" outlineLevel="0" collapsed="false">
      <c r="A69" s="12" t="s">
        <v>1047</v>
      </c>
      <c r="B69" s="12" t="s">
        <v>893</v>
      </c>
      <c r="C69" s="12" t="s">
        <v>798</v>
      </c>
      <c r="D69" s="12" t="s">
        <v>216</v>
      </c>
      <c r="E69" s="12" t="s">
        <v>894</v>
      </c>
      <c r="F69" s="12" t="s">
        <v>895</v>
      </c>
      <c r="G69" s="12" t="s">
        <v>896</v>
      </c>
      <c r="H69" s="12" t="s">
        <v>897</v>
      </c>
      <c r="I69" s="12" t="s">
        <v>898</v>
      </c>
      <c r="J69" s="12" t="s">
        <v>899</v>
      </c>
      <c r="K69" s="12" t="s">
        <v>900</v>
      </c>
      <c r="L69" s="12" t="s">
        <v>901</v>
      </c>
      <c r="M69" s="12" t="s">
        <v>902</v>
      </c>
      <c r="N69" s="12" t="s">
        <v>903</v>
      </c>
    </row>
    <row r="70" customFormat="false" ht="15" hidden="false" customHeight="false" outlineLevel="0" collapsed="false">
      <c r="A70" s="61" t="s">
        <v>904</v>
      </c>
      <c r="C70" s="5" t="s">
        <v>906</v>
      </c>
      <c r="F70" s="44" t="str">
        <f aca="false">IF(AND(ISNUMBER(F6),ISNUMBER(E6),E6&lt;&gt;0),F6/E6-1,"")</f>
        <v/>
      </c>
      <c r="G70" s="44" t="str">
        <f aca="false">IF(AND(ISNUMBER(G6),ISNUMBER(F6),F6&lt;&gt;0),G6/F6-1,"")</f>
        <v/>
      </c>
      <c r="H70" s="44" t="str">
        <f aca="false">IF(AND(ISNUMBER(H6),ISNUMBER(G6),G6&lt;&gt;0),H6/G6-1,"")</f>
        <v/>
      </c>
      <c r="I70" s="44" t="str">
        <f aca="false">IF(AND(ISNUMBER(I6),ISNUMBER(H6),H6&lt;&gt;0),I6/H6-1,"")</f>
        <v/>
      </c>
      <c r="J70" s="44" t="str">
        <f aca="false">IF(AND(ISNUMBER(J6),ISNUMBER(I6),I6&lt;&gt;0),J6/I6-1,"")</f>
        <v/>
      </c>
      <c r="K70" s="44" t="str">
        <f aca="false">IF(AND(ISNUMBER(K6),ISNUMBER(J6),J6&lt;&gt;0),K6/J6-1,"")</f>
        <v/>
      </c>
      <c r="L70" s="44" t="str">
        <f aca="false">IF(AND(ISNUMBER(L6),ISNUMBER(K6),K6&lt;&gt;0),L6/K6-1,"")</f>
        <v/>
      </c>
      <c r="M70" s="44" t="str">
        <f aca="false">IF(AND(ISNUMBER(M6),ISNUMBER(L6),L6&lt;&gt;0),M6/L6-1,"")</f>
        <v/>
      </c>
      <c r="N70" s="44" t="str">
        <f aca="false">IF(AND(ISNUMBER(N6),ISNUMBER(M6),M6&lt;&gt;0),N6/M6-1,"")</f>
        <v/>
      </c>
    </row>
    <row r="71" customFormat="false" ht="15" hidden="false" customHeight="false" outlineLevel="0" collapsed="false">
      <c r="A71" s="61" t="s">
        <v>909</v>
      </c>
      <c r="C71" s="5" t="s">
        <v>910</v>
      </c>
      <c r="F71" s="44" t="str">
        <f aca="false">IF(AND(ISNUMBER(F7),ISNUMBER(E7),E7&lt;&gt;0),F7/E7-1,"")</f>
        <v/>
      </c>
      <c r="G71" s="44" t="str">
        <f aca="false">IF(AND(ISNUMBER(G7),ISNUMBER(F7),F7&lt;&gt;0),G7/F7-1,"")</f>
        <v/>
      </c>
      <c r="H71" s="44" t="str">
        <f aca="false">IF(AND(ISNUMBER(H7),ISNUMBER(G7),G7&lt;&gt;0),H7/G7-1,"")</f>
        <v/>
      </c>
      <c r="I71" s="44" t="str">
        <f aca="false">IF(AND(ISNUMBER(I7),ISNUMBER(H7),H7&lt;&gt;0),I7/H7-1,"")</f>
        <v/>
      </c>
      <c r="J71" s="44" t="str">
        <f aca="false">IF(AND(ISNUMBER(J7),ISNUMBER(I7),I7&lt;&gt;0),J7/I7-1,"")</f>
        <v/>
      </c>
      <c r="K71" s="44" t="str">
        <f aca="false">IF(AND(ISNUMBER(K7),ISNUMBER(J7),J7&lt;&gt;0),K7/J7-1,"")</f>
        <v/>
      </c>
      <c r="L71" s="44" t="str">
        <f aca="false">IF(AND(ISNUMBER(L7),ISNUMBER(K7),K7&lt;&gt;0),L7/K7-1,"")</f>
        <v/>
      </c>
      <c r="M71" s="44" t="str">
        <f aca="false">IF(AND(ISNUMBER(M7),ISNUMBER(L7),L7&lt;&gt;0),M7/L7-1,"")</f>
        <v/>
      </c>
      <c r="N71" s="44" t="str">
        <f aca="false">IF(AND(ISNUMBER(N7),ISNUMBER(M7),M7&lt;&gt;0),N7/M7-1,"")</f>
        <v/>
      </c>
    </row>
    <row r="72" customFormat="false" ht="15" hidden="false" customHeight="false" outlineLevel="0" collapsed="false">
      <c r="A72" s="61" t="s">
        <v>912</v>
      </c>
      <c r="C72" s="5" t="s">
        <v>914</v>
      </c>
      <c r="F72" s="44" t="str">
        <f aca="false">IF(AND(ISNUMBER(F8),ISNUMBER(E8),E8&lt;&gt;0),F8/E8-1,"")</f>
        <v/>
      </c>
      <c r="G72" s="44" t="str">
        <f aca="false">IF(AND(ISNUMBER(G8),ISNUMBER(F8),F8&lt;&gt;0),G8/F8-1,"")</f>
        <v/>
      </c>
      <c r="H72" s="44" t="str">
        <f aca="false">IF(AND(ISNUMBER(H8),ISNUMBER(G8),G8&lt;&gt;0),H8/G8-1,"")</f>
        <v/>
      </c>
      <c r="I72" s="44" t="str">
        <f aca="false">IF(AND(ISNUMBER(I8),ISNUMBER(H8),H8&lt;&gt;0),I8/H8-1,"")</f>
        <v/>
      </c>
      <c r="J72" s="44" t="str">
        <f aca="false">IF(AND(ISNUMBER(J8),ISNUMBER(I8),I8&lt;&gt;0),J8/I8-1,"")</f>
        <v/>
      </c>
      <c r="K72" s="44" t="str">
        <f aca="false">IF(AND(ISNUMBER(K8),ISNUMBER(J8),J8&lt;&gt;0),K8/J8-1,"")</f>
        <v/>
      </c>
      <c r="L72" s="44" t="str">
        <f aca="false">IF(AND(ISNUMBER(L8),ISNUMBER(K8),K8&lt;&gt;0),L8/K8-1,"")</f>
        <v/>
      </c>
      <c r="M72" s="44" t="str">
        <f aca="false">IF(AND(ISNUMBER(M8),ISNUMBER(L8),L8&lt;&gt;0),M8/L8-1,"")</f>
        <v/>
      </c>
      <c r="N72" s="44" t="str">
        <f aca="false">IF(AND(ISNUMBER(N8),ISNUMBER(M8),M8&lt;&gt;0),N8/M8-1,"")</f>
        <v/>
      </c>
    </row>
    <row r="73" customFormat="false" ht="15" hidden="false" customHeight="false" outlineLevel="0" collapsed="false">
      <c r="A73" s="61" t="s">
        <v>916</v>
      </c>
      <c r="C73" s="5" t="s">
        <v>917</v>
      </c>
      <c r="F73" s="44" t="str">
        <f aca="false">IF(AND(ISNUMBER(F9),ISNUMBER(E9),E9&lt;&gt;0),F9/E9-1,"")</f>
        <v/>
      </c>
      <c r="G73" s="44" t="str">
        <f aca="false">IF(AND(ISNUMBER(G9),ISNUMBER(F9),F9&lt;&gt;0),G9/F9-1,"")</f>
        <v/>
      </c>
      <c r="H73" s="44" t="str">
        <f aca="false">IF(AND(ISNUMBER(H9),ISNUMBER(G9),G9&lt;&gt;0),H9/G9-1,"")</f>
        <v/>
      </c>
      <c r="I73" s="44" t="str">
        <f aca="false">IF(AND(ISNUMBER(I9),ISNUMBER(H9),H9&lt;&gt;0),I9/H9-1,"")</f>
        <v/>
      </c>
      <c r="J73" s="44" t="str">
        <f aca="false">IF(AND(ISNUMBER(J9),ISNUMBER(I9),I9&lt;&gt;0),J9/I9-1,"")</f>
        <v/>
      </c>
      <c r="K73" s="44" t="str">
        <f aca="false">IF(AND(ISNUMBER(K9),ISNUMBER(J9),J9&lt;&gt;0),K9/J9-1,"")</f>
        <v/>
      </c>
      <c r="L73" s="44" t="str">
        <f aca="false">IF(AND(ISNUMBER(L9),ISNUMBER(K9),K9&lt;&gt;0),L9/K9-1,"")</f>
        <v/>
      </c>
      <c r="M73" s="44" t="str">
        <f aca="false">IF(AND(ISNUMBER(M9),ISNUMBER(L9),L9&lt;&gt;0),M9/L9-1,"")</f>
        <v/>
      </c>
      <c r="N73" s="44" t="str">
        <f aca="false">IF(AND(ISNUMBER(N9),ISNUMBER(M9),M9&lt;&gt;0),N9/M9-1,"")</f>
        <v/>
      </c>
    </row>
    <row r="74" customFormat="false" ht="15" hidden="false" customHeight="false" outlineLevel="0" collapsed="false">
      <c r="A74" s="61" t="s">
        <v>918</v>
      </c>
      <c r="C74" s="5" t="s">
        <v>919</v>
      </c>
      <c r="F74" s="44" t="str">
        <f aca="false">IF(AND(ISNUMBER(F10),ISNUMBER(E10),E10&lt;&gt;0),F10/E10-1,"")</f>
        <v/>
      </c>
      <c r="G74" s="44" t="str">
        <f aca="false">IF(AND(ISNUMBER(G10),ISNUMBER(F10),F10&lt;&gt;0),G10/F10-1,"")</f>
        <v/>
      </c>
      <c r="H74" s="44" t="str">
        <f aca="false">IF(AND(ISNUMBER(H10),ISNUMBER(G10),G10&lt;&gt;0),H10/G10-1,"")</f>
        <v/>
      </c>
      <c r="I74" s="44" t="str">
        <f aca="false">IF(AND(ISNUMBER(I10),ISNUMBER(H10),H10&lt;&gt;0),I10/H10-1,"")</f>
        <v/>
      </c>
      <c r="J74" s="44" t="str">
        <f aca="false">IF(AND(ISNUMBER(J10),ISNUMBER(I10),I10&lt;&gt;0),J10/I10-1,"")</f>
        <v/>
      </c>
      <c r="K74" s="44" t="str">
        <f aca="false">IF(AND(ISNUMBER(K10),ISNUMBER(J10),J10&lt;&gt;0),K10/J10-1,"")</f>
        <v/>
      </c>
      <c r="L74" s="44" t="str">
        <f aca="false">IF(AND(ISNUMBER(L10),ISNUMBER(K10),K10&lt;&gt;0),L10/K10-1,"")</f>
        <v/>
      </c>
      <c r="M74" s="44" t="str">
        <f aca="false">IF(AND(ISNUMBER(M10),ISNUMBER(L10),L10&lt;&gt;0),M10/L10-1,"")</f>
        <v/>
      </c>
      <c r="N74" s="44" t="str">
        <f aca="false">IF(AND(ISNUMBER(N10),ISNUMBER(M10),M10&lt;&gt;0),N10/M10-1,"")</f>
        <v/>
      </c>
    </row>
    <row r="75" customFormat="false" ht="15" hidden="false" customHeight="false" outlineLevel="0" collapsed="false">
      <c r="A75" s="61" t="s">
        <v>921</v>
      </c>
      <c r="C75" s="5" t="s">
        <v>922</v>
      </c>
      <c r="F75" s="44" t="str">
        <f aca="false">IF(AND(ISNUMBER(F11),ISNUMBER(E11),E11&lt;&gt;0),F11/E11-1,"")</f>
        <v/>
      </c>
      <c r="G75" s="44" t="str">
        <f aca="false">IF(AND(ISNUMBER(G11),ISNUMBER(F11),F11&lt;&gt;0),G11/F11-1,"")</f>
        <v/>
      </c>
      <c r="H75" s="44" t="str">
        <f aca="false">IF(AND(ISNUMBER(H11),ISNUMBER(G11),G11&lt;&gt;0),H11/G11-1,"")</f>
        <v/>
      </c>
      <c r="I75" s="44" t="str">
        <f aca="false">IF(AND(ISNUMBER(I11),ISNUMBER(H11),H11&lt;&gt;0),I11/H11-1,"")</f>
        <v/>
      </c>
      <c r="J75" s="44" t="str">
        <f aca="false">IF(AND(ISNUMBER(J11),ISNUMBER(I11),I11&lt;&gt;0),J11/I11-1,"")</f>
        <v/>
      </c>
      <c r="K75" s="44" t="str">
        <f aca="false">IF(AND(ISNUMBER(K11),ISNUMBER(J11),J11&lt;&gt;0),K11/J11-1,"")</f>
        <v/>
      </c>
      <c r="L75" s="44" t="str">
        <f aca="false">IF(AND(ISNUMBER(L11),ISNUMBER(K11),K11&lt;&gt;0),L11/K11-1,"")</f>
        <v/>
      </c>
      <c r="M75" s="44" t="str">
        <f aca="false">IF(AND(ISNUMBER(M11),ISNUMBER(L11),L11&lt;&gt;0),M11/L11-1,"")</f>
        <v/>
      </c>
      <c r="N75" s="44" t="str">
        <f aca="false">IF(AND(ISNUMBER(N11),ISNUMBER(M11),M11&lt;&gt;0),N11/M11-1,"")</f>
        <v/>
      </c>
    </row>
    <row r="76" customFormat="false" ht="15" hidden="false" customHeight="false" outlineLevel="0" collapsed="false">
      <c r="A76" s="61" t="s">
        <v>923</v>
      </c>
      <c r="C76" s="5" t="s">
        <v>924</v>
      </c>
      <c r="F76" s="44" t="str">
        <f aca="false">IF(AND(ISNUMBER(F12),ISNUMBER(E12),E12&lt;&gt;0),F12/E12-1,"")</f>
        <v/>
      </c>
      <c r="G76" s="44" t="str">
        <f aca="false">IF(AND(ISNUMBER(G12),ISNUMBER(F12),F12&lt;&gt;0),G12/F12-1,"")</f>
        <v/>
      </c>
      <c r="H76" s="44" t="str">
        <f aca="false">IF(AND(ISNUMBER(H12),ISNUMBER(G12),G12&lt;&gt;0),H12/G12-1,"")</f>
        <v/>
      </c>
      <c r="I76" s="44" t="str">
        <f aca="false">IF(AND(ISNUMBER(I12),ISNUMBER(H12),H12&lt;&gt;0),I12/H12-1,"")</f>
        <v/>
      </c>
      <c r="J76" s="44" t="str">
        <f aca="false">IF(AND(ISNUMBER(J12),ISNUMBER(I12),I12&lt;&gt;0),J12/I12-1,"")</f>
        <v/>
      </c>
      <c r="K76" s="44" t="str">
        <f aca="false">IF(AND(ISNUMBER(K12),ISNUMBER(J12),J12&lt;&gt;0),K12/J12-1,"")</f>
        <v/>
      </c>
      <c r="L76" s="44" t="str">
        <f aca="false">IF(AND(ISNUMBER(L12),ISNUMBER(K12),K12&lt;&gt;0),L12/K12-1,"")</f>
        <v/>
      </c>
      <c r="M76" s="44" t="str">
        <f aca="false">IF(AND(ISNUMBER(M12),ISNUMBER(L12),L12&lt;&gt;0),M12/L12-1,"")</f>
        <v/>
      </c>
      <c r="N76" s="44" t="str">
        <f aca="false">IF(AND(ISNUMBER(N12),ISNUMBER(M12),M12&lt;&gt;0),N12/M12-1,"")</f>
        <v/>
      </c>
    </row>
    <row r="77" customFormat="false" ht="15" hidden="false" customHeight="false" outlineLevel="0" collapsed="false">
      <c r="A77" s="61" t="s">
        <v>926</v>
      </c>
      <c r="C77" s="5" t="s">
        <v>927</v>
      </c>
      <c r="F77" s="44" t="str">
        <f aca="false">IF(AND(ISNUMBER(F13),ISNUMBER(E13),E13&lt;&gt;0),F13/E13-1,"")</f>
        <v/>
      </c>
      <c r="G77" s="44" t="str">
        <f aca="false">IF(AND(ISNUMBER(G13),ISNUMBER(F13),F13&lt;&gt;0),G13/F13-1,"")</f>
        <v/>
      </c>
      <c r="H77" s="44" t="str">
        <f aca="false">IF(AND(ISNUMBER(H13),ISNUMBER(G13),G13&lt;&gt;0),H13/G13-1,"")</f>
        <v/>
      </c>
      <c r="I77" s="44" t="str">
        <f aca="false">IF(AND(ISNUMBER(I13),ISNUMBER(H13),H13&lt;&gt;0),I13/H13-1,"")</f>
        <v/>
      </c>
      <c r="J77" s="44" t="str">
        <f aca="false">IF(AND(ISNUMBER(J13),ISNUMBER(I13),I13&lt;&gt;0),J13/I13-1,"")</f>
        <v/>
      </c>
      <c r="K77" s="44" t="str">
        <f aca="false">IF(AND(ISNUMBER(K13),ISNUMBER(J13),J13&lt;&gt;0),K13/J13-1,"")</f>
        <v/>
      </c>
      <c r="L77" s="44" t="str">
        <f aca="false">IF(AND(ISNUMBER(L13),ISNUMBER(K13),K13&lt;&gt;0),L13/K13-1,"")</f>
        <v/>
      </c>
      <c r="M77" s="44" t="str">
        <f aca="false">IF(AND(ISNUMBER(M13),ISNUMBER(L13),L13&lt;&gt;0),M13/L13-1,"")</f>
        <v/>
      </c>
      <c r="N77" s="44" t="str">
        <f aca="false">IF(AND(ISNUMBER(N13),ISNUMBER(M13),M13&lt;&gt;0),N13/M13-1,"")</f>
        <v/>
      </c>
    </row>
    <row r="78" customFormat="false" ht="15" hidden="false" customHeight="false" outlineLevel="0" collapsed="false">
      <c r="A78" s="61" t="s">
        <v>928</v>
      </c>
      <c r="C78" s="5" t="s">
        <v>930</v>
      </c>
      <c r="F78" s="44" t="n">
        <f aca="false">IF(AND(ISNUMBER(F14),ISNUMBER(E14),E14&lt;&gt;0),F14/E14-1,"")</f>
        <v>-0.0946969696969697</v>
      </c>
      <c r="G78" s="44" t="n">
        <f aca="false">IF(AND(ISNUMBER(G14),ISNUMBER(F14),F14&lt;&gt;0),G14/F14-1,"")</f>
        <v>0</v>
      </c>
      <c r="H78" s="44" t="str">
        <f aca="false">IF(AND(ISNUMBER(H14),ISNUMBER(G14),G14&lt;&gt;0),H14/G14-1,"")</f>
        <v/>
      </c>
      <c r="I78" s="44" t="str">
        <f aca="false">IF(AND(ISNUMBER(I14),ISNUMBER(H14),H14&lt;&gt;0),I14/H14-1,"")</f>
        <v/>
      </c>
      <c r="J78" s="44" t="str">
        <f aca="false">IF(AND(ISNUMBER(J14),ISNUMBER(I14),I14&lt;&gt;0),J14/I14-1,"")</f>
        <v/>
      </c>
      <c r="K78" s="44" t="str">
        <f aca="false">IF(AND(ISNUMBER(K14),ISNUMBER(J14),J14&lt;&gt;0),K14/J14-1,"")</f>
        <v/>
      </c>
      <c r="L78" s="44" t="str">
        <f aca="false">IF(AND(ISNUMBER(L14),ISNUMBER(K14),K14&lt;&gt;0),L14/K14-1,"")</f>
        <v/>
      </c>
      <c r="M78" s="44" t="str">
        <f aca="false">IF(AND(ISNUMBER(M14),ISNUMBER(L14),L14&lt;&gt;0),M14/L14-1,"")</f>
        <v/>
      </c>
      <c r="N78" s="44" t="str">
        <f aca="false">IF(AND(ISNUMBER(N14),ISNUMBER(M14),M14&lt;&gt;0),N14/M14-1,"")</f>
        <v/>
      </c>
    </row>
    <row r="79" customFormat="false" ht="15" hidden="false" customHeight="false" outlineLevel="0" collapsed="false">
      <c r="A79" s="61" t="s">
        <v>931</v>
      </c>
      <c r="C79" s="5" t="s">
        <v>932</v>
      </c>
      <c r="F79" s="44" t="n">
        <f aca="false">IF(AND(ISNUMBER(F15),ISNUMBER(E15),E15&lt;&gt;0),F15/E15-1,"")</f>
        <v>0.00740740740740731</v>
      </c>
      <c r="G79" s="44" t="n">
        <f aca="false">IF(AND(ISNUMBER(G15),ISNUMBER(F15),F15&lt;&gt;0),G15/F15-1,"")</f>
        <v>-0.0367647058823529</v>
      </c>
      <c r="H79" s="44" t="str">
        <f aca="false">IF(AND(ISNUMBER(H15),ISNUMBER(G15),G15&lt;&gt;0),H15/G15-1,"")</f>
        <v/>
      </c>
      <c r="I79" s="44" t="str">
        <f aca="false">IF(AND(ISNUMBER(I15),ISNUMBER(H15),H15&lt;&gt;0),I15/H15-1,"")</f>
        <v/>
      </c>
      <c r="J79" s="44" t="str">
        <f aca="false">IF(AND(ISNUMBER(J15),ISNUMBER(I15),I15&lt;&gt;0),J15/I15-1,"")</f>
        <v/>
      </c>
      <c r="K79" s="44" t="str">
        <f aca="false">IF(AND(ISNUMBER(K15),ISNUMBER(J15),J15&lt;&gt;0),K15/J15-1,"")</f>
        <v/>
      </c>
      <c r="L79" s="44" t="str">
        <f aca="false">IF(AND(ISNUMBER(L15),ISNUMBER(K15),K15&lt;&gt;0),L15/K15-1,"")</f>
        <v/>
      </c>
      <c r="M79" s="44" t="str">
        <f aca="false">IF(AND(ISNUMBER(M15),ISNUMBER(L15),L15&lt;&gt;0),M15/L15-1,"")</f>
        <v/>
      </c>
      <c r="N79" s="44" t="str">
        <f aca="false">IF(AND(ISNUMBER(N15),ISNUMBER(M15),M15&lt;&gt;0),N15/M15-1,"")</f>
        <v/>
      </c>
    </row>
    <row r="80" customFormat="false" ht="15" hidden="false" customHeight="false" outlineLevel="0" collapsed="false">
      <c r="A80" s="61" t="s">
        <v>933</v>
      </c>
      <c r="C80" s="5" t="s">
        <v>934</v>
      </c>
      <c r="F80" s="44" t="str">
        <f aca="false">IF(AND(ISNUMBER(F16),ISNUMBER(E16),E16&lt;&gt;0),F16/E16-1,"")</f>
        <v/>
      </c>
      <c r="G80" s="44" t="str">
        <f aca="false">IF(AND(ISNUMBER(G16),ISNUMBER(F16),F16&lt;&gt;0),G16/F16-1,"")</f>
        <v/>
      </c>
      <c r="H80" s="44" t="str">
        <f aca="false">IF(AND(ISNUMBER(H16),ISNUMBER(G16),G16&lt;&gt;0),H16/G16-1,"")</f>
        <v/>
      </c>
      <c r="I80" s="44" t="str">
        <f aca="false">IF(AND(ISNUMBER(I16),ISNUMBER(H16),H16&lt;&gt;0),I16/H16-1,"")</f>
        <v/>
      </c>
      <c r="J80" s="44" t="str">
        <f aca="false">IF(AND(ISNUMBER(J16),ISNUMBER(I16),I16&lt;&gt;0),J16/I16-1,"")</f>
        <v/>
      </c>
      <c r="K80" s="44" t="str">
        <f aca="false">IF(AND(ISNUMBER(K16),ISNUMBER(J16),J16&lt;&gt;0),K16/J16-1,"")</f>
        <v/>
      </c>
      <c r="L80" s="44" t="str">
        <f aca="false">IF(AND(ISNUMBER(L16),ISNUMBER(K16),K16&lt;&gt;0),L16/K16-1,"")</f>
        <v/>
      </c>
      <c r="M80" s="44" t="str">
        <f aca="false">IF(AND(ISNUMBER(M16),ISNUMBER(L16),L16&lt;&gt;0),M16/L16-1,"")</f>
        <v/>
      </c>
      <c r="N80" s="44" t="str">
        <f aca="false">IF(AND(ISNUMBER(N16),ISNUMBER(M16),M16&lt;&gt;0),N16/M16-1,"")</f>
        <v/>
      </c>
    </row>
    <row r="81" customFormat="false" ht="15" hidden="false" customHeight="false" outlineLevel="0" collapsed="false">
      <c r="A81" s="61" t="s">
        <v>935</v>
      </c>
      <c r="C81" s="5" t="s">
        <v>936</v>
      </c>
      <c r="F81" s="44" t="str">
        <f aca="false">IF(AND(ISNUMBER(F17),ISNUMBER(E17),E17&lt;&gt;0),F17/E17-1,"")</f>
        <v/>
      </c>
      <c r="G81" s="44" t="str">
        <f aca="false">IF(AND(ISNUMBER(G17),ISNUMBER(F17),F17&lt;&gt;0),G17/F17-1,"")</f>
        <v/>
      </c>
      <c r="H81" s="44" t="str">
        <f aca="false">IF(AND(ISNUMBER(H17),ISNUMBER(G17),G17&lt;&gt;0),H17/G17-1,"")</f>
        <v/>
      </c>
      <c r="I81" s="44" t="str">
        <f aca="false">IF(AND(ISNUMBER(I17),ISNUMBER(H17),H17&lt;&gt;0),I17/H17-1,"")</f>
        <v/>
      </c>
      <c r="J81" s="44" t="str">
        <f aca="false">IF(AND(ISNUMBER(J17),ISNUMBER(I17),I17&lt;&gt;0),J17/I17-1,"")</f>
        <v/>
      </c>
      <c r="K81" s="44" t="str">
        <f aca="false">IF(AND(ISNUMBER(K17),ISNUMBER(J17),J17&lt;&gt;0),K17/J17-1,"")</f>
        <v/>
      </c>
      <c r="L81" s="44" t="str">
        <f aca="false">IF(AND(ISNUMBER(L17),ISNUMBER(K17),K17&lt;&gt;0),L17/K17-1,"")</f>
        <v/>
      </c>
      <c r="M81" s="44" t="str">
        <f aca="false">IF(AND(ISNUMBER(M17),ISNUMBER(L17),L17&lt;&gt;0),M17/L17-1,"")</f>
        <v/>
      </c>
      <c r="N81" s="44" t="str">
        <f aca="false">IF(AND(ISNUMBER(N17),ISNUMBER(M17),M17&lt;&gt;0),N17/M17-1,"")</f>
        <v/>
      </c>
    </row>
    <row r="82" customFormat="false" ht="15" hidden="false" customHeight="false" outlineLevel="0" collapsed="false">
      <c r="A82" s="61" t="s">
        <v>937</v>
      </c>
      <c r="C82" s="5" t="s">
        <v>938</v>
      </c>
      <c r="F82" s="44" t="str">
        <f aca="false">IF(AND(ISNUMBER(F18),ISNUMBER(E18),E18&lt;&gt;0),F18/E18-1,"")</f>
        <v/>
      </c>
      <c r="G82" s="44" t="str">
        <f aca="false">IF(AND(ISNUMBER(G18),ISNUMBER(F18),F18&lt;&gt;0),G18/F18-1,"")</f>
        <v/>
      </c>
      <c r="H82" s="44" t="str">
        <f aca="false">IF(AND(ISNUMBER(H18),ISNUMBER(G18),G18&lt;&gt;0),H18/G18-1,"")</f>
        <v/>
      </c>
      <c r="I82" s="44" t="str">
        <f aca="false">IF(AND(ISNUMBER(I18),ISNUMBER(H18),H18&lt;&gt;0),I18/H18-1,"")</f>
        <v/>
      </c>
      <c r="J82" s="44" t="str">
        <f aca="false">IF(AND(ISNUMBER(J18),ISNUMBER(I18),I18&lt;&gt;0),J18/I18-1,"")</f>
        <v/>
      </c>
      <c r="K82" s="44" t="str">
        <f aca="false">IF(AND(ISNUMBER(K18),ISNUMBER(J18),J18&lt;&gt;0),K18/J18-1,"")</f>
        <v/>
      </c>
      <c r="L82" s="44" t="str">
        <f aca="false">IF(AND(ISNUMBER(L18),ISNUMBER(K18),K18&lt;&gt;0),L18/K18-1,"")</f>
        <v/>
      </c>
      <c r="M82" s="44" t="str">
        <f aca="false">IF(AND(ISNUMBER(M18),ISNUMBER(L18),L18&lt;&gt;0),M18/L18-1,"")</f>
        <v/>
      </c>
      <c r="N82" s="44" t="str">
        <f aca="false">IF(AND(ISNUMBER(N18),ISNUMBER(M18),M18&lt;&gt;0),N18/M18-1,"")</f>
        <v/>
      </c>
    </row>
    <row r="83" customFormat="false" ht="15" hidden="false" customHeight="false" outlineLevel="0" collapsed="false">
      <c r="A83" s="61" t="s">
        <v>939</v>
      </c>
      <c r="C83" s="5" t="s">
        <v>940</v>
      </c>
      <c r="F83" s="44" t="str">
        <f aca="false">IF(AND(ISNUMBER(F19),ISNUMBER(E19),E19&lt;&gt;0),F19/E19-1,"")</f>
        <v/>
      </c>
      <c r="G83" s="44" t="str">
        <f aca="false">IF(AND(ISNUMBER(G19),ISNUMBER(F19),F19&lt;&gt;0),G19/F19-1,"")</f>
        <v/>
      </c>
      <c r="H83" s="44" t="str">
        <f aca="false">IF(AND(ISNUMBER(H19),ISNUMBER(G19),G19&lt;&gt;0),H19/G19-1,"")</f>
        <v/>
      </c>
      <c r="I83" s="44" t="str">
        <f aca="false">IF(AND(ISNUMBER(I19),ISNUMBER(H19),H19&lt;&gt;0),I19/H19-1,"")</f>
        <v/>
      </c>
      <c r="J83" s="44" t="str">
        <f aca="false">IF(AND(ISNUMBER(J19),ISNUMBER(I19),I19&lt;&gt;0),J19/I19-1,"")</f>
        <v/>
      </c>
      <c r="K83" s="44" t="str">
        <f aca="false">IF(AND(ISNUMBER(K19),ISNUMBER(J19),J19&lt;&gt;0),K19/J19-1,"")</f>
        <v/>
      </c>
      <c r="L83" s="44" t="str">
        <f aca="false">IF(AND(ISNUMBER(L19),ISNUMBER(K19),K19&lt;&gt;0),L19/K19-1,"")</f>
        <v/>
      </c>
      <c r="M83" s="44" t="str">
        <f aca="false">IF(AND(ISNUMBER(M19),ISNUMBER(L19),L19&lt;&gt;0),M19/L19-1,"")</f>
        <v/>
      </c>
      <c r="N83" s="44" t="str">
        <f aca="false">IF(AND(ISNUMBER(N19),ISNUMBER(M19),M19&lt;&gt;0),N19/M19-1,"")</f>
        <v/>
      </c>
    </row>
    <row r="84" customFormat="false" ht="15" hidden="false" customHeight="false" outlineLevel="0" collapsed="false">
      <c r="A84" s="61" t="s">
        <v>941</v>
      </c>
      <c r="C84" s="5" t="s">
        <v>942</v>
      </c>
      <c r="F84" s="44" t="str">
        <f aca="false">IF(AND(ISNUMBER(F20),ISNUMBER(E20),E20&lt;&gt;0),F20/E20-1,"")</f>
        <v/>
      </c>
      <c r="G84" s="44" t="str">
        <f aca="false">IF(AND(ISNUMBER(G20),ISNUMBER(F20),F20&lt;&gt;0),G20/F20-1,"")</f>
        <v/>
      </c>
      <c r="H84" s="44" t="str">
        <f aca="false">IF(AND(ISNUMBER(H20),ISNUMBER(G20),G20&lt;&gt;0),H20/G20-1,"")</f>
        <v/>
      </c>
      <c r="I84" s="44" t="str">
        <f aca="false">IF(AND(ISNUMBER(I20),ISNUMBER(H20),H20&lt;&gt;0),I20/H20-1,"")</f>
        <v/>
      </c>
      <c r="J84" s="44" t="str">
        <f aca="false">IF(AND(ISNUMBER(J20),ISNUMBER(I20),I20&lt;&gt;0),J20/I20-1,"")</f>
        <v/>
      </c>
      <c r="K84" s="44" t="str">
        <f aca="false">IF(AND(ISNUMBER(K20),ISNUMBER(J20),J20&lt;&gt;0),K20/J20-1,"")</f>
        <v/>
      </c>
      <c r="L84" s="44" t="str">
        <f aca="false">IF(AND(ISNUMBER(L20),ISNUMBER(K20),K20&lt;&gt;0),L20/K20-1,"")</f>
        <v/>
      </c>
      <c r="M84" s="44" t="str">
        <f aca="false">IF(AND(ISNUMBER(M20),ISNUMBER(L20),L20&lt;&gt;0),M20/L20-1,"")</f>
        <v/>
      </c>
      <c r="N84" s="44" t="str">
        <f aca="false">IF(AND(ISNUMBER(N20),ISNUMBER(M20),M20&lt;&gt;0),N20/M20-1,"")</f>
        <v/>
      </c>
    </row>
    <row r="85" customFormat="false" ht="15" hidden="false" customHeight="false" outlineLevel="0" collapsed="false">
      <c r="A85" s="61" t="s">
        <v>943</v>
      </c>
      <c r="C85" s="5" t="s">
        <v>944</v>
      </c>
      <c r="F85" s="44" t="str">
        <f aca="false">IF(AND(ISNUMBER(F21),ISNUMBER(E21),E21&lt;&gt;0),F21/E21-1,"")</f>
        <v/>
      </c>
      <c r="G85" s="44" t="str">
        <f aca="false">IF(AND(ISNUMBER(G21),ISNUMBER(F21),F21&lt;&gt;0),G21/F21-1,"")</f>
        <v/>
      </c>
      <c r="H85" s="44" t="str">
        <f aca="false">IF(AND(ISNUMBER(H21),ISNUMBER(G21),G21&lt;&gt;0),H21/G21-1,"")</f>
        <v/>
      </c>
      <c r="I85" s="44" t="str">
        <f aca="false">IF(AND(ISNUMBER(I21),ISNUMBER(H21),H21&lt;&gt;0),I21/H21-1,"")</f>
        <v/>
      </c>
      <c r="J85" s="44" t="str">
        <f aca="false">IF(AND(ISNUMBER(J21),ISNUMBER(I21),I21&lt;&gt;0),J21/I21-1,"")</f>
        <v/>
      </c>
      <c r="K85" s="44" t="str">
        <f aca="false">IF(AND(ISNUMBER(K21),ISNUMBER(J21),J21&lt;&gt;0),K21/J21-1,"")</f>
        <v/>
      </c>
      <c r="L85" s="44" t="str">
        <f aca="false">IF(AND(ISNUMBER(L21),ISNUMBER(K21),K21&lt;&gt;0),L21/K21-1,"")</f>
        <v/>
      </c>
      <c r="M85" s="44" t="str">
        <f aca="false">IF(AND(ISNUMBER(M21),ISNUMBER(L21),L21&lt;&gt;0),M21/L21-1,"")</f>
        <v/>
      </c>
      <c r="N85" s="44" t="str">
        <f aca="false">IF(AND(ISNUMBER(N21),ISNUMBER(M21),M21&lt;&gt;0),N21/M21-1,"")</f>
        <v/>
      </c>
    </row>
    <row r="86" customFormat="false" ht="15" hidden="false" customHeight="false" outlineLevel="0" collapsed="false">
      <c r="A86" s="61" t="s">
        <v>945</v>
      </c>
      <c r="C86" s="5" t="s">
        <v>946</v>
      </c>
      <c r="F86" s="44" t="n">
        <f aca="false">IF(AND(ISNUMBER(F22),ISNUMBER(E22),E22&lt;&gt;0),F22/E22-1,"")</f>
        <v>-0.133333333333333</v>
      </c>
      <c r="G86" s="44" t="n">
        <f aca="false">IF(AND(ISNUMBER(G22),ISNUMBER(F22),F22&lt;&gt;0),G22/F22-1,"")</f>
        <v>0.0461538461538462</v>
      </c>
      <c r="H86" s="44" t="str">
        <f aca="false">IF(AND(ISNUMBER(H22),ISNUMBER(G22),G22&lt;&gt;0),H22/G22-1,"")</f>
        <v/>
      </c>
      <c r="I86" s="44" t="str">
        <f aca="false">IF(AND(ISNUMBER(I22),ISNUMBER(H22),H22&lt;&gt;0),I22/H22-1,"")</f>
        <v/>
      </c>
      <c r="J86" s="44" t="str">
        <f aca="false">IF(AND(ISNUMBER(J22),ISNUMBER(I22),I22&lt;&gt;0),J22/I22-1,"")</f>
        <v/>
      </c>
      <c r="K86" s="44" t="str">
        <f aca="false">IF(AND(ISNUMBER(K22),ISNUMBER(J22),J22&lt;&gt;0),K22/J22-1,"")</f>
        <v/>
      </c>
      <c r="L86" s="44" t="str">
        <f aca="false">IF(AND(ISNUMBER(L22),ISNUMBER(K22),K22&lt;&gt;0),L22/K22-1,"")</f>
        <v/>
      </c>
      <c r="M86" s="44" t="str">
        <f aca="false">IF(AND(ISNUMBER(M22),ISNUMBER(L22),L22&lt;&gt;0),M22/L22-1,"")</f>
        <v/>
      </c>
      <c r="N86" s="44" t="str">
        <f aca="false">IF(AND(ISNUMBER(N22),ISNUMBER(M22),M22&lt;&gt;0),N22/M22-1,"")</f>
        <v/>
      </c>
    </row>
    <row r="87" customFormat="false" ht="15" hidden="false" customHeight="false" outlineLevel="0" collapsed="false">
      <c r="A87" s="61" t="s">
        <v>947</v>
      </c>
      <c r="C87" s="5" t="s">
        <v>948</v>
      </c>
      <c r="F87" s="44" t="n">
        <f aca="false">IF(AND(ISNUMBER(F23),ISNUMBER(E23),E23&lt;&gt;0),F23/E23-1,"")</f>
        <v>0.0166666666666666</v>
      </c>
      <c r="G87" s="44" t="n">
        <f aca="false">IF(AND(ISNUMBER(G23),ISNUMBER(F23),F23&lt;&gt;0),G23/F23-1,"")</f>
        <v>0.0163934426229508</v>
      </c>
      <c r="H87" s="44" t="str">
        <f aca="false">IF(AND(ISNUMBER(H23),ISNUMBER(G23),G23&lt;&gt;0),H23/G23-1,"")</f>
        <v/>
      </c>
      <c r="I87" s="44" t="str">
        <f aca="false">IF(AND(ISNUMBER(I23),ISNUMBER(H23),H23&lt;&gt;0),I23/H23-1,"")</f>
        <v/>
      </c>
      <c r="J87" s="44" t="str">
        <f aca="false">IF(AND(ISNUMBER(J23),ISNUMBER(I23),I23&lt;&gt;0),J23/I23-1,"")</f>
        <v/>
      </c>
      <c r="K87" s="44" t="str">
        <f aca="false">IF(AND(ISNUMBER(K23),ISNUMBER(J23),J23&lt;&gt;0),K23/J23-1,"")</f>
        <v/>
      </c>
      <c r="L87" s="44" t="str">
        <f aca="false">IF(AND(ISNUMBER(L23),ISNUMBER(K23),K23&lt;&gt;0),L23/K23-1,"")</f>
        <v/>
      </c>
      <c r="M87" s="44" t="str">
        <f aca="false">IF(AND(ISNUMBER(M23),ISNUMBER(L23),L23&lt;&gt;0),M23/L23-1,"")</f>
        <v/>
      </c>
      <c r="N87" s="44" t="str">
        <f aca="false">IF(AND(ISNUMBER(N23),ISNUMBER(M23),M23&lt;&gt;0),N23/M23-1,"")</f>
        <v/>
      </c>
    </row>
    <row r="88" customFormat="false" ht="15" hidden="false" customHeight="false" outlineLevel="0" collapsed="false">
      <c r="A88" s="61" t="s">
        <v>949</v>
      </c>
      <c r="C88" s="5" t="s">
        <v>950</v>
      </c>
      <c r="F88" s="44" t="str">
        <f aca="false">IF(AND(ISNUMBER(F24),ISNUMBER(E24),E24&lt;&gt;0),F24/E24-1,"")</f>
        <v/>
      </c>
      <c r="G88" s="44" t="str">
        <f aca="false">IF(AND(ISNUMBER(G24),ISNUMBER(F24),F24&lt;&gt;0),G24/F24-1,"")</f>
        <v/>
      </c>
      <c r="H88" s="44" t="str">
        <f aca="false">IF(AND(ISNUMBER(H24),ISNUMBER(G24),G24&lt;&gt;0),H24/G24-1,"")</f>
        <v/>
      </c>
      <c r="I88" s="44" t="str">
        <f aca="false">IF(AND(ISNUMBER(I24),ISNUMBER(H24),H24&lt;&gt;0),I24/H24-1,"")</f>
        <v/>
      </c>
      <c r="J88" s="44" t="str">
        <f aca="false">IF(AND(ISNUMBER(J24),ISNUMBER(I24),I24&lt;&gt;0),J24/I24-1,"")</f>
        <v/>
      </c>
      <c r="K88" s="44" t="str">
        <f aca="false">IF(AND(ISNUMBER(K24),ISNUMBER(J24),J24&lt;&gt;0),K24/J24-1,"")</f>
        <v/>
      </c>
      <c r="L88" s="44" t="str">
        <f aca="false">IF(AND(ISNUMBER(L24),ISNUMBER(K24),K24&lt;&gt;0),L24/K24-1,"")</f>
        <v/>
      </c>
      <c r="M88" s="44" t="str">
        <f aca="false">IF(AND(ISNUMBER(M24),ISNUMBER(L24),L24&lt;&gt;0),M24/L24-1,"")</f>
        <v/>
      </c>
      <c r="N88" s="44" t="str">
        <f aca="false">IF(AND(ISNUMBER(N24),ISNUMBER(M24),M24&lt;&gt;0),N24/M24-1,"")</f>
        <v/>
      </c>
    </row>
    <row r="89" customFormat="false" ht="15" hidden="false" customHeight="false" outlineLevel="0" collapsed="false">
      <c r="A89" s="61" t="s">
        <v>951</v>
      </c>
      <c r="C89" s="5" t="s">
        <v>952</v>
      </c>
      <c r="F89" s="44" t="str">
        <f aca="false">IF(AND(ISNUMBER(F25),ISNUMBER(E25),E25&lt;&gt;0),F25/E25-1,"")</f>
        <v/>
      </c>
      <c r="G89" s="44" t="str">
        <f aca="false">IF(AND(ISNUMBER(G25),ISNUMBER(F25),F25&lt;&gt;0),G25/F25-1,"")</f>
        <v/>
      </c>
      <c r="H89" s="44" t="str">
        <f aca="false">IF(AND(ISNUMBER(H25),ISNUMBER(G25),G25&lt;&gt;0),H25/G25-1,"")</f>
        <v/>
      </c>
      <c r="I89" s="44" t="str">
        <f aca="false">IF(AND(ISNUMBER(I25),ISNUMBER(H25),H25&lt;&gt;0),I25/H25-1,"")</f>
        <v/>
      </c>
      <c r="J89" s="44" t="str">
        <f aca="false">IF(AND(ISNUMBER(J25),ISNUMBER(I25),I25&lt;&gt;0),J25/I25-1,"")</f>
        <v/>
      </c>
      <c r="K89" s="44" t="str">
        <f aca="false">IF(AND(ISNUMBER(K25),ISNUMBER(J25),J25&lt;&gt;0),K25/J25-1,"")</f>
        <v/>
      </c>
      <c r="L89" s="44" t="str">
        <f aca="false">IF(AND(ISNUMBER(L25),ISNUMBER(K25),K25&lt;&gt;0),L25/K25-1,"")</f>
        <v/>
      </c>
      <c r="M89" s="44" t="str">
        <f aca="false">IF(AND(ISNUMBER(M25),ISNUMBER(L25),L25&lt;&gt;0),M25/L25-1,"")</f>
        <v/>
      </c>
      <c r="N89" s="44" t="str">
        <f aca="false">IF(AND(ISNUMBER(N25),ISNUMBER(M25),M25&lt;&gt;0),N25/M25-1,"")</f>
        <v/>
      </c>
    </row>
    <row r="90" customFormat="false" ht="15" hidden="false" customHeight="false" outlineLevel="0" collapsed="false">
      <c r="A90" s="61" t="s">
        <v>953</v>
      </c>
      <c r="C90" s="5" t="s">
        <v>954</v>
      </c>
      <c r="F90" s="44" t="str">
        <f aca="false">IF(AND(ISNUMBER(F26),ISNUMBER(E26),E26&lt;&gt;0),F26/E26-1,"")</f>
        <v/>
      </c>
      <c r="G90" s="44" t="str">
        <f aca="false">IF(AND(ISNUMBER(G26),ISNUMBER(F26),F26&lt;&gt;0),G26/F26-1,"")</f>
        <v/>
      </c>
      <c r="H90" s="44" t="str">
        <f aca="false">IF(AND(ISNUMBER(H26),ISNUMBER(G26),G26&lt;&gt;0),H26/G26-1,"")</f>
        <v/>
      </c>
      <c r="I90" s="44" t="str">
        <f aca="false">IF(AND(ISNUMBER(I26),ISNUMBER(H26),H26&lt;&gt;0),I26/H26-1,"")</f>
        <v/>
      </c>
      <c r="J90" s="44" t="str">
        <f aca="false">IF(AND(ISNUMBER(J26),ISNUMBER(I26),I26&lt;&gt;0),J26/I26-1,"")</f>
        <v/>
      </c>
      <c r="K90" s="44" t="str">
        <f aca="false">IF(AND(ISNUMBER(K26),ISNUMBER(J26),J26&lt;&gt;0),K26/J26-1,"")</f>
        <v/>
      </c>
      <c r="L90" s="44" t="str">
        <f aca="false">IF(AND(ISNUMBER(L26),ISNUMBER(K26),K26&lt;&gt;0),L26/K26-1,"")</f>
        <v/>
      </c>
      <c r="M90" s="44" t="str">
        <f aca="false">IF(AND(ISNUMBER(M26),ISNUMBER(L26),L26&lt;&gt;0),M26/L26-1,"")</f>
        <v/>
      </c>
      <c r="N90" s="44" t="str">
        <f aca="false">IF(AND(ISNUMBER(N26),ISNUMBER(M26),M26&lt;&gt;0),N26/M26-1,"")</f>
        <v/>
      </c>
    </row>
    <row r="91" customFormat="false" ht="15" hidden="false" customHeight="false" outlineLevel="0" collapsed="false">
      <c r="A91" s="61" t="s">
        <v>955</v>
      </c>
      <c r="C91" s="5" t="s">
        <v>956</v>
      </c>
      <c r="F91" s="44" t="str">
        <f aca="false">IF(AND(ISNUMBER(F27),ISNUMBER(E27),E27&lt;&gt;0),F27/E27-1,"")</f>
        <v/>
      </c>
      <c r="G91" s="44" t="str">
        <f aca="false">IF(AND(ISNUMBER(G27),ISNUMBER(F27),F27&lt;&gt;0),G27/F27-1,"")</f>
        <v/>
      </c>
      <c r="H91" s="44" t="str">
        <f aca="false">IF(AND(ISNUMBER(H27),ISNUMBER(G27),G27&lt;&gt;0),H27/G27-1,"")</f>
        <v/>
      </c>
      <c r="I91" s="44" t="str">
        <f aca="false">IF(AND(ISNUMBER(I27),ISNUMBER(H27),H27&lt;&gt;0),I27/H27-1,"")</f>
        <v/>
      </c>
      <c r="J91" s="44" t="str">
        <f aca="false">IF(AND(ISNUMBER(J27),ISNUMBER(I27),I27&lt;&gt;0),J27/I27-1,"")</f>
        <v/>
      </c>
      <c r="K91" s="44" t="str">
        <f aca="false">IF(AND(ISNUMBER(K27),ISNUMBER(J27),J27&lt;&gt;0),K27/J27-1,"")</f>
        <v/>
      </c>
      <c r="L91" s="44" t="str">
        <f aca="false">IF(AND(ISNUMBER(L27),ISNUMBER(K27),K27&lt;&gt;0),L27/K27-1,"")</f>
        <v/>
      </c>
      <c r="M91" s="44" t="str">
        <f aca="false">IF(AND(ISNUMBER(M27),ISNUMBER(L27),L27&lt;&gt;0),M27/L27-1,"")</f>
        <v/>
      </c>
      <c r="N91" s="44" t="str">
        <f aca="false">IF(AND(ISNUMBER(N27),ISNUMBER(M27),M27&lt;&gt;0),N27/M27-1,"")</f>
        <v/>
      </c>
    </row>
    <row r="92" customFormat="false" ht="15" hidden="false" customHeight="false" outlineLevel="0" collapsed="false">
      <c r="A92" s="61" t="s">
        <v>957</v>
      </c>
      <c r="C92" s="5" t="s">
        <v>958</v>
      </c>
      <c r="F92" s="44" t="str">
        <f aca="false">IF(AND(ISNUMBER(F28),ISNUMBER(E28),E28&lt;&gt;0),F28/E28-1,"")</f>
        <v/>
      </c>
      <c r="G92" s="44" t="str">
        <f aca="false">IF(AND(ISNUMBER(G28),ISNUMBER(F28),F28&lt;&gt;0),G28/F28-1,"")</f>
        <v/>
      </c>
      <c r="H92" s="44" t="str">
        <f aca="false">IF(AND(ISNUMBER(H28),ISNUMBER(G28),G28&lt;&gt;0),H28/G28-1,"")</f>
        <v/>
      </c>
      <c r="I92" s="44" t="str">
        <f aca="false">IF(AND(ISNUMBER(I28),ISNUMBER(H28),H28&lt;&gt;0),I28/H28-1,"")</f>
        <v/>
      </c>
      <c r="J92" s="44" t="str">
        <f aca="false">IF(AND(ISNUMBER(J28),ISNUMBER(I28),I28&lt;&gt;0),J28/I28-1,"")</f>
        <v/>
      </c>
      <c r="K92" s="44" t="str">
        <f aca="false">IF(AND(ISNUMBER(K28),ISNUMBER(J28),J28&lt;&gt;0),K28/J28-1,"")</f>
        <v/>
      </c>
      <c r="L92" s="44" t="str">
        <f aca="false">IF(AND(ISNUMBER(L28),ISNUMBER(K28),K28&lt;&gt;0),L28/K28-1,"")</f>
        <v/>
      </c>
      <c r="M92" s="44" t="str">
        <f aca="false">IF(AND(ISNUMBER(M28),ISNUMBER(L28),L28&lt;&gt;0),M28/L28-1,"")</f>
        <v/>
      </c>
      <c r="N92" s="44" t="str">
        <f aca="false">IF(AND(ISNUMBER(N28),ISNUMBER(M28),M28&lt;&gt;0),N28/M28-1,"")</f>
        <v/>
      </c>
    </row>
    <row r="93" customFormat="false" ht="15" hidden="false" customHeight="false" outlineLevel="0" collapsed="false">
      <c r="A93" s="61" t="s">
        <v>959</v>
      </c>
      <c r="C93" s="5" t="s">
        <v>960</v>
      </c>
      <c r="F93" s="44" t="str">
        <f aca="false">IF(AND(ISNUMBER(F29),ISNUMBER(E29),E29&lt;&gt;0),F29/E29-1,"")</f>
        <v/>
      </c>
      <c r="G93" s="44" t="str">
        <f aca="false">IF(AND(ISNUMBER(G29),ISNUMBER(F29),F29&lt;&gt;0),G29/F29-1,"")</f>
        <v/>
      </c>
      <c r="H93" s="44" t="str">
        <f aca="false">IF(AND(ISNUMBER(H29),ISNUMBER(G29),G29&lt;&gt;0),H29/G29-1,"")</f>
        <v/>
      </c>
      <c r="I93" s="44" t="str">
        <f aca="false">IF(AND(ISNUMBER(I29),ISNUMBER(H29),H29&lt;&gt;0),I29/H29-1,"")</f>
        <v/>
      </c>
      <c r="J93" s="44" t="str">
        <f aca="false">IF(AND(ISNUMBER(J29),ISNUMBER(I29),I29&lt;&gt;0),J29/I29-1,"")</f>
        <v/>
      </c>
      <c r="K93" s="44" t="str">
        <f aca="false">IF(AND(ISNUMBER(K29),ISNUMBER(J29),J29&lt;&gt;0),K29/J29-1,"")</f>
        <v/>
      </c>
      <c r="L93" s="44" t="str">
        <f aca="false">IF(AND(ISNUMBER(L29),ISNUMBER(K29),K29&lt;&gt;0),L29/K29-1,"")</f>
        <v/>
      </c>
      <c r="M93" s="44" t="str">
        <f aca="false">IF(AND(ISNUMBER(M29),ISNUMBER(L29),L29&lt;&gt;0),M29/L29-1,"")</f>
        <v/>
      </c>
      <c r="N93" s="44" t="str">
        <f aca="false">IF(AND(ISNUMBER(N29),ISNUMBER(M29),M29&lt;&gt;0),N29/M29-1,"")</f>
        <v/>
      </c>
    </row>
    <row r="94" customFormat="false" ht="23.85" hidden="false" customHeight="false" outlineLevel="0" collapsed="false">
      <c r="A94" s="61" t="s">
        <v>961</v>
      </c>
      <c r="C94" s="5" t="s">
        <v>962</v>
      </c>
      <c r="F94" s="44" t="str">
        <f aca="false">IF(AND(ISNUMBER(F30),ISNUMBER(E30),E30&lt;&gt;0),F30/E30-1,"")</f>
        <v/>
      </c>
      <c r="G94" s="44" t="str">
        <f aca="false">IF(AND(ISNUMBER(G30),ISNUMBER(F30),F30&lt;&gt;0),G30/F30-1,"")</f>
        <v/>
      </c>
      <c r="H94" s="44" t="str">
        <f aca="false">IF(AND(ISNUMBER(H30),ISNUMBER(G30),G30&lt;&gt;0),H30/G30-1,"")</f>
        <v/>
      </c>
      <c r="I94" s="44" t="str">
        <f aca="false">IF(AND(ISNUMBER(I30),ISNUMBER(H30),H30&lt;&gt;0),I30/H30-1,"")</f>
        <v/>
      </c>
      <c r="J94" s="44" t="str">
        <f aca="false">IF(AND(ISNUMBER(J30),ISNUMBER(I30),I30&lt;&gt;0),J30/I30-1,"")</f>
        <v/>
      </c>
      <c r="K94" s="44" t="str">
        <f aca="false">IF(AND(ISNUMBER(K30),ISNUMBER(J30),J30&lt;&gt;0),K30/J30-1,"")</f>
        <v/>
      </c>
      <c r="L94" s="44" t="str">
        <f aca="false">IF(AND(ISNUMBER(L30),ISNUMBER(K30),K30&lt;&gt;0),L30/K30-1,"")</f>
        <v/>
      </c>
      <c r="M94" s="44" t="str">
        <f aca="false">IF(AND(ISNUMBER(M30),ISNUMBER(L30),L30&lt;&gt;0),M30/L30-1,"")</f>
        <v/>
      </c>
      <c r="N94" s="44" t="str">
        <f aca="false">IF(AND(ISNUMBER(N30),ISNUMBER(M30),M30&lt;&gt;0),N30/M30-1,"")</f>
        <v/>
      </c>
    </row>
    <row r="95" customFormat="false" ht="23.85" hidden="false" customHeight="false" outlineLevel="0" collapsed="false">
      <c r="A95" s="61" t="s">
        <v>964</v>
      </c>
      <c r="C95" s="5" t="s">
        <v>965</v>
      </c>
      <c r="F95" s="44" t="str">
        <f aca="false">IF(AND(ISNUMBER(F31),ISNUMBER(E31),E31&lt;&gt;0),F31/E31-1,"")</f>
        <v/>
      </c>
      <c r="G95" s="44" t="str">
        <f aca="false">IF(AND(ISNUMBER(G31),ISNUMBER(F31),F31&lt;&gt;0),G31/F31-1,"")</f>
        <v/>
      </c>
      <c r="H95" s="44" t="str">
        <f aca="false">IF(AND(ISNUMBER(H31),ISNUMBER(G31),G31&lt;&gt;0),H31/G31-1,"")</f>
        <v/>
      </c>
      <c r="I95" s="44" t="str">
        <f aca="false">IF(AND(ISNUMBER(I31),ISNUMBER(H31),H31&lt;&gt;0),I31/H31-1,"")</f>
        <v/>
      </c>
      <c r="J95" s="44" t="str">
        <f aca="false">IF(AND(ISNUMBER(J31),ISNUMBER(I31),I31&lt;&gt;0),J31/I31-1,"")</f>
        <v/>
      </c>
      <c r="K95" s="44" t="str">
        <f aca="false">IF(AND(ISNUMBER(K31),ISNUMBER(J31),J31&lt;&gt;0),K31/J31-1,"")</f>
        <v/>
      </c>
      <c r="L95" s="44" t="str">
        <f aca="false">IF(AND(ISNUMBER(L31),ISNUMBER(K31),K31&lt;&gt;0),L31/K31-1,"")</f>
        <v/>
      </c>
      <c r="M95" s="44" t="str">
        <f aca="false">IF(AND(ISNUMBER(M31),ISNUMBER(L31),L31&lt;&gt;0),M31/L31-1,"")</f>
        <v/>
      </c>
      <c r="N95" s="44" t="str">
        <f aca="false">IF(AND(ISNUMBER(N31),ISNUMBER(M31),M31&lt;&gt;0),N31/M31-1,"")</f>
        <v/>
      </c>
    </row>
    <row r="96" customFormat="false" ht="23.85" hidden="false" customHeight="false" outlineLevel="0" collapsed="false">
      <c r="A96" s="61" t="s">
        <v>966</v>
      </c>
      <c r="C96" s="5" t="s">
        <v>967</v>
      </c>
      <c r="F96" s="44" t="str">
        <f aca="false">IF(AND(ISNUMBER(F32),ISNUMBER(E32),E32&lt;&gt;0),F32/E32-1,"")</f>
        <v/>
      </c>
      <c r="G96" s="44" t="str">
        <f aca="false">IF(AND(ISNUMBER(G32),ISNUMBER(F32),F32&lt;&gt;0),G32/F32-1,"")</f>
        <v/>
      </c>
      <c r="H96" s="44" t="str">
        <f aca="false">IF(AND(ISNUMBER(H32),ISNUMBER(G32),G32&lt;&gt;0),H32/G32-1,"")</f>
        <v/>
      </c>
      <c r="I96" s="44" t="str">
        <f aca="false">IF(AND(ISNUMBER(I32),ISNUMBER(H32),H32&lt;&gt;0),I32/H32-1,"")</f>
        <v/>
      </c>
      <c r="J96" s="44" t="str">
        <f aca="false">IF(AND(ISNUMBER(J32),ISNUMBER(I32),I32&lt;&gt;0),J32/I32-1,"")</f>
        <v/>
      </c>
      <c r="K96" s="44" t="str">
        <f aca="false">IF(AND(ISNUMBER(K32),ISNUMBER(J32),J32&lt;&gt;0),K32/J32-1,"")</f>
        <v/>
      </c>
      <c r="L96" s="44" t="str">
        <f aca="false">IF(AND(ISNUMBER(L32),ISNUMBER(K32),K32&lt;&gt;0),L32/K32-1,"")</f>
        <v/>
      </c>
      <c r="M96" s="44" t="str">
        <f aca="false">IF(AND(ISNUMBER(M32),ISNUMBER(L32),L32&lt;&gt;0),M32/L32-1,"")</f>
        <v/>
      </c>
      <c r="N96" s="44" t="str">
        <f aca="false">IF(AND(ISNUMBER(N32),ISNUMBER(M32),M32&lt;&gt;0),N32/M32-1,"")</f>
        <v/>
      </c>
    </row>
    <row r="97" customFormat="false" ht="23.85" hidden="false" customHeight="false" outlineLevel="0" collapsed="false">
      <c r="A97" s="61" t="s">
        <v>968</v>
      </c>
      <c r="C97" s="5" t="s">
        <v>969</v>
      </c>
      <c r="F97" s="44" t="str">
        <f aca="false">IF(AND(ISNUMBER(F33),ISNUMBER(E33),E33&lt;&gt;0),F33/E33-1,"")</f>
        <v/>
      </c>
      <c r="G97" s="44" t="str">
        <f aca="false">IF(AND(ISNUMBER(G33),ISNUMBER(F33),F33&lt;&gt;0),G33/F33-1,"")</f>
        <v/>
      </c>
      <c r="H97" s="44" t="str">
        <f aca="false">IF(AND(ISNUMBER(H33),ISNUMBER(G33),G33&lt;&gt;0),H33/G33-1,"")</f>
        <v/>
      </c>
      <c r="I97" s="44" t="str">
        <f aca="false">IF(AND(ISNUMBER(I33),ISNUMBER(H33),H33&lt;&gt;0),I33/H33-1,"")</f>
        <v/>
      </c>
      <c r="J97" s="44" t="str">
        <f aca="false">IF(AND(ISNUMBER(J33),ISNUMBER(I33),I33&lt;&gt;0),J33/I33-1,"")</f>
        <v/>
      </c>
      <c r="K97" s="44" t="str">
        <f aca="false">IF(AND(ISNUMBER(K33),ISNUMBER(J33),J33&lt;&gt;0),K33/J33-1,"")</f>
        <v/>
      </c>
      <c r="L97" s="44" t="str">
        <f aca="false">IF(AND(ISNUMBER(L33),ISNUMBER(K33),K33&lt;&gt;0),L33/K33-1,"")</f>
        <v/>
      </c>
      <c r="M97" s="44" t="str">
        <f aca="false">IF(AND(ISNUMBER(M33),ISNUMBER(L33),L33&lt;&gt;0),M33/L33-1,"")</f>
        <v/>
      </c>
      <c r="N97" s="44" t="str">
        <f aca="false">IF(AND(ISNUMBER(N33),ISNUMBER(M33),M33&lt;&gt;0),N33/M33-1,"")</f>
        <v/>
      </c>
    </row>
    <row r="98" customFormat="false" ht="23.85" hidden="false" customHeight="false" outlineLevel="0" collapsed="false">
      <c r="A98" s="61" t="s">
        <v>970</v>
      </c>
      <c r="C98" s="5" t="s">
        <v>971</v>
      </c>
      <c r="F98" s="44" t="str">
        <f aca="false">IF(AND(ISNUMBER(F34),ISNUMBER(E34),E34&lt;&gt;0),F34/E34-1,"")</f>
        <v/>
      </c>
      <c r="G98" s="44" t="str">
        <f aca="false">IF(AND(ISNUMBER(G34),ISNUMBER(F34),F34&lt;&gt;0),G34/F34-1,"")</f>
        <v/>
      </c>
      <c r="H98" s="44" t="str">
        <f aca="false">IF(AND(ISNUMBER(H34),ISNUMBER(G34),G34&lt;&gt;0),H34/G34-1,"")</f>
        <v/>
      </c>
      <c r="I98" s="44" t="str">
        <f aca="false">IF(AND(ISNUMBER(I34),ISNUMBER(H34),H34&lt;&gt;0),I34/H34-1,"")</f>
        <v/>
      </c>
      <c r="J98" s="44" t="str">
        <f aca="false">IF(AND(ISNUMBER(J34),ISNUMBER(I34),I34&lt;&gt;0),J34/I34-1,"")</f>
        <v/>
      </c>
      <c r="K98" s="44" t="str">
        <f aca="false">IF(AND(ISNUMBER(K34),ISNUMBER(J34),J34&lt;&gt;0),K34/J34-1,"")</f>
        <v/>
      </c>
      <c r="L98" s="44" t="str">
        <f aca="false">IF(AND(ISNUMBER(L34),ISNUMBER(K34),K34&lt;&gt;0),L34/K34-1,"")</f>
        <v/>
      </c>
      <c r="M98" s="44" t="str">
        <f aca="false">IF(AND(ISNUMBER(M34),ISNUMBER(L34),L34&lt;&gt;0),M34/L34-1,"")</f>
        <v/>
      </c>
      <c r="N98" s="44" t="str">
        <f aca="false">IF(AND(ISNUMBER(N34),ISNUMBER(M34),M34&lt;&gt;0),N34/M34-1,"")</f>
        <v/>
      </c>
    </row>
    <row r="99" customFormat="false" ht="23.85" hidden="false" customHeight="false" outlineLevel="0" collapsed="false">
      <c r="A99" s="61" t="s">
        <v>972</v>
      </c>
      <c r="C99" s="5" t="s">
        <v>973</v>
      </c>
      <c r="F99" s="44" t="str">
        <f aca="false">IF(AND(ISNUMBER(F35),ISNUMBER(E35),E35&lt;&gt;0),F35/E35-1,"")</f>
        <v/>
      </c>
      <c r="G99" s="44" t="str">
        <f aca="false">IF(AND(ISNUMBER(G35),ISNUMBER(F35),F35&lt;&gt;0),G35/F35-1,"")</f>
        <v/>
      </c>
      <c r="H99" s="44" t="str">
        <f aca="false">IF(AND(ISNUMBER(H35),ISNUMBER(G35),G35&lt;&gt;0),H35/G35-1,"")</f>
        <v/>
      </c>
      <c r="I99" s="44" t="str">
        <f aca="false">IF(AND(ISNUMBER(I35),ISNUMBER(H35),H35&lt;&gt;0),I35/H35-1,"")</f>
        <v/>
      </c>
      <c r="J99" s="44" t="str">
        <f aca="false">IF(AND(ISNUMBER(J35),ISNUMBER(I35),I35&lt;&gt;0),J35/I35-1,"")</f>
        <v/>
      </c>
      <c r="K99" s="44" t="str">
        <f aca="false">IF(AND(ISNUMBER(K35),ISNUMBER(J35),J35&lt;&gt;0),K35/J35-1,"")</f>
        <v/>
      </c>
      <c r="L99" s="44" t="str">
        <f aca="false">IF(AND(ISNUMBER(L35),ISNUMBER(K35),K35&lt;&gt;0),L35/K35-1,"")</f>
        <v/>
      </c>
      <c r="M99" s="44" t="str">
        <f aca="false">IF(AND(ISNUMBER(M35),ISNUMBER(L35),L35&lt;&gt;0),M35/L35-1,"")</f>
        <v/>
      </c>
      <c r="N99" s="44" t="str">
        <f aca="false">IF(AND(ISNUMBER(N35),ISNUMBER(M35),M35&lt;&gt;0),N35/M35-1,"")</f>
        <v/>
      </c>
    </row>
    <row r="100" customFormat="false" ht="23.85" hidden="false" customHeight="false" outlineLevel="0" collapsed="false">
      <c r="A100" s="61" t="s">
        <v>974</v>
      </c>
      <c r="C100" s="5" t="s">
        <v>975</v>
      </c>
      <c r="F100" s="44" t="str">
        <f aca="false">IF(AND(ISNUMBER(F36),ISNUMBER(E36),E36&lt;&gt;0),F36/E36-1,"")</f>
        <v/>
      </c>
      <c r="G100" s="44" t="str">
        <f aca="false">IF(AND(ISNUMBER(G36),ISNUMBER(F36),F36&lt;&gt;0),G36/F36-1,"")</f>
        <v/>
      </c>
      <c r="H100" s="44" t="str">
        <f aca="false">IF(AND(ISNUMBER(H36),ISNUMBER(G36),G36&lt;&gt;0),H36/G36-1,"")</f>
        <v/>
      </c>
      <c r="I100" s="44" t="str">
        <f aca="false">IF(AND(ISNUMBER(I36),ISNUMBER(H36),H36&lt;&gt;0),I36/H36-1,"")</f>
        <v/>
      </c>
      <c r="J100" s="44" t="str">
        <f aca="false">IF(AND(ISNUMBER(J36),ISNUMBER(I36),I36&lt;&gt;0),J36/I36-1,"")</f>
        <v/>
      </c>
      <c r="K100" s="44" t="str">
        <f aca="false">IF(AND(ISNUMBER(K36),ISNUMBER(J36),J36&lt;&gt;0),K36/J36-1,"")</f>
        <v/>
      </c>
      <c r="L100" s="44" t="str">
        <f aca="false">IF(AND(ISNUMBER(L36),ISNUMBER(K36),K36&lt;&gt;0),L36/K36-1,"")</f>
        <v/>
      </c>
      <c r="M100" s="44" t="str">
        <f aca="false">IF(AND(ISNUMBER(M36),ISNUMBER(L36),L36&lt;&gt;0),M36/L36-1,"")</f>
        <v/>
      </c>
      <c r="N100" s="44" t="str">
        <f aca="false">IF(AND(ISNUMBER(N36),ISNUMBER(M36),M36&lt;&gt;0),N36/M36-1,"")</f>
        <v/>
      </c>
    </row>
    <row r="101" customFormat="false" ht="23.85" hidden="false" customHeight="false" outlineLevel="0" collapsed="false">
      <c r="A101" s="61" t="s">
        <v>976</v>
      </c>
      <c r="C101" s="5" t="s">
        <v>977</v>
      </c>
      <c r="F101" s="44" t="str">
        <f aca="false">IF(AND(ISNUMBER(F37),ISNUMBER(E37),E37&lt;&gt;0),F37/E37-1,"")</f>
        <v/>
      </c>
      <c r="G101" s="44" t="str">
        <f aca="false">IF(AND(ISNUMBER(G37),ISNUMBER(F37),F37&lt;&gt;0),G37/F37-1,"")</f>
        <v/>
      </c>
      <c r="H101" s="44" t="str">
        <f aca="false">IF(AND(ISNUMBER(H37),ISNUMBER(G37),G37&lt;&gt;0),H37/G37-1,"")</f>
        <v/>
      </c>
      <c r="I101" s="44" t="str">
        <f aca="false">IF(AND(ISNUMBER(I37),ISNUMBER(H37),H37&lt;&gt;0),I37/H37-1,"")</f>
        <v/>
      </c>
      <c r="J101" s="44" t="str">
        <f aca="false">IF(AND(ISNUMBER(J37),ISNUMBER(I37),I37&lt;&gt;0),J37/I37-1,"")</f>
        <v/>
      </c>
      <c r="K101" s="44" t="str">
        <f aca="false">IF(AND(ISNUMBER(K37),ISNUMBER(J37),J37&lt;&gt;0),K37/J37-1,"")</f>
        <v/>
      </c>
      <c r="L101" s="44" t="str">
        <f aca="false">IF(AND(ISNUMBER(L37),ISNUMBER(K37),K37&lt;&gt;0),L37/K37-1,"")</f>
        <v/>
      </c>
      <c r="M101" s="44" t="str">
        <f aca="false">IF(AND(ISNUMBER(M37),ISNUMBER(L37),L37&lt;&gt;0),M37/L37-1,"")</f>
        <v/>
      </c>
      <c r="N101" s="44" t="str">
        <f aca="false">IF(AND(ISNUMBER(N37),ISNUMBER(M37),M37&lt;&gt;0),N37/M37-1,"")</f>
        <v/>
      </c>
    </row>
    <row r="102" customFormat="false" ht="15" hidden="false" customHeight="false" outlineLevel="0" collapsed="false">
      <c r="A102" s="61" t="s">
        <v>978</v>
      </c>
      <c r="C102" s="5" t="s">
        <v>979</v>
      </c>
      <c r="F102" s="44" t="str">
        <f aca="false">IF(AND(ISNUMBER(F38),ISNUMBER(E38),E38&lt;&gt;0),F38/E38-1,"")</f>
        <v/>
      </c>
      <c r="G102" s="44" t="str">
        <f aca="false">IF(AND(ISNUMBER(G38),ISNUMBER(F38),F38&lt;&gt;0),G38/F38-1,"")</f>
        <v/>
      </c>
      <c r="H102" s="44" t="str">
        <f aca="false">IF(AND(ISNUMBER(H38),ISNUMBER(G38),G38&lt;&gt;0),H38/G38-1,"")</f>
        <v/>
      </c>
      <c r="I102" s="44" t="str">
        <f aca="false">IF(AND(ISNUMBER(I38),ISNUMBER(H38),H38&lt;&gt;0),I38/H38-1,"")</f>
        <v/>
      </c>
      <c r="J102" s="44" t="str">
        <f aca="false">IF(AND(ISNUMBER(J38),ISNUMBER(I38),I38&lt;&gt;0),J38/I38-1,"")</f>
        <v/>
      </c>
      <c r="K102" s="44" t="str">
        <f aca="false">IF(AND(ISNUMBER(K38),ISNUMBER(J38),J38&lt;&gt;0),K38/J38-1,"")</f>
        <v/>
      </c>
      <c r="L102" s="44" t="str">
        <f aca="false">IF(AND(ISNUMBER(L38),ISNUMBER(K38),K38&lt;&gt;0),L38/K38-1,"")</f>
        <v/>
      </c>
      <c r="M102" s="44" t="str">
        <f aca="false">IF(AND(ISNUMBER(M38),ISNUMBER(L38),L38&lt;&gt;0),M38/L38-1,"")</f>
        <v/>
      </c>
      <c r="N102" s="44" t="str">
        <f aca="false">IF(AND(ISNUMBER(N38),ISNUMBER(M38),M38&lt;&gt;0),N38/M38-1,"")</f>
        <v/>
      </c>
    </row>
    <row r="103" customFormat="false" ht="15" hidden="false" customHeight="false" outlineLevel="0" collapsed="false">
      <c r="A103" s="61" t="s">
        <v>981</v>
      </c>
      <c r="C103" s="5" t="s">
        <v>982</v>
      </c>
      <c r="F103" s="44" t="str">
        <f aca="false">IF(AND(ISNUMBER(F39),ISNUMBER(E39),E39&lt;&gt;0),F39/E39-1,"")</f>
        <v/>
      </c>
      <c r="G103" s="44" t="str">
        <f aca="false">IF(AND(ISNUMBER(G39),ISNUMBER(F39),F39&lt;&gt;0),G39/F39-1,"")</f>
        <v/>
      </c>
      <c r="H103" s="44" t="str">
        <f aca="false">IF(AND(ISNUMBER(H39),ISNUMBER(G39),G39&lt;&gt;0),H39/G39-1,"")</f>
        <v/>
      </c>
      <c r="I103" s="44" t="str">
        <f aca="false">IF(AND(ISNUMBER(I39),ISNUMBER(H39),H39&lt;&gt;0),I39/H39-1,"")</f>
        <v/>
      </c>
      <c r="J103" s="44" t="str">
        <f aca="false">IF(AND(ISNUMBER(J39),ISNUMBER(I39),I39&lt;&gt;0),J39/I39-1,"")</f>
        <v/>
      </c>
      <c r="K103" s="44" t="str">
        <f aca="false">IF(AND(ISNUMBER(K39),ISNUMBER(J39),J39&lt;&gt;0),K39/J39-1,"")</f>
        <v/>
      </c>
      <c r="L103" s="44" t="str">
        <f aca="false">IF(AND(ISNUMBER(L39),ISNUMBER(K39),K39&lt;&gt;0),L39/K39-1,"")</f>
        <v/>
      </c>
      <c r="M103" s="44" t="str">
        <f aca="false">IF(AND(ISNUMBER(M39),ISNUMBER(L39),L39&lt;&gt;0),M39/L39-1,"")</f>
        <v/>
      </c>
      <c r="N103" s="44" t="str">
        <f aca="false">IF(AND(ISNUMBER(N39),ISNUMBER(M39),M39&lt;&gt;0),N39/M39-1,"")</f>
        <v/>
      </c>
    </row>
    <row r="104" customFormat="false" ht="15" hidden="false" customHeight="false" outlineLevel="0" collapsed="false">
      <c r="A104" s="61" t="s">
        <v>983</v>
      </c>
      <c r="C104" s="5" t="s">
        <v>984</v>
      </c>
      <c r="F104" s="44" t="str">
        <f aca="false">IF(AND(ISNUMBER(F40),ISNUMBER(E40),E40&lt;&gt;0),F40/E40-1,"")</f>
        <v/>
      </c>
      <c r="G104" s="44" t="str">
        <f aca="false">IF(AND(ISNUMBER(G40),ISNUMBER(F40),F40&lt;&gt;0),G40/F40-1,"")</f>
        <v/>
      </c>
      <c r="H104" s="44" t="str">
        <f aca="false">IF(AND(ISNUMBER(H40),ISNUMBER(G40),G40&lt;&gt;0),H40/G40-1,"")</f>
        <v/>
      </c>
      <c r="I104" s="44" t="str">
        <f aca="false">IF(AND(ISNUMBER(I40),ISNUMBER(H40),H40&lt;&gt;0),I40/H40-1,"")</f>
        <v/>
      </c>
      <c r="J104" s="44" t="str">
        <f aca="false">IF(AND(ISNUMBER(J40),ISNUMBER(I40),I40&lt;&gt;0),J40/I40-1,"")</f>
        <v/>
      </c>
      <c r="K104" s="44" t="str">
        <f aca="false">IF(AND(ISNUMBER(K40),ISNUMBER(J40),J40&lt;&gt;0),K40/J40-1,"")</f>
        <v/>
      </c>
      <c r="L104" s="44" t="str">
        <f aca="false">IF(AND(ISNUMBER(L40),ISNUMBER(K40),K40&lt;&gt;0),L40/K40-1,"")</f>
        <v/>
      </c>
      <c r="M104" s="44" t="str">
        <f aca="false">IF(AND(ISNUMBER(M40),ISNUMBER(L40),L40&lt;&gt;0),M40/L40-1,"")</f>
        <v/>
      </c>
      <c r="N104" s="44" t="str">
        <f aca="false">IF(AND(ISNUMBER(N40),ISNUMBER(M40),M40&lt;&gt;0),N40/M40-1,"")</f>
        <v/>
      </c>
    </row>
    <row r="105" customFormat="false" ht="15" hidden="false" customHeight="false" outlineLevel="0" collapsed="false">
      <c r="A105" s="61" t="s">
        <v>985</v>
      </c>
      <c r="C105" s="5" t="s">
        <v>986</v>
      </c>
      <c r="F105" s="44" t="str">
        <f aca="false">IF(AND(ISNUMBER(F41),ISNUMBER(E41),E41&lt;&gt;0),F41/E41-1,"")</f>
        <v/>
      </c>
      <c r="G105" s="44" t="str">
        <f aca="false">IF(AND(ISNUMBER(G41),ISNUMBER(F41),F41&lt;&gt;0),G41/F41-1,"")</f>
        <v/>
      </c>
      <c r="H105" s="44" t="str">
        <f aca="false">IF(AND(ISNUMBER(H41),ISNUMBER(G41),G41&lt;&gt;0),H41/G41-1,"")</f>
        <v/>
      </c>
      <c r="I105" s="44" t="str">
        <f aca="false">IF(AND(ISNUMBER(I41),ISNUMBER(H41),H41&lt;&gt;0),I41/H41-1,"")</f>
        <v/>
      </c>
      <c r="J105" s="44" t="str">
        <f aca="false">IF(AND(ISNUMBER(J41),ISNUMBER(I41),I41&lt;&gt;0),J41/I41-1,"")</f>
        <v/>
      </c>
      <c r="K105" s="44" t="str">
        <f aca="false">IF(AND(ISNUMBER(K41),ISNUMBER(J41),J41&lt;&gt;0),K41/J41-1,"")</f>
        <v/>
      </c>
      <c r="L105" s="44" t="str">
        <f aca="false">IF(AND(ISNUMBER(L41),ISNUMBER(K41),K41&lt;&gt;0),L41/K41-1,"")</f>
        <v/>
      </c>
      <c r="M105" s="44" t="str">
        <f aca="false">IF(AND(ISNUMBER(M41),ISNUMBER(L41),L41&lt;&gt;0),M41/L41-1,"")</f>
        <v/>
      </c>
      <c r="N105" s="44" t="str">
        <f aca="false">IF(AND(ISNUMBER(N41),ISNUMBER(M41),M41&lt;&gt;0),N41/M41-1,"")</f>
        <v/>
      </c>
    </row>
    <row r="106" customFormat="false" ht="15" hidden="false" customHeight="false" outlineLevel="0" collapsed="false">
      <c r="A106" s="61" t="s">
        <v>987</v>
      </c>
      <c r="C106" s="5" t="s">
        <v>988</v>
      </c>
      <c r="F106" s="44" t="str">
        <f aca="false">IF(AND(ISNUMBER(F42),ISNUMBER(E42),E42&lt;&gt;0),F42/E42-1,"")</f>
        <v/>
      </c>
      <c r="G106" s="44" t="str">
        <f aca="false">IF(AND(ISNUMBER(G42),ISNUMBER(F42),F42&lt;&gt;0),G42/F42-1,"")</f>
        <v/>
      </c>
      <c r="H106" s="44" t="str">
        <f aca="false">IF(AND(ISNUMBER(H42),ISNUMBER(G42),G42&lt;&gt;0),H42/G42-1,"")</f>
        <v/>
      </c>
      <c r="I106" s="44" t="str">
        <f aca="false">IF(AND(ISNUMBER(I42),ISNUMBER(H42),H42&lt;&gt;0),I42/H42-1,"")</f>
        <v/>
      </c>
      <c r="J106" s="44" t="str">
        <f aca="false">IF(AND(ISNUMBER(J42),ISNUMBER(I42),I42&lt;&gt;0),J42/I42-1,"")</f>
        <v/>
      </c>
      <c r="K106" s="44" t="str">
        <f aca="false">IF(AND(ISNUMBER(K42),ISNUMBER(J42),J42&lt;&gt;0),K42/J42-1,"")</f>
        <v/>
      </c>
      <c r="L106" s="44" t="str">
        <f aca="false">IF(AND(ISNUMBER(L42),ISNUMBER(K42),K42&lt;&gt;0),L42/K42-1,"")</f>
        <v/>
      </c>
      <c r="M106" s="44" t="str">
        <f aca="false">IF(AND(ISNUMBER(M42),ISNUMBER(L42),L42&lt;&gt;0),M42/L42-1,"")</f>
        <v/>
      </c>
      <c r="N106" s="44" t="str">
        <f aca="false">IF(AND(ISNUMBER(N42),ISNUMBER(M42),M42&lt;&gt;0),N42/M42-1,"")</f>
        <v/>
      </c>
    </row>
    <row r="107" customFormat="false" ht="15" hidden="false" customHeight="false" outlineLevel="0" collapsed="false">
      <c r="A107" s="61" t="s">
        <v>989</v>
      </c>
      <c r="C107" s="5" t="s">
        <v>990</v>
      </c>
      <c r="F107" s="44" t="str">
        <f aca="false">IF(AND(ISNUMBER(F43),ISNUMBER(E43),E43&lt;&gt;0),F43/E43-1,"")</f>
        <v/>
      </c>
      <c r="G107" s="44" t="str">
        <f aca="false">IF(AND(ISNUMBER(G43),ISNUMBER(F43),F43&lt;&gt;0),G43/F43-1,"")</f>
        <v/>
      </c>
      <c r="H107" s="44" t="str">
        <f aca="false">IF(AND(ISNUMBER(H43),ISNUMBER(G43),G43&lt;&gt;0),H43/G43-1,"")</f>
        <v/>
      </c>
      <c r="I107" s="44" t="str">
        <f aca="false">IF(AND(ISNUMBER(I43),ISNUMBER(H43),H43&lt;&gt;0),I43/H43-1,"")</f>
        <v/>
      </c>
      <c r="J107" s="44" t="str">
        <f aca="false">IF(AND(ISNUMBER(J43),ISNUMBER(I43),I43&lt;&gt;0),J43/I43-1,"")</f>
        <v/>
      </c>
      <c r="K107" s="44" t="str">
        <f aca="false">IF(AND(ISNUMBER(K43),ISNUMBER(J43),J43&lt;&gt;0),K43/J43-1,"")</f>
        <v/>
      </c>
      <c r="L107" s="44" t="str">
        <f aca="false">IF(AND(ISNUMBER(L43),ISNUMBER(K43),K43&lt;&gt;0),L43/K43-1,"")</f>
        <v/>
      </c>
      <c r="M107" s="44" t="str">
        <f aca="false">IF(AND(ISNUMBER(M43),ISNUMBER(L43),L43&lt;&gt;0),M43/L43-1,"")</f>
        <v/>
      </c>
      <c r="N107" s="44" t="str">
        <f aca="false">IF(AND(ISNUMBER(N43),ISNUMBER(M43),M43&lt;&gt;0),N43/M43-1,"")</f>
        <v/>
      </c>
    </row>
    <row r="108" customFormat="false" ht="15" hidden="false" customHeight="false" outlineLevel="0" collapsed="false">
      <c r="A108" s="61" t="s">
        <v>991</v>
      </c>
      <c r="C108" s="5" t="s">
        <v>992</v>
      </c>
      <c r="F108" s="44" t="str">
        <f aca="false">IF(AND(ISNUMBER(F44),ISNUMBER(E44),E44&lt;&gt;0),F44/E44-1,"")</f>
        <v/>
      </c>
      <c r="G108" s="44" t="str">
        <f aca="false">IF(AND(ISNUMBER(G44),ISNUMBER(F44),F44&lt;&gt;0),G44/F44-1,"")</f>
        <v/>
      </c>
      <c r="H108" s="44" t="str">
        <f aca="false">IF(AND(ISNUMBER(H44),ISNUMBER(G44),G44&lt;&gt;0),H44/G44-1,"")</f>
        <v/>
      </c>
      <c r="I108" s="44" t="str">
        <f aca="false">IF(AND(ISNUMBER(I44),ISNUMBER(H44),H44&lt;&gt;0),I44/H44-1,"")</f>
        <v/>
      </c>
      <c r="J108" s="44" t="str">
        <f aca="false">IF(AND(ISNUMBER(J44),ISNUMBER(I44),I44&lt;&gt;0),J44/I44-1,"")</f>
        <v/>
      </c>
      <c r="K108" s="44" t="str">
        <f aca="false">IF(AND(ISNUMBER(K44),ISNUMBER(J44),J44&lt;&gt;0),K44/J44-1,"")</f>
        <v/>
      </c>
      <c r="L108" s="44" t="str">
        <f aca="false">IF(AND(ISNUMBER(L44),ISNUMBER(K44),K44&lt;&gt;0),L44/K44-1,"")</f>
        <v/>
      </c>
      <c r="M108" s="44" t="str">
        <f aca="false">IF(AND(ISNUMBER(M44),ISNUMBER(L44),L44&lt;&gt;0),M44/L44-1,"")</f>
        <v/>
      </c>
      <c r="N108" s="44" t="str">
        <f aca="false">IF(AND(ISNUMBER(N44),ISNUMBER(M44),M44&lt;&gt;0),N44/M44-1,"")</f>
        <v/>
      </c>
    </row>
    <row r="109" customFormat="false" ht="15" hidden="false" customHeight="false" outlineLevel="0" collapsed="false">
      <c r="A109" s="61" t="s">
        <v>993</v>
      </c>
      <c r="C109" s="5" t="s">
        <v>994</v>
      </c>
      <c r="F109" s="44" t="str">
        <f aca="false">IF(AND(ISNUMBER(F45),ISNUMBER(E45),E45&lt;&gt;0),F45/E45-1,"")</f>
        <v/>
      </c>
      <c r="G109" s="44" t="str">
        <f aca="false">IF(AND(ISNUMBER(G45),ISNUMBER(F45),F45&lt;&gt;0),G45/F45-1,"")</f>
        <v/>
      </c>
      <c r="H109" s="44" t="str">
        <f aca="false">IF(AND(ISNUMBER(H45),ISNUMBER(G45),G45&lt;&gt;0),H45/G45-1,"")</f>
        <v/>
      </c>
      <c r="I109" s="44" t="str">
        <f aca="false">IF(AND(ISNUMBER(I45),ISNUMBER(H45),H45&lt;&gt;0),I45/H45-1,"")</f>
        <v/>
      </c>
      <c r="J109" s="44" t="str">
        <f aca="false">IF(AND(ISNUMBER(J45),ISNUMBER(I45),I45&lt;&gt;0),J45/I45-1,"")</f>
        <v/>
      </c>
      <c r="K109" s="44" t="str">
        <f aca="false">IF(AND(ISNUMBER(K45),ISNUMBER(J45),J45&lt;&gt;0),K45/J45-1,"")</f>
        <v/>
      </c>
      <c r="L109" s="44" t="str">
        <f aca="false">IF(AND(ISNUMBER(L45),ISNUMBER(K45),K45&lt;&gt;0),L45/K45-1,"")</f>
        <v/>
      </c>
      <c r="M109" s="44" t="str">
        <f aca="false">IF(AND(ISNUMBER(M45),ISNUMBER(L45),L45&lt;&gt;0),M45/L45-1,"")</f>
        <v/>
      </c>
      <c r="N109" s="44" t="str">
        <f aca="false">IF(AND(ISNUMBER(N45),ISNUMBER(M45),M45&lt;&gt;0),N45/M45-1,"")</f>
        <v/>
      </c>
    </row>
    <row r="110" customFormat="false" ht="15" hidden="false" customHeight="false" outlineLevel="0" collapsed="false">
      <c r="A110" s="61" t="s">
        <v>995</v>
      </c>
      <c r="C110" s="5" t="s">
        <v>997</v>
      </c>
      <c r="F110" s="44" t="str">
        <f aca="false">IF(AND(ISNUMBER(F46),ISNUMBER(E46),E46&lt;&gt;0),F46/E46-1,"")</f>
        <v/>
      </c>
      <c r="G110" s="44" t="str">
        <f aca="false">IF(AND(ISNUMBER(G46),ISNUMBER(F46),F46&lt;&gt;0),G46/F46-1,"")</f>
        <v/>
      </c>
      <c r="H110" s="44" t="str">
        <f aca="false">IF(AND(ISNUMBER(H46),ISNUMBER(G46),G46&lt;&gt;0),H46/G46-1,"")</f>
        <v/>
      </c>
      <c r="I110" s="44" t="str">
        <f aca="false">IF(AND(ISNUMBER(I46),ISNUMBER(H46),H46&lt;&gt;0),I46/H46-1,"")</f>
        <v/>
      </c>
      <c r="J110" s="44" t="str">
        <f aca="false">IF(AND(ISNUMBER(J46),ISNUMBER(I46),I46&lt;&gt;0),J46/I46-1,"")</f>
        <v/>
      </c>
      <c r="K110" s="44" t="str">
        <f aca="false">IF(AND(ISNUMBER(K46),ISNUMBER(J46),J46&lt;&gt;0),K46/J46-1,"")</f>
        <v/>
      </c>
      <c r="L110" s="44" t="str">
        <f aca="false">IF(AND(ISNUMBER(L46),ISNUMBER(K46),K46&lt;&gt;0),L46/K46-1,"")</f>
        <v/>
      </c>
      <c r="M110" s="44" t="str">
        <f aca="false">IF(AND(ISNUMBER(M46),ISNUMBER(L46),L46&lt;&gt;0),M46/L46-1,"")</f>
        <v/>
      </c>
      <c r="N110" s="44" t="str">
        <f aca="false">IF(AND(ISNUMBER(N46),ISNUMBER(M46),M46&lt;&gt;0),N46/M46-1,"")</f>
        <v/>
      </c>
    </row>
    <row r="111" customFormat="false" ht="15" hidden="false" customHeight="false" outlineLevel="0" collapsed="false">
      <c r="A111" s="61" t="s">
        <v>998</v>
      </c>
      <c r="C111" s="5" t="s">
        <v>999</v>
      </c>
      <c r="F111" s="44" t="str">
        <f aca="false">IF(AND(ISNUMBER(F47),ISNUMBER(E47),E47&lt;&gt;0),F47/E47-1,"")</f>
        <v/>
      </c>
      <c r="G111" s="44" t="str">
        <f aca="false">IF(AND(ISNUMBER(G47),ISNUMBER(F47),F47&lt;&gt;0),G47/F47-1,"")</f>
        <v/>
      </c>
      <c r="H111" s="44" t="str">
        <f aca="false">IF(AND(ISNUMBER(H47),ISNUMBER(G47),G47&lt;&gt;0),H47/G47-1,"")</f>
        <v/>
      </c>
      <c r="I111" s="44" t="str">
        <f aca="false">IF(AND(ISNUMBER(I47),ISNUMBER(H47),H47&lt;&gt;0),I47/H47-1,"")</f>
        <v/>
      </c>
      <c r="J111" s="44" t="str">
        <f aca="false">IF(AND(ISNUMBER(J47),ISNUMBER(I47),I47&lt;&gt;0),J47/I47-1,"")</f>
        <v/>
      </c>
      <c r="K111" s="44" t="str">
        <f aca="false">IF(AND(ISNUMBER(K47),ISNUMBER(J47),J47&lt;&gt;0),K47/J47-1,"")</f>
        <v/>
      </c>
      <c r="L111" s="44" t="str">
        <f aca="false">IF(AND(ISNUMBER(L47),ISNUMBER(K47),K47&lt;&gt;0),L47/K47-1,"")</f>
        <v/>
      </c>
      <c r="M111" s="44" t="str">
        <f aca="false">IF(AND(ISNUMBER(M47),ISNUMBER(L47),L47&lt;&gt;0),M47/L47-1,"")</f>
        <v/>
      </c>
      <c r="N111" s="44" t="str">
        <f aca="false">IF(AND(ISNUMBER(N47),ISNUMBER(M47),M47&lt;&gt;0),N47/M47-1,"")</f>
        <v/>
      </c>
    </row>
    <row r="112" customFormat="false" ht="15" hidden="false" customHeight="false" outlineLevel="0" collapsed="false">
      <c r="A112" s="61" t="s">
        <v>1000</v>
      </c>
      <c r="C112" s="5" t="s">
        <v>1001</v>
      </c>
      <c r="F112" s="44" t="str">
        <f aca="false">IF(AND(ISNUMBER(F48),ISNUMBER(E48),E48&lt;&gt;0),F48/E48-1,"")</f>
        <v/>
      </c>
      <c r="G112" s="44" t="str">
        <f aca="false">IF(AND(ISNUMBER(G48),ISNUMBER(F48),F48&lt;&gt;0),G48/F48-1,"")</f>
        <v/>
      </c>
      <c r="H112" s="44" t="str">
        <f aca="false">IF(AND(ISNUMBER(H48),ISNUMBER(G48),G48&lt;&gt;0),H48/G48-1,"")</f>
        <v/>
      </c>
      <c r="I112" s="44" t="str">
        <f aca="false">IF(AND(ISNUMBER(I48),ISNUMBER(H48),H48&lt;&gt;0),I48/H48-1,"")</f>
        <v/>
      </c>
      <c r="J112" s="44" t="str">
        <f aca="false">IF(AND(ISNUMBER(J48),ISNUMBER(I48),I48&lt;&gt;0),J48/I48-1,"")</f>
        <v/>
      </c>
      <c r="K112" s="44" t="str">
        <f aca="false">IF(AND(ISNUMBER(K48),ISNUMBER(J48),J48&lt;&gt;0),K48/J48-1,"")</f>
        <v/>
      </c>
      <c r="L112" s="44" t="str">
        <f aca="false">IF(AND(ISNUMBER(L48),ISNUMBER(K48),K48&lt;&gt;0),L48/K48-1,"")</f>
        <v/>
      </c>
      <c r="M112" s="44" t="str">
        <f aca="false">IF(AND(ISNUMBER(M48),ISNUMBER(L48),L48&lt;&gt;0),M48/L48-1,"")</f>
        <v/>
      </c>
      <c r="N112" s="44" t="str">
        <f aca="false">IF(AND(ISNUMBER(N48),ISNUMBER(M48),M48&lt;&gt;0),N48/M48-1,"")</f>
        <v/>
      </c>
    </row>
    <row r="113" customFormat="false" ht="15" hidden="false" customHeight="false" outlineLevel="0" collapsed="false">
      <c r="A113" s="61" t="s">
        <v>1003</v>
      </c>
      <c r="C113" s="5" t="s">
        <v>1004</v>
      </c>
      <c r="F113" s="44" t="str">
        <f aca="false">IF(AND(ISNUMBER(F49),ISNUMBER(E49),E49&lt;&gt;0),F49/E49-1,"")</f>
        <v/>
      </c>
      <c r="G113" s="44" t="str">
        <f aca="false">IF(AND(ISNUMBER(G49),ISNUMBER(F49),F49&lt;&gt;0),G49/F49-1,"")</f>
        <v/>
      </c>
      <c r="H113" s="44" t="str">
        <f aca="false">IF(AND(ISNUMBER(H49),ISNUMBER(G49),G49&lt;&gt;0),H49/G49-1,"")</f>
        <v/>
      </c>
      <c r="I113" s="44" t="str">
        <f aca="false">IF(AND(ISNUMBER(I49),ISNUMBER(H49),H49&lt;&gt;0),I49/H49-1,"")</f>
        <v/>
      </c>
      <c r="J113" s="44" t="str">
        <f aca="false">IF(AND(ISNUMBER(J49),ISNUMBER(I49),I49&lt;&gt;0),J49/I49-1,"")</f>
        <v/>
      </c>
      <c r="K113" s="44" t="str">
        <f aca="false">IF(AND(ISNUMBER(K49),ISNUMBER(J49),J49&lt;&gt;0),K49/J49-1,"")</f>
        <v/>
      </c>
      <c r="L113" s="44" t="str">
        <f aca="false">IF(AND(ISNUMBER(L49),ISNUMBER(K49),K49&lt;&gt;0),L49/K49-1,"")</f>
        <v/>
      </c>
      <c r="M113" s="44" t="str">
        <f aca="false">IF(AND(ISNUMBER(M49),ISNUMBER(L49),L49&lt;&gt;0),M49/L49-1,"")</f>
        <v/>
      </c>
      <c r="N113" s="44" t="str">
        <f aca="false">IF(AND(ISNUMBER(N49),ISNUMBER(M49),M49&lt;&gt;0),N49/M49-1,"")</f>
        <v/>
      </c>
    </row>
    <row r="114" customFormat="false" ht="15" hidden="false" customHeight="false" outlineLevel="0" collapsed="false">
      <c r="A114" s="61" t="s">
        <v>1005</v>
      </c>
      <c r="C114" s="5" t="s">
        <v>1006</v>
      </c>
      <c r="F114" s="44" t="str">
        <f aca="false">IF(AND(ISNUMBER(F50),ISNUMBER(E50),E50&lt;&gt;0),F50/E50-1,"")</f>
        <v/>
      </c>
      <c r="G114" s="44" t="str">
        <f aca="false">IF(AND(ISNUMBER(G50),ISNUMBER(F50),F50&lt;&gt;0),G50/F50-1,"")</f>
        <v/>
      </c>
      <c r="H114" s="44" t="str">
        <f aca="false">IF(AND(ISNUMBER(H50),ISNUMBER(G50),G50&lt;&gt;0),H50/G50-1,"")</f>
        <v/>
      </c>
      <c r="I114" s="44" t="str">
        <f aca="false">IF(AND(ISNUMBER(I50),ISNUMBER(H50),H50&lt;&gt;0),I50/H50-1,"")</f>
        <v/>
      </c>
      <c r="J114" s="44" t="str">
        <f aca="false">IF(AND(ISNUMBER(J50),ISNUMBER(I50),I50&lt;&gt;0),J50/I50-1,"")</f>
        <v/>
      </c>
      <c r="K114" s="44" t="str">
        <f aca="false">IF(AND(ISNUMBER(K50),ISNUMBER(J50),J50&lt;&gt;0),K50/J50-1,"")</f>
        <v/>
      </c>
      <c r="L114" s="44" t="str">
        <f aca="false">IF(AND(ISNUMBER(L50),ISNUMBER(K50),K50&lt;&gt;0),L50/K50-1,"")</f>
        <v/>
      </c>
      <c r="M114" s="44" t="str">
        <f aca="false">IF(AND(ISNUMBER(M50),ISNUMBER(L50),L50&lt;&gt;0),M50/L50-1,"")</f>
        <v/>
      </c>
      <c r="N114" s="44" t="str">
        <f aca="false">IF(AND(ISNUMBER(N50),ISNUMBER(M50),M50&lt;&gt;0),N50/M50-1,"")</f>
        <v/>
      </c>
    </row>
    <row r="115" customFormat="false" ht="15" hidden="false" customHeight="false" outlineLevel="0" collapsed="false">
      <c r="A115" s="61" t="s">
        <v>1008</v>
      </c>
      <c r="C115" s="5" t="s">
        <v>1009</v>
      </c>
      <c r="F115" s="44" t="str">
        <f aca="false">IF(AND(ISNUMBER(F51),ISNUMBER(E51),E51&lt;&gt;0),F51/E51-1,"")</f>
        <v/>
      </c>
      <c r="G115" s="44" t="str">
        <f aca="false">IF(AND(ISNUMBER(G51),ISNUMBER(F51),F51&lt;&gt;0),G51/F51-1,"")</f>
        <v/>
      </c>
      <c r="H115" s="44" t="str">
        <f aca="false">IF(AND(ISNUMBER(H51),ISNUMBER(G51),G51&lt;&gt;0),H51/G51-1,"")</f>
        <v/>
      </c>
      <c r="I115" s="44" t="str">
        <f aca="false">IF(AND(ISNUMBER(I51),ISNUMBER(H51),H51&lt;&gt;0),I51/H51-1,"")</f>
        <v/>
      </c>
      <c r="J115" s="44" t="str">
        <f aca="false">IF(AND(ISNUMBER(J51),ISNUMBER(I51),I51&lt;&gt;0),J51/I51-1,"")</f>
        <v/>
      </c>
      <c r="K115" s="44" t="str">
        <f aca="false">IF(AND(ISNUMBER(K51),ISNUMBER(J51),J51&lt;&gt;0),K51/J51-1,"")</f>
        <v/>
      </c>
      <c r="L115" s="44" t="str">
        <f aca="false">IF(AND(ISNUMBER(L51),ISNUMBER(K51),K51&lt;&gt;0),L51/K51-1,"")</f>
        <v/>
      </c>
      <c r="M115" s="44" t="str">
        <f aca="false">IF(AND(ISNUMBER(M51),ISNUMBER(L51),L51&lt;&gt;0),M51/L51-1,"")</f>
        <v/>
      </c>
      <c r="N115" s="44" t="str">
        <f aca="false">IF(AND(ISNUMBER(N51),ISNUMBER(M51),M51&lt;&gt;0),N51/M51-1,"")</f>
        <v/>
      </c>
    </row>
    <row r="116" customFormat="false" ht="15" hidden="false" customHeight="false" outlineLevel="0" collapsed="false">
      <c r="A116" s="61" t="s">
        <v>1010</v>
      </c>
      <c r="C116" s="5" t="s">
        <v>1012</v>
      </c>
      <c r="F116" s="44" t="n">
        <f aca="false">IF(AND(ISNUMBER(F52),ISNUMBER(E52),E52&lt;&gt;0),F52/E52-1,"")</f>
        <v>0.0238095238095237</v>
      </c>
      <c r="G116" s="44" t="n">
        <f aca="false">IF(AND(ISNUMBER(G52),ISNUMBER(F52),F52&lt;&gt;0),G52/F52-1,"")</f>
        <v>0.0232558139534884</v>
      </c>
      <c r="H116" s="44" t="str">
        <f aca="false">IF(AND(ISNUMBER(H52),ISNUMBER(G52),G52&lt;&gt;0),H52/G52-1,"")</f>
        <v/>
      </c>
      <c r="I116" s="44" t="str">
        <f aca="false">IF(AND(ISNUMBER(I52),ISNUMBER(H52),H52&lt;&gt;0),I52/H52-1,"")</f>
        <v/>
      </c>
      <c r="J116" s="44" t="str">
        <f aca="false">IF(AND(ISNUMBER(J52),ISNUMBER(I52),I52&lt;&gt;0),J52/I52-1,"")</f>
        <v/>
      </c>
      <c r="K116" s="44" t="str">
        <f aca="false">IF(AND(ISNUMBER(K52),ISNUMBER(J52),J52&lt;&gt;0),K52/J52-1,"")</f>
        <v/>
      </c>
      <c r="L116" s="44" t="str">
        <f aca="false">IF(AND(ISNUMBER(L52),ISNUMBER(K52),K52&lt;&gt;0),L52/K52-1,"")</f>
        <v/>
      </c>
      <c r="M116" s="44" t="str">
        <f aca="false">IF(AND(ISNUMBER(M52),ISNUMBER(L52),L52&lt;&gt;0),M52/L52-1,"")</f>
        <v/>
      </c>
      <c r="N116" s="44" t="str">
        <f aca="false">IF(AND(ISNUMBER(N52),ISNUMBER(M52),M52&lt;&gt;0),N52/M52-1,"")</f>
        <v/>
      </c>
    </row>
    <row r="117" customFormat="false" ht="15" hidden="false" customHeight="false" outlineLevel="0" collapsed="false">
      <c r="A117" s="61" t="s">
        <v>1013</v>
      </c>
      <c r="C117" s="5" t="s">
        <v>1014</v>
      </c>
      <c r="F117" s="44" t="str">
        <f aca="false">IF(AND(ISNUMBER(F53),ISNUMBER(E53),E53&lt;&gt;0),F53/E53-1,"")</f>
        <v/>
      </c>
      <c r="G117" s="44" t="str">
        <f aca="false">IF(AND(ISNUMBER(G53),ISNUMBER(F53),F53&lt;&gt;0),G53/F53-1,"")</f>
        <v/>
      </c>
      <c r="H117" s="44" t="str">
        <f aca="false">IF(AND(ISNUMBER(H53),ISNUMBER(G53),G53&lt;&gt;0),H53/G53-1,"")</f>
        <v/>
      </c>
      <c r="I117" s="44" t="str">
        <f aca="false">IF(AND(ISNUMBER(I53),ISNUMBER(H53),H53&lt;&gt;0),I53/H53-1,"")</f>
        <v/>
      </c>
      <c r="J117" s="44" t="str">
        <f aca="false">IF(AND(ISNUMBER(J53),ISNUMBER(I53),I53&lt;&gt;0),J53/I53-1,"")</f>
        <v/>
      </c>
      <c r="K117" s="44" t="str">
        <f aca="false">IF(AND(ISNUMBER(K53),ISNUMBER(J53),J53&lt;&gt;0),K53/J53-1,"")</f>
        <v/>
      </c>
      <c r="L117" s="44" t="str">
        <f aca="false">IF(AND(ISNUMBER(L53),ISNUMBER(K53),K53&lt;&gt;0),L53/K53-1,"")</f>
        <v/>
      </c>
      <c r="M117" s="44" t="str">
        <f aca="false">IF(AND(ISNUMBER(M53),ISNUMBER(L53),L53&lt;&gt;0),M53/L53-1,"")</f>
        <v/>
      </c>
      <c r="N117" s="44" t="str">
        <f aca="false">IF(AND(ISNUMBER(N53),ISNUMBER(M53),M53&lt;&gt;0),N53/M53-1,"")</f>
        <v/>
      </c>
    </row>
    <row r="118" customFormat="false" ht="15" hidden="false" customHeight="false" outlineLevel="0" collapsed="false">
      <c r="A118" s="61" t="s">
        <v>1016</v>
      </c>
      <c r="C118" s="5" t="s">
        <v>1017</v>
      </c>
      <c r="F118" s="44" t="str">
        <f aca="false">IF(AND(ISNUMBER(F54),ISNUMBER(E54),E54&lt;&gt;0),F54/E54-1,"")</f>
        <v/>
      </c>
      <c r="G118" s="44" t="str">
        <f aca="false">IF(AND(ISNUMBER(G54),ISNUMBER(F54),F54&lt;&gt;0),G54/F54-1,"")</f>
        <v/>
      </c>
      <c r="H118" s="44" t="str">
        <f aca="false">IF(AND(ISNUMBER(H54),ISNUMBER(G54),G54&lt;&gt;0),H54/G54-1,"")</f>
        <v/>
      </c>
      <c r="I118" s="44" t="str">
        <f aca="false">IF(AND(ISNUMBER(I54),ISNUMBER(H54),H54&lt;&gt;0),I54/H54-1,"")</f>
        <v/>
      </c>
      <c r="J118" s="44" t="str">
        <f aca="false">IF(AND(ISNUMBER(J54),ISNUMBER(I54),I54&lt;&gt;0),J54/I54-1,"")</f>
        <v/>
      </c>
      <c r="K118" s="44" t="str">
        <f aca="false">IF(AND(ISNUMBER(K54),ISNUMBER(J54),J54&lt;&gt;0),K54/J54-1,"")</f>
        <v/>
      </c>
      <c r="L118" s="44" t="str">
        <f aca="false">IF(AND(ISNUMBER(L54),ISNUMBER(K54),K54&lt;&gt;0),L54/K54-1,"")</f>
        <v/>
      </c>
      <c r="M118" s="44" t="str">
        <f aca="false">IF(AND(ISNUMBER(M54),ISNUMBER(L54),L54&lt;&gt;0),M54/L54-1,"")</f>
        <v/>
      </c>
      <c r="N118" s="44" t="str">
        <f aca="false">IF(AND(ISNUMBER(N54),ISNUMBER(M54),M54&lt;&gt;0),N54/M54-1,"")</f>
        <v/>
      </c>
    </row>
    <row r="119" customFormat="false" ht="15" hidden="false" customHeight="false" outlineLevel="0" collapsed="false">
      <c r="A119" s="61" t="s">
        <v>1018</v>
      </c>
      <c r="C119" s="5" t="s">
        <v>1020</v>
      </c>
      <c r="F119" s="44" t="str">
        <f aca="false">IF(AND(ISNUMBER(F55),ISNUMBER(E55),E55&lt;&gt;0),F55/E55-1,"")</f>
        <v/>
      </c>
      <c r="G119" s="44" t="str">
        <f aca="false">IF(AND(ISNUMBER(G55),ISNUMBER(F55),F55&lt;&gt;0),G55/F55-1,"")</f>
        <v/>
      </c>
      <c r="H119" s="44" t="str">
        <f aca="false">IF(AND(ISNUMBER(H55),ISNUMBER(G55),G55&lt;&gt;0),H55/G55-1,"")</f>
        <v/>
      </c>
      <c r="I119" s="44" t="str">
        <f aca="false">IF(AND(ISNUMBER(I55),ISNUMBER(H55),H55&lt;&gt;0),I55/H55-1,"")</f>
        <v/>
      </c>
      <c r="J119" s="44" t="str">
        <f aca="false">IF(AND(ISNUMBER(J55),ISNUMBER(I55),I55&lt;&gt;0),J55/I55-1,"")</f>
        <v/>
      </c>
      <c r="K119" s="44" t="str">
        <f aca="false">IF(AND(ISNUMBER(K55),ISNUMBER(J55),J55&lt;&gt;0),K55/J55-1,"")</f>
        <v/>
      </c>
      <c r="L119" s="44" t="str">
        <f aca="false">IF(AND(ISNUMBER(L55),ISNUMBER(K55),K55&lt;&gt;0),L55/K55-1,"")</f>
        <v/>
      </c>
      <c r="M119" s="44" t="str">
        <f aca="false">IF(AND(ISNUMBER(M55),ISNUMBER(L55),L55&lt;&gt;0),M55/L55-1,"")</f>
        <v/>
      </c>
      <c r="N119" s="44" t="str">
        <f aca="false">IF(AND(ISNUMBER(N55),ISNUMBER(M55),M55&lt;&gt;0),N55/M55-1,"")</f>
        <v/>
      </c>
    </row>
    <row r="120" customFormat="false" ht="15" hidden="false" customHeight="false" outlineLevel="0" collapsed="false">
      <c r="A120" s="61" t="s">
        <v>1021</v>
      </c>
      <c r="C120" s="5" t="s">
        <v>1022</v>
      </c>
      <c r="F120" s="44" t="str">
        <f aca="false">IF(AND(ISNUMBER(F56),ISNUMBER(E56),E56&lt;&gt;0),F56/E56-1,"")</f>
        <v/>
      </c>
      <c r="G120" s="44" t="str">
        <f aca="false">IF(AND(ISNUMBER(G56),ISNUMBER(F56),F56&lt;&gt;0),G56/F56-1,"")</f>
        <v/>
      </c>
      <c r="H120" s="44" t="str">
        <f aca="false">IF(AND(ISNUMBER(H56),ISNUMBER(G56),G56&lt;&gt;0),H56/G56-1,"")</f>
        <v/>
      </c>
      <c r="I120" s="44" t="str">
        <f aca="false">IF(AND(ISNUMBER(I56),ISNUMBER(H56),H56&lt;&gt;0),I56/H56-1,"")</f>
        <v/>
      </c>
      <c r="J120" s="44" t="str">
        <f aca="false">IF(AND(ISNUMBER(J56),ISNUMBER(I56),I56&lt;&gt;0),J56/I56-1,"")</f>
        <v/>
      </c>
      <c r="K120" s="44" t="str">
        <f aca="false">IF(AND(ISNUMBER(K56),ISNUMBER(J56),J56&lt;&gt;0),K56/J56-1,"")</f>
        <v/>
      </c>
      <c r="L120" s="44" t="str">
        <f aca="false">IF(AND(ISNUMBER(L56),ISNUMBER(K56),K56&lt;&gt;0),L56/K56-1,"")</f>
        <v/>
      </c>
      <c r="M120" s="44" t="str">
        <f aca="false">IF(AND(ISNUMBER(M56),ISNUMBER(L56),L56&lt;&gt;0),M56/L56-1,"")</f>
        <v/>
      </c>
      <c r="N120" s="44" t="str">
        <f aca="false">IF(AND(ISNUMBER(N56),ISNUMBER(M56),M56&lt;&gt;0),N56/M56-1,"")</f>
        <v/>
      </c>
    </row>
    <row r="121" customFormat="false" ht="15" hidden="false" customHeight="false" outlineLevel="0" collapsed="false">
      <c r="A121" s="61" t="s">
        <v>1023</v>
      </c>
      <c r="C121" s="5" t="s">
        <v>1024</v>
      </c>
      <c r="F121" s="44" t="str">
        <f aca="false">IF(AND(ISNUMBER(F57),ISNUMBER(E57),E57&lt;&gt;0),F57/E57-1,"")</f>
        <v/>
      </c>
      <c r="G121" s="44" t="str">
        <f aca="false">IF(AND(ISNUMBER(G57),ISNUMBER(F57),F57&lt;&gt;0),G57/F57-1,"")</f>
        <v/>
      </c>
      <c r="H121" s="44" t="str">
        <f aca="false">IF(AND(ISNUMBER(H57),ISNUMBER(G57),G57&lt;&gt;0),H57/G57-1,"")</f>
        <v/>
      </c>
      <c r="I121" s="44" t="str">
        <f aca="false">IF(AND(ISNUMBER(I57),ISNUMBER(H57),H57&lt;&gt;0),I57/H57-1,"")</f>
        <v/>
      </c>
      <c r="J121" s="44" t="str">
        <f aca="false">IF(AND(ISNUMBER(J57),ISNUMBER(I57),I57&lt;&gt;0),J57/I57-1,"")</f>
        <v/>
      </c>
      <c r="K121" s="44" t="str">
        <f aca="false">IF(AND(ISNUMBER(K57),ISNUMBER(J57),J57&lt;&gt;0),K57/J57-1,"")</f>
        <v/>
      </c>
      <c r="L121" s="44" t="str">
        <f aca="false">IF(AND(ISNUMBER(L57),ISNUMBER(K57),K57&lt;&gt;0),L57/K57-1,"")</f>
        <v/>
      </c>
      <c r="M121" s="44" t="str">
        <f aca="false">IF(AND(ISNUMBER(M57),ISNUMBER(L57),L57&lt;&gt;0),M57/L57-1,"")</f>
        <v/>
      </c>
      <c r="N121" s="44" t="str">
        <f aca="false">IF(AND(ISNUMBER(N57),ISNUMBER(M57),M57&lt;&gt;0),N57/M57-1,"")</f>
        <v/>
      </c>
    </row>
    <row r="122" customFormat="false" ht="15" hidden="false" customHeight="false" outlineLevel="0" collapsed="false">
      <c r="A122" s="61" t="s">
        <v>1025</v>
      </c>
      <c r="C122" s="5" t="s">
        <v>1026</v>
      </c>
      <c r="F122" s="44" t="str">
        <f aca="false">IF(AND(ISNUMBER(F58),ISNUMBER(E58),E58&lt;&gt;0),F58/E58-1,"")</f>
        <v/>
      </c>
      <c r="G122" s="44" t="str">
        <f aca="false">IF(AND(ISNUMBER(G58),ISNUMBER(F58),F58&lt;&gt;0),G58/F58-1,"")</f>
        <v/>
      </c>
      <c r="H122" s="44" t="str">
        <f aca="false">IF(AND(ISNUMBER(H58),ISNUMBER(G58),G58&lt;&gt;0),H58/G58-1,"")</f>
        <v/>
      </c>
      <c r="I122" s="44" t="str">
        <f aca="false">IF(AND(ISNUMBER(I58),ISNUMBER(H58),H58&lt;&gt;0),I58/H58-1,"")</f>
        <v/>
      </c>
      <c r="J122" s="44" t="str">
        <f aca="false">IF(AND(ISNUMBER(J58),ISNUMBER(I58),I58&lt;&gt;0),J58/I58-1,"")</f>
        <v/>
      </c>
      <c r="K122" s="44" t="str">
        <f aca="false">IF(AND(ISNUMBER(K58),ISNUMBER(J58),J58&lt;&gt;0),K58/J58-1,"")</f>
        <v/>
      </c>
      <c r="L122" s="44" t="str">
        <f aca="false">IF(AND(ISNUMBER(L58),ISNUMBER(K58),K58&lt;&gt;0),L58/K58-1,"")</f>
        <v/>
      </c>
      <c r="M122" s="44" t="str">
        <f aca="false">IF(AND(ISNUMBER(M58),ISNUMBER(L58),L58&lt;&gt;0),M58/L58-1,"")</f>
        <v/>
      </c>
      <c r="N122" s="44" t="str">
        <f aca="false">IF(AND(ISNUMBER(N58),ISNUMBER(M58),M58&lt;&gt;0),N58/M58-1,"")</f>
        <v/>
      </c>
    </row>
    <row r="123" customFormat="false" ht="15" hidden="false" customHeight="false" outlineLevel="0" collapsed="false">
      <c r="A123" s="61" t="s">
        <v>1027</v>
      </c>
      <c r="C123" s="5" t="s">
        <v>1028</v>
      </c>
      <c r="F123" s="44" t="str">
        <f aca="false">IF(AND(ISNUMBER(F59),ISNUMBER(E59),E59&lt;&gt;0),F59/E59-1,"")</f>
        <v/>
      </c>
      <c r="G123" s="44" t="str">
        <f aca="false">IF(AND(ISNUMBER(G59),ISNUMBER(F59),F59&lt;&gt;0),G59/F59-1,"")</f>
        <v/>
      </c>
      <c r="H123" s="44" t="str">
        <f aca="false">IF(AND(ISNUMBER(H59),ISNUMBER(G59),G59&lt;&gt;0),H59/G59-1,"")</f>
        <v/>
      </c>
      <c r="I123" s="44" t="str">
        <f aca="false">IF(AND(ISNUMBER(I59),ISNUMBER(H59),H59&lt;&gt;0),I59/H59-1,"")</f>
        <v/>
      </c>
      <c r="J123" s="44" t="str">
        <f aca="false">IF(AND(ISNUMBER(J59),ISNUMBER(I59),I59&lt;&gt;0),J59/I59-1,"")</f>
        <v/>
      </c>
      <c r="K123" s="44" t="str">
        <f aca="false">IF(AND(ISNUMBER(K59),ISNUMBER(J59),J59&lt;&gt;0),K59/J59-1,"")</f>
        <v/>
      </c>
      <c r="L123" s="44" t="str">
        <f aca="false">IF(AND(ISNUMBER(L59),ISNUMBER(K59),K59&lt;&gt;0),L59/K59-1,"")</f>
        <v/>
      </c>
      <c r="M123" s="44" t="str">
        <f aca="false">IF(AND(ISNUMBER(M59),ISNUMBER(L59),L59&lt;&gt;0),M59/L59-1,"")</f>
        <v/>
      </c>
      <c r="N123" s="44" t="str">
        <f aca="false">IF(AND(ISNUMBER(N59),ISNUMBER(M59),M59&lt;&gt;0),N59/M59-1,"")</f>
        <v/>
      </c>
    </row>
    <row r="124" customFormat="false" ht="15" hidden="false" customHeight="false" outlineLevel="0" collapsed="false">
      <c r="A124" s="61" t="s">
        <v>1030</v>
      </c>
      <c r="C124" s="5" t="s">
        <v>1031</v>
      </c>
      <c r="F124" s="44" t="str">
        <f aca="false">IF(AND(ISNUMBER(F60),ISNUMBER(E60),E60&lt;&gt;0),F60/E60-1,"")</f>
        <v/>
      </c>
      <c r="G124" s="44" t="str">
        <f aca="false">IF(AND(ISNUMBER(G60),ISNUMBER(F60),F60&lt;&gt;0),G60/F60-1,"")</f>
        <v/>
      </c>
      <c r="H124" s="44" t="str">
        <f aca="false">IF(AND(ISNUMBER(H60),ISNUMBER(G60),G60&lt;&gt;0),H60/G60-1,"")</f>
        <v/>
      </c>
      <c r="I124" s="44" t="str">
        <f aca="false">IF(AND(ISNUMBER(I60),ISNUMBER(H60),H60&lt;&gt;0),I60/H60-1,"")</f>
        <v/>
      </c>
      <c r="J124" s="44" t="str">
        <f aca="false">IF(AND(ISNUMBER(J60),ISNUMBER(I60),I60&lt;&gt;0),J60/I60-1,"")</f>
        <v/>
      </c>
      <c r="K124" s="44" t="str">
        <f aca="false">IF(AND(ISNUMBER(K60),ISNUMBER(J60),J60&lt;&gt;0),K60/J60-1,"")</f>
        <v/>
      </c>
      <c r="L124" s="44" t="str">
        <f aca="false">IF(AND(ISNUMBER(L60),ISNUMBER(K60),K60&lt;&gt;0),L60/K60-1,"")</f>
        <v/>
      </c>
      <c r="M124" s="44" t="str">
        <f aca="false">IF(AND(ISNUMBER(M60),ISNUMBER(L60),L60&lt;&gt;0),M60/L60-1,"")</f>
        <v/>
      </c>
      <c r="N124" s="44" t="str">
        <f aca="false">IF(AND(ISNUMBER(N60),ISNUMBER(M60),M60&lt;&gt;0),N60/M60-1,"")</f>
        <v/>
      </c>
    </row>
    <row r="125" customFormat="false" ht="15" hidden="false" customHeight="false" outlineLevel="0" collapsed="false">
      <c r="A125" s="61" t="s">
        <v>1032</v>
      </c>
      <c r="C125" s="5" t="s">
        <v>1033</v>
      </c>
      <c r="F125" s="44" t="str">
        <f aca="false">IF(AND(ISNUMBER(F61),ISNUMBER(E61),E61&lt;&gt;0),F61/E61-1,"")</f>
        <v/>
      </c>
      <c r="G125" s="44" t="str">
        <f aca="false">IF(AND(ISNUMBER(G61),ISNUMBER(F61),F61&lt;&gt;0),G61/F61-1,"")</f>
        <v/>
      </c>
      <c r="H125" s="44" t="str">
        <f aca="false">IF(AND(ISNUMBER(H61),ISNUMBER(G61),G61&lt;&gt;0),H61/G61-1,"")</f>
        <v/>
      </c>
      <c r="I125" s="44" t="str">
        <f aca="false">IF(AND(ISNUMBER(I61),ISNUMBER(H61),H61&lt;&gt;0),I61/H61-1,"")</f>
        <v/>
      </c>
      <c r="J125" s="44" t="str">
        <f aca="false">IF(AND(ISNUMBER(J61),ISNUMBER(I61),I61&lt;&gt;0),J61/I61-1,"")</f>
        <v/>
      </c>
      <c r="K125" s="44" t="str">
        <f aca="false">IF(AND(ISNUMBER(K61),ISNUMBER(J61),J61&lt;&gt;0),K61/J61-1,"")</f>
        <v/>
      </c>
      <c r="L125" s="44" t="str">
        <f aca="false">IF(AND(ISNUMBER(L61),ISNUMBER(K61),K61&lt;&gt;0),L61/K61-1,"")</f>
        <v/>
      </c>
      <c r="M125" s="44" t="str">
        <f aca="false">IF(AND(ISNUMBER(M61),ISNUMBER(L61),L61&lt;&gt;0),M61/L61-1,"")</f>
        <v/>
      </c>
      <c r="N125" s="44" t="str">
        <f aca="false">IF(AND(ISNUMBER(N61),ISNUMBER(M61),M61&lt;&gt;0),N61/M61-1,"")</f>
        <v/>
      </c>
    </row>
    <row r="126" customFormat="false" ht="15" hidden="false" customHeight="false" outlineLevel="0" collapsed="false">
      <c r="A126" s="61" t="s">
        <v>1034</v>
      </c>
      <c r="C126" s="5" t="s">
        <v>1036</v>
      </c>
      <c r="F126" s="44" t="str">
        <f aca="false">IF(AND(ISNUMBER(F62),ISNUMBER(E62),E62&lt;&gt;0),F62/E62-1,"")</f>
        <v/>
      </c>
      <c r="G126" s="44" t="str">
        <f aca="false">IF(AND(ISNUMBER(G62),ISNUMBER(F62),F62&lt;&gt;0),G62/F62-1,"")</f>
        <v/>
      </c>
      <c r="H126" s="44" t="str">
        <f aca="false">IF(AND(ISNUMBER(H62),ISNUMBER(G62),G62&lt;&gt;0),H62/G62-1,"")</f>
        <v/>
      </c>
      <c r="I126" s="44" t="str">
        <f aca="false">IF(AND(ISNUMBER(I62),ISNUMBER(H62),H62&lt;&gt;0),I62/H62-1,"")</f>
        <v/>
      </c>
      <c r="J126" s="44" t="str">
        <f aca="false">IF(AND(ISNUMBER(J62),ISNUMBER(I62),I62&lt;&gt;0),J62/I62-1,"")</f>
        <v/>
      </c>
      <c r="K126" s="44" t="str">
        <f aca="false">IF(AND(ISNUMBER(K62),ISNUMBER(J62),J62&lt;&gt;0),K62/J62-1,"")</f>
        <v/>
      </c>
      <c r="L126" s="44" t="str">
        <f aca="false">IF(AND(ISNUMBER(L62),ISNUMBER(K62),K62&lt;&gt;0),L62/K62-1,"")</f>
        <v/>
      </c>
      <c r="M126" s="44" t="str">
        <f aca="false">IF(AND(ISNUMBER(M62),ISNUMBER(L62),L62&lt;&gt;0),M62/L62-1,"")</f>
        <v/>
      </c>
      <c r="N126" s="44" t="str">
        <f aca="false">IF(AND(ISNUMBER(N62),ISNUMBER(M62),M62&lt;&gt;0),N62/M62-1,"")</f>
        <v/>
      </c>
    </row>
    <row r="127" customFormat="false" ht="15" hidden="false" customHeight="false" outlineLevel="0" collapsed="false">
      <c r="A127" s="61" t="s">
        <v>1037</v>
      </c>
      <c r="C127" s="5" t="s">
        <v>1038</v>
      </c>
      <c r="F127" s="44" t="str">
        <f aca="false">IF(AND(ISNUMBER(F63),ISNUMBER(E63),E63&lt;&gt;0),F63/E63-1,"")</f>
        <v/>
      </c>
      <c r="G127" s="44" t="str">
        <f aca="false">IF(AND(ISNUMBER(G63),ISNUMBER(F63),F63&lt;&gt;0),G63/F63-1,"")</f>
        <v/>
      </c>
      <c r="H127" s="44" t="str">
        <f aca="false">IF(AND(ISNUMBER(H63),ISNUMBER(G63),G63&lt;&gt;0),H63/G63-1,"")</f>
        <v/>
      </c>
      <c r="I127" s="44" t="str">
        <f aca="false">IF(AND(ISNUMBER(I63),ISNUMBER(H63),H63&lt;&gt;0),I63/H63-1,"")</f>
        <v/>
      </c>
      <c r="J127" s="44" t="str">
        <f aca="false">IF(AND(ISNUMBER(J63),ISNUMBER(I63),I63&lt;&gt;0),J63/I63-1,"")</f>
        <v/>
      </c>
      <c r="K127" s="44" t="str">
        <f aca="false">IF(AND(ISNUMBER(K63),ISNUMBER(J63),J63&lt;&gt;0),K63/J63-1,"")</f>
        <v/>
      </c>
      <c r="L127" s="44" t="str">
        <f aca="false">IF(AND(ISNUMBER(L63),ISNUMBER(K63),K63&lt;&gt;0),L63/K63-1,"")</f>
        <v/>
      </c>
      <c r="M127" s="44" t="str">
        <f aca="false">IF(AND(ISNUMBER(M63),ISNUMBER(L63),L63&lt;&gt;0),M63/L63-1,"")</f>
        <v/>
      </c>
      <c r="N127" s="44" t="str">
        <f aca="false">IF(AND(ISNUMBER(N63),ISNUMBER(M63),M63&lt;&gt;0),N63/M63-1,"")</f>
        <v/>
      </c>
    </row>
    <row r="128" customFormat="false" ht="15" hidden="false" customHeight="false" outlineLevel="0" collapsed="false">
      <c r="A128" s="61" t="s">
        <v>1039</v>
      </c>
      <c r="C128" s="5" t="s">
        <v>1040</v>
      </c>
      <c r="F128" s="44" t="str">
        <f aca="false">IF(AND(ISNUMBER(F64),ISNUMBER(E64),E64&lt;&gt;0),F64/E64-1,"")</f>
        <v/>
      </c>
      <c r="G128" s="44" t="str">
        <f aca="false">IF(AND(ISNUMBER(G64),ISNUMBER(F64),F64&lt;&gt;0),G64/F64-1,"")</f>
        <v/>
      </c>
      <c r="H128" s="44" t="str">
        <f aca="false">IF(AND(ISNUMBER(H64),ISNUMBER(G64),G64&lt;&gt;0),H64/G64-1,"")</f>
        <v/>
      </c>
      <c r="I128" s="44" t="str">
        <f aca="false">IF(AND(ISNUMBER(I64),ISNUMBER(H64),H64&lt;&gt;0),I64/H64-1,"")</f>
        <v/>
      </c>
      <c r="J128" s="44" t="str">
        <f aca="false">IF(AND(ISNUMBER(J64),ISNUMBER(I64),I64&lt;&gt;0),J64/I64-1,"")</f>
        <v/>
      </c>
      <c r="K128" s="44" t="str">
        <f aca="false">IF(AND(ISNUMBER(K64),ISNUMBER(J64),J64&lt;&gt;0),K64/J64-1,"")</f>
        <v/>
      </c>
      <c r="L128" s="44" t="str">
        <f aca="false">IF(AND(ISNUMBER(L64),ISNUMBER(K64),K64&lt;&gt;0),L64/K64-1,"")</f>
        <v/>
      </c>
      <c r="M128" s="44" t="str">
        <f aca="false">IF(AND(ISNUMBER(M64),ISNUMBER(L64),L64&lt;&gt;0),M64/L64-1,"")</f>
        <v/>
      </c>
      <c r="N128" s="44" t="str">
        <f aca="false">IF(AND(ISNUMBER(N64),ISNUMBER(M64),M64&lt;&gt;0),N64/M64-1,"")</f>
        <v/>
      </c>
    </row>
    <row r="129" customFormat="false" ht="15" hidden="false" customHeight="false" outlineLevel="0" collapsed="false">
      <c r="A129" s="61" t="s">
        <v>1041</v>
      </c>
      <c r="C129" s="5" t="s">
        <v>1042</v>
      </c>
      <c r="F129" s="44" t="str">
        <f aca="false">IF(AND(ISNUMBER(F65),ISNUMBER(E65),E65&lt;&gt;0),F65/E65-1,"")</f>
        <v/>
      </c>
      <c r="G129" s="44" t="str">
        <f aca="false">IF(AND(ISNUMBER(G65),ISNUMBER(F65),F65&lt;&gt;0),G65/F65-1,"")</f>
        <v/>
      </c>
      <c r="H129" s="44" t="str">
        <f aca="false">IF(AND(ISNUMBER(H65),ISNUMBER(G65),G65&lt;&gt;0),H65/G65-1,"")</f>
        <v/>
      </c>
      <c r="I129" s="44" t="str">
        <f aca="false">IF(AND(ISNUMBER(I65),ISNUMBER(H65),H65&lt;&gt;0),I65/H65-1,"")</f>
        <v/>
      </c>
      <c r="J129" s="44" t="str">
        <f aca="false">IF(AND(ISNUMBER(J65),ISNUMBER(I65),I65&lt;&gt;0),J65/I65-1,"")</f>
        <v/>
      </c>
      <c r="K129" s="44" t="str">
        <f aca="false">IF(AND(ISNUMBER(K65),ISNUMBER(J65),J65&lt;&gt;0),K65/J65-1,"")</f>
        <v/>
      </c>
      <c r="L129" s="44" t="str">
        <f aca="false">IF(AND(ISNUMBER(L65),ISNUMBER(K65),K65&lt;&gt;0),L65/K65-1,"")</f>
        <v/>
      </c>
      <c r="M129" s="44" t="str">
        <f aca="false">IF(AND(ISNUMBER(M65),ISNUMBER(L65),L65&lt;&gt;0),M65/L65-1,"")</f>
        <v/>
      </c>
      <c r="N129" s="44" t="str">
        <f aca="false">IF(AND(ISNUMBER(N65),ISNUMBER(M65),M65&lt;&gt;0),N65/M65-1,"")</f>
        <v/>
      </c>
    </row>
    <row r="130" customFormat="false" ht="15" hidden="false" customHeight="false" outlineLevel="0" collapsed="false">
      <c r="A130" s="61" t="s">
        <v>1043</v>
      </c>
      <c r="C130" s="5" t="s">
        <v>1044</v>
      </c>
      <c r="F130" s="44" t="str">
        <f aca="false">IF(AND(ISNUMBER(F66),ISNUMBER(E66),E66&lt;&gt;0),F66/E66-1,"")</f>
        <v/>
      </c>
      <c r="G130" s="44" t="str">
        <f aca="false">IF(AND(ISNUMBER(G66),ISNUMBER(F66),F66&lt;&gt;0),G66/F66-1,"")</f>
        <v/>
      </c>
      <c r="H130" s="44" t="str">
        <f aca="false">IF(AND(ISNUMBER(H66),ISNUMBER(G66),G66&lt;&gt;0),H66/G66-1,"")</f>
        <v/>
      </c>
      <c r="I130" s="44" t="str">
        <f aca="false">IF(AND(ISNUMBER(I66),ISNUMBER(H66),H66&lt;&gt;0),I66/H66-1,"")</f>
        <v/>
      </c>
      <c r="J130" s="44" t="str">
        <f aca="false">IF(AND(ISNUMBER(J66),ISNUMBER(I66),I66&lt;&gt;0),J66/I66-1,"")</f>
        <v/>
      </c>
      <c r="K130" s="44" t="str">
        <f aca="false">IF(AND(ISNUMBER(K66),ISNUMBER(J66),J66&lt;&gt;0),K66/J66-1,"")</f>
        <v/>
      </c>
      <c r="L130" s="44" t="str">
        <f aca="false">IF(AND(ISNUMBER(L66),ISNUMBER(K66),K66&lt;&gt;0),L66/K66-1,"")</f>
        <v/>
      </c>
      <c r="M130" s="44" t="str">
        <f aca="false">IF(AND(ISNUMBER(M66),ISNUMBER(L66),L66&lt;&gt;0),M66/L66-1,"")</f>
        <v/>
      </c>
      <c r="N130" s="44" t="str">
        <f aca="false">IF(AND(ISNUMBER(N66),ISNUMBER(M66),M66&lt;&gt;0),N66/M66-1,"")</f>
        <v/>
      </c>
    </row>
    <row r="132" customFormat="false" ht="46.25" hidden="false" customHeight="false" outlineLevel="0" collapsed="false">
      <c r="B132" s="20" t="s">
        <v>1048</v>
      </c>
    </row>
    <row r="133" customFormat="false" ht="15" hidden="false" customHeight="false" outlineLevel="0" collapsed="false">
      <c r="A133" s="12"/>
      <c r="B133" s="12" t="s">
        <v>1049</v>
      </c>
      <c r="C133" s="12"/>
      <c r="D133" s="12"/>
      <c r="E133" s="12" t="s">
        <v>894</v>
      </c>
      <c r="F133" s="12" t="s">
        <v>895</v>
      </c>
      <c r="G133" s="12" t="s">
        <v>896</v>
      </c>
      <c r="H133" s="12" t="s">
        <v>897</v>
      </c>
      <c r="I133" s="12" t="s">
        <v>898</v>
      </c>
      <c r="J133" s="12" t="s">
        <v>899</v>
      </c>
      <c r="K133" s="12" t="s">
        <v>900</v>
      </c>
      <c r="L133" s="12" t="s">
        <v>901</v>
      </c>
      <c r="M133" s="12" t="s">
        <v>902</v>
      </c>
      <c r="N133" s="12" t="s">
        <v>903</v>
      </c>
    </row>
    <row r="134" customFormat="false" ht="15" hidden="false" customHeight="false" outlineLevel="0" collapsed="false">
      <c r="B134" s="5" t="s">
        <v>1050</v>
      </c>
      <c r="F134" s="15" t="str">
        <f aca="false">IF(AND(ISNUMBER(F78),ISNUMBER(F86)),IF(AND(F78&lt;0,F86&lt;0),"Both cut",""),"")</f>
        <v>Both cut</v>
      </c>
      <c r="G134" s="15" t="str">
        <f aca="false">IF(AND(ISNUMBER(G78),ISNUMBER(G86)),IF(AND(G78&lt;0,G86&lt;0),"Both cut",""),"")</f>
        <v/>
      </c>
      <c r="H134" s="15" t="str">
        <f aca="false">IF(AND(ISNUMBER(H78),ISNUMBER(H86)),IF(AND(H78&lt;0,H86&lt;0),"Both cut",""),"")</f>
        <v/>
      </c>
      <c r="I134" s="15" t="str">
        <f aca="false">IF(AND(ISNUMBER(I78),ISNUMBER(I86)),IF(AND(I78&lt;0,I86&lt;0),"Both cut",""),"")</f>
        <v/>
      </c>
      <c r="J134" s="15" t="str">
        <f aca="false">IF(AND(ISNUMBER(J78),ISNUMBER(J86)),IF(AND(J78&lt;0,J86&lt;0),"Both cut",""),"")</f>
        <v/>
      </c>
      <c r="K134" s="15" t="str">
        <f aca="false">IF(AND(ISNUMBER(K78),ISNUMBER(K86)),IF(AND(K78&lt;0,K86&lt;0),"Both cut",""),"")</f>
        <v/>
      </c>
      <c r="L134" s="15" t="str">
        <f aca="false">IF(AND(ISNUMBER(L78),ISNUMBER(L86)),IF(AND(L78&lt;0,L86&lt;0),"Both cut",""),"")</f>
        <v/>
      </c>
      <c r="M134" s="15" t="str">
        <f aca="false">IF(AND(ISNUMBER(M78),ISNUMBER(M86)),IF(AND(M78&lt;0,M86&lt;0),"Both cut",""),"")</f>
        <v/>
      </c>
      <c r="N134" s="15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1051</v>
      </c>
      <c r="F135" s="15" t="str">
        <f aca="false">IF(AND(ISNUMBER(F79),ISNUMBER(F87)),IF(AND(F79&lt;0,F87&lt;0),"Both cut",""),"")</f>
        <v/>
      </c>
      <c r="G135" s="15" t="str">
        <f aca="false">IF(AND(ISNUMBER(G79),ISNUMBER(G87)),IF(AND(G79&lt;0,G87&lt;0),"Both cut",""),"")</f>
        <v/>
      </c>
      <c r="H135" s="15" t="str">
        <f aca="false">IF(AND(ISNUMBER(H79),ISNUMBER(H87)),IF(AND(H79&lt;0,H87&lt;0),"Both cut",""),"")</f>
        <v/>
      </c>
      <c r="I135" s="15" t="str">
        <f aca="false">IF(AND(ISNUMBER(I79),ISNUMBER(I87)),IF(AND(I79&lt;0,I87&lt;0),"Both cut",""),"")</f>
        <v/>
      </c>
      <c r="J135" s="15" t="str">
        <f aca="false">IF(AND(ISNUMBER(J79),ISNUMBER(J87)),IF(AND(J79&lt;0,J87&lt;0),"Both cut",""),"")</f>
        <v/>
      </c>
      <c r="K135" s="15" t="str">
        <f aca="false">IF(AND(ISNUMBER(K79),ISNUMBER(K87)),IF(AND(K79&lt;0,K87&lt;0),"Both cut",""),"")</f>
        <v/>
      </c>
      <c r="L135" s="15" t="str">
        <f aca="false">IF(AND(ISNUMBER(L79),ISNUMBER(L87)),IF(AND(L79&lt;0,L87&lt;0),"Both cut",""),"")</f>
        <v/>
      </c>
      <c r="M135" s="15" t="str">
        <f aca="false">IF(AND(ISNUMBER(M79),ISNUMBER(M87)),IF(AND(M79&lt;0,M87&lt;0),"Both cut",""),"")</f>
        <v/>
      </c>
      <c r="N135" s="15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1052</v>
      </c>
      <c r="F136" s="15" t="str">
        <f aca="false">IF(AND(ISNUMBER(F80),ISNUMBER(F88)),IF(AND(F80&lt;0,F88&lt;0),"Both cut",""),"")</f>
        <v/>
      </c>
      <c r="G136" s="15" t="str">
        <f aca="false">IF(AND(ISNUMBER(G80),ISNUMBER(G88)),IF(AND(G80&lt;0,G88&lt;0),"Both cut",""),"")</f>
        <v/>
      </c>
      <c r="H136" s="15" t="str">
        <f aca="false">IF(AND(ISNUMBER(H80),ISNUMBER(H88)),IF(AND(H80&lt;0,H88&lt;0),"Both cut",""),"")</f>
        <v/>
      </c>
      <c r="I136" s="15" t="str">
        <f aca="false">IF(AND(ISNUMBER(I80),ISNUMBER(I88)),IF(AND(I80&lt;0,I88&lt;0),"Both cut",""),"")</f>
        <v/>
      </c>
      <c r="J136" s="15" t="str">
        <f aca="false">IF(AND(ISNUMBER(J80),ISNUMBER(J88)),IF(AND(J80&lt;0,J88&lt;0),"Both cut",""),"")</f>
        <v/>
      </c>
      <c r="K136" s="15" t="str">
        <f aca="false">IF(AND(ISNUMBER(K80),ISNUMBER(K88)),IF(AND(K80&lt;0,K88&lt;0),"Both cut",""),"")</f>
        <v/>
      </c>
      <c r="L136" s="15" t="str">
        <f aca="false">IF(AND(ISNUMBER(L80),ISNUMBER(L88)),IF(AND(L80&lt;0,L88&lt;0),"Both cut",""),"")</f>
        <v/>
      </c>
      <c r="M136" s="15" t="str">
        <f aca="false">IF(AND(ISNUMBER(M80),ISNUMBER(M88)),IF(AND(M80&lt;0,M88&lt;0),"Both cut",""),"")</f>
        <v/>
      </c>
      <c r="N136" s="15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1053</v>
      </c>
      <c r="F137" s="15" t="str">
        <f aca="false">IF(AND(ISNUMBER(F81),ISNUMBER(F89)),IF(AND(F81&lt;0,F89&lt;0),"Both cut",""),"")</f>
        <v/>
      </c>
      <c r="G137" s="15" t="str">
        <f aca="false">IF(AND(ISNUMBER(G81),ISNUMBER(G89)),IF(AND(G81&lt;0,G89&lt;0),"Both cut",""),"")</f>
        <v/>
      </c>
      <c r="H137" s="15" t="str">
        <f aca="false">IF(AND(ISNUMBER(H81),ISNUMBER(H89)),IF(AND(H81&lt;0,H89&lt;0),"Both cut",""),"")</f>
        <v/>
      </c>
      <c r="I137" s="15" t="str">
        <f aca="false">IF(AND(ISNUMBER(I81),ISNUMBER(I89)),IF(AND(I81&lt;0,I89&lt;0),"Both cut",""),"")</f>
        <v/>
      </c>
      <c r="J137" s="15" t="str">
        <f aca="false">IF(AND(ISNUMBER(J81),ISNUMBER(J89)),IF(AND(J81&lt;0,J89&lt;0),"Both cut",""),"")</f>
        <v/>
      </c>
      <c r="K137" s="15" t="str">
        <f aca="false">IF(AND(ISNUMBER(K81),ISNUMBER(K89)),IF(AND(K81&lt;0,K89&lt;0),"Both cut",""),"")</f>
        <v/>
      </c>
      <c r="L137" s="15" t="str">
        <f aca="false">IF(AND(ISNUMBER(L81),ISNUMBER(L89)),IF(AND(L81&lt;0,L89&lt;0),"Both cut",""),"")</f>
        <v/>
      </c>
      <c r="M137" s="15" t="str">
        <f aca="false">IF(AND(ISNUMBER(M81),ISNUMBER(M89)),IF(AND(M81&lt;0,M89&lt;0),"Both cut",""),"")</f>
        <v/>
      </c>
      <c r="N137" s="15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1054</v>
      </c>
      <c r="F138" s="15" t="str">
        <f aca="false">IF(AND(ISNUMBER(F82),ISNUMBER(F90)),IF(AND(F82&lt;0,F90&lt;0),"Both cut",""),"")</f>
        <v/>
      </c>
      <c r="G138" s="15" t="str">
        <f aca="false">IF(AND(ISNUMBER(G82),ISNUMBER(G90)),IF(AND(G82&lt;0,G90&lt;0),"Both cut",""),"")</f>
        <v/>
      </c>
      <c r="H138" s="15" t="str">
        <f aca="false">IF(AND(ISNUMBER(H82),ISNUMBER(H90)),IF(AND(H82&lt;0,H90&lt;0),"Both cut",""),"")</f>
        <v/>
      </c>
      <c r="I138" s="15" t="str">
        <f aca="false">IF(AND(ISNUMBER(I82),ISNUMBER(I90)),IF(AND(I82&lt;0,I90&lt;0),"Both cut",""),"")</f>
        <v/>
      </c>
      <c r="J138" s="15" t="str">
        <f aca="false">IF(AND(ISNUMBER(J82),ISNUMBER(J90)),IF(AND(J82&lt;0,J90&lt;0),"Both cut",""),"")</f>
        <v/>
      </c>
      <c r="K138" s="15" t="str">
        <f aca="false">IF(AND(ISNUMBER(K82),ISNUMBER(K90)),IF(AND(K82&lt;0,K90&lt;0),"Both cut",""),"")</f>
        <v/>
      </c>
      <c r="L138" s="15" t="str">
        <f aca="false">IF(AND(ISNUMBER(L82),ISNUMBER(L90)),IF(AND(L82&lt;0,L90&lt;0),"Both cut",""),"")</f>
        <v/>
      </c>
      <c r="M138" s="15" t="str">
        <f aca="false">IF(AND(ISNUMBER(M82),ISNUMBER(M90)),IF(AND(M82&lt;0,M90&lt;0),"Both cut",""),"")</f>
        <v/>
      </c>
      <c r="N138" s="15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1055</v>
      </c>
      <c r="F139" s="15" t="str">
        <f aca="false">IF(AND(ISNUMBER(F83),ISNUMBER(F91)),IF(AND(F83&lt;0,F91&lt;0),"Both cut",""),"")</f>
        <v/>
      </c>
      <c r="G139" s="15" t="str">
        <f aca="false">IF(AND(ISNUMBER(G83),ISNUMBER(G91)),IF(AND(G83&lt;0,G91&lt;0),"Both cut",""),"")</f>
        <v/>
      </c>
      <c r="H139" s="15" t="str">
        <f aca="false">IF(AND(ISNUMBER(H83),ISNUMBER(H91)),IF(AND(H83&lt;0,H91&lt;0),"Both cut",""),"")</f>
        <v/>
      </c>
      <c r="I139" s="15" t="str">
        <f aca="false">IF(AND(ISNUMBER(I83),ISNUMBER(I91)),IF(AND(I83&lt;0,I91&lt;0),"Both cut",""),"")</f>
        <v/>
      </c>
      <c r="J139" s="15" t="str">
        <f aca="false">IF(AND(ISNUMBER(J83),ISNUMBER(J91)),IF(AND(J83&lt;0,J91&lt;0),"Both cut",""),"")</f>
        <v/>
      </c>
      <c r="K139" s="15" t="str">
        <f aca="false">IF(AND(ISNUMBER(K83),ISNUMBER(K91)),IF(AND(K83&lt;0,K91&lt;0),"Both cut",""),"")</f>
        <v/>
      </c>
      <c r="L139" s="15" t="str">
        <f aca="false">IF(AND(ISNUMBER(L83),ISNUMBER(L91)),IF(AND(L83&lt;0,L91&lt;0),"Both cut",""),"")</f>
        <v/>
      </c>
      <c r="M139" s="15" t="str">
        <f aca="false">IF(AND(ISNUMBER(M83),ISNUMBER(M91)),IF(AND(M83&lt;0,M91&lt;0),"Both cut",""),"")</f>
        <v/>
      </c>
      <c r="N139" s="15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1056</v>
      </c>
      <c r="F140" s="15" t="str">
        <f aca="false">IF(AND(ISNUMBER(F84),ISNUMBER(F92)),IF(AND(F84&lt;0,F92&lt;0),"Both cut",""),"")</f>
        <v/>
      </c>
      <c r="G140" s="15" t="str">
        <f aca="false">IF(AND(ISNUMBER(G84),ISNUMBER(G92)),IF(AND(G84&lt;0,G92&lt;0),"Both cut",""),"")</f>
        <v/>
      </c>
      <c r="H140" s="15" t="str">
        <f aca="false">IF(AND(ISNUMBER(H84),ISNUMBER(H92)),IF(AND(H84&lt;0,H92&lt;0),"Both cut",""),"")</f>
        <v/>
      </c>
      <c r="I140" s="15" t="str">
        <f aca="false">IF(AND(ISNUMBER(I84),ISNUMBER(I92)),IF(AND(I84&lt;0,I92&lt;0),"Both cut",""),"")</f>
        <v/>
      </c>
      <c r="J140" s="15" t="str">
        <f aca="false">IF(AND(ISNUMBER(J84),ISNUMBER(J92)),IF(AND(J84&lt;0,J92&lt;0),"Both cut",""),"")</f>
        <v/>
      </c>
      <c r="K140" s="15" t="str">
        <f aca="false">IF(AND(ISNUMBER(K84),ISNUMBER(K92)),IF(AND(K84&lt;0,K92&lt;0),"Both cut",""),"")</f>
        <v/>
      </c>
      <c r="L140" s="15" t="str">
        <f aca="false">IF(AND(ISNUMBER(L84),ISNUMBER(L92)),IF(AND(L84&lt;0,L92&lt;0),"Both cut",""),"")</f>
        <v/>
      </c>
      <c r="M140" s="15" t="str">
        <f aca="false">IF(AND(ISNUMBER(M84),ISNUMBER(M92)),IF(AND(M84&lt;0,M92&lt;0),"Both cut",""),"")</f>
        <v/>
      </c>
      <c r="N140" s="15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1057</v>
      </c>
      <c r="F141" s="15" t="str">
        <f aca="false">IF(AND(ISNUMBER(F85),ISNUMBER(F93)),IF(AND(F85&lt;0,F93&lt;0),"Both cut",""),"")</f>
        <v/>
      </c>
      <c r="G141" s="15" t="str">
        <f aca="false">IF(AND(ISNUMBER(G85),ISNUMBER(G93)),IF(AND(G85&lt;0,G93&lt;0),"Both cut",""),"")</f>
        <v/>
      </c>
      <c r="H141" s="15" t="str">
        <f aca="false">IF(AND(ISNUMBER(H85),ISNUMBER(H93)),IF(AND(H85&lt;0,H93&lt;0),"Both cut",""),"")</f>
        <v/>
      </c>
      <c r="I141" s="15" t="str">
        <f aca="false">IF(AND(ISNUMBER(I85),ISNUMBER(I93)),IF(AND(I85&lt;0,I93&lt;0),"Both cut",""),"")</f>
        <v/>
      </c>
      <c r="J141" s="15" t="str">
        <f aca="false">IF(AND(ISNUMBER(J85),ISNUMBER(J93)),IF(AND(J85&lt;0,J93&lt;0),"Both cut",""),"")</f>
        <v/>
      </c>
      <c r="K141" s="15" t="str">
        <f aca="false">IF(AND(ISNUMBER(K85),ISNUMBER(K93)),IF(AND(K85&lt;0,K93&lt;0),"Both cut",""),"")</f>
        <v/>
      </c>
      <c r="L141" s="15" t="str">
        <f aca="false">IF(AND(ISNUMBER(L85),ISNUMBER(L93)),IF(AND(L85&lt;0,L93&lt;0),"Both cut",""),"")</f>
        <v/>
      </c>
      <c r="M141" s="15" t="str">
        <f aca="false">IF(AND(ISNUMBER(M85),ISNUMBER(M93)),IF(AND(M85&lt;0,M93&lt;0),"Both cut",""),"")</f>
        <v/>
      </c>
      <c r="N141" s="15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63" t="s">
        <v>1058</v>
      </c>
    </row>
    <row r="144" customFormat="false" ht="15" hidden="false" customHeight="false" outlineLevel="0" collapsed="false">
      <c r="B144" s="63" t="s">
        <v>1059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true" outlineLevel="0" max="18" min="18" style="0" width="13"/>
  </cols>
  <sheetData>
    <row r="1" customFormat="false" ht="19.7" hidden="false" customHeight="false" outlineLevel="0" collapsed="false">
      <c r="A1" s="7" t="s">
        <v>1060</v>
      </c>
    </row>
    <row r="2" customFormat="false" ht="15" hidden="false" customHeight="false" outlineLevel="0" collapsed="false">
      <c r="A2" s="3" t="s">
        <v>1061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129</v>
      </c>
      <c r="B5" s="12" t="s">
        <v>1062</v>
      </c>
      <c r="C5" s="12" t="s">
        <v>216</v>
      </c>
      <c r="D5" s="12" t="s">
        <v>894</v>
      </c>
      <c r="E5" s="12" t="s">
        <v>1063</v>
      </c>
      <c r="F5" s="12" t="s">
        <v>895</v>
      </c>
      <c r="G5" s="12" t="s">
        <v>1063</v>
      </c>
      <c r="H5" s="12" t="s">
        <v>896</v>
      </c>
      <c r="I5" s="12" t="s">
        <v>1063</v>
      </c>
      <c r="J5" s="12" t="s">
        <v>897</v>
      </c>
      <c r="K5" s="12" t="s">
        <v>1063</v>
      </c>
      <c r="L5" s="12" t="s">
        <v>898</v>
      </c>
      <c r="M5" s="12" t="s">
        <v>1063</v>
      </c>
    </row>
    <row r="6" customFormat="false" ht="15" hidden="false" customHeight="false" outlineLevel="0" collapsed="false">
      <c r="A6" s="64" t="s">
        <v>1064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R6" s="36" t="s">
        <v>1065</v>
      </c>
    </row>
    <row r="7" customFormat="false" ht="15" hidden="false" customHeight="false" outlineLevel="0" collapsed="false">
      <c r="A7" s="5" t="s">
        <v>905</v>
      </c>
      <c r="B7" s="5" t="s">
        <v>906</v>
      </c>
      <c r="C7" s="5" t="s">
        <v>907</v>
      </c>
      <c r="D7" s="11" t="s">
        <v>908</v>
      </c>
      <c r="F7" s="11" t="s">
        <v>908</v>
      </c>
      <c r="H7" s="66" t="s">
        <v>908</v>
      </c>
      <c r="J7" s="11"/>
      <c r="L7" s="11"/>
      <c r="R7" s="36" t="s">
        <v>1066</v>
      </c>
    </row>
    <row r="8" customFormat="false" ht="23.85" hidden="false" customHeight="false" outlineLevel="0" collapsed="false">
      <c r="A8" s="5" t="s">
        <v>905</v>
      </c>
      <c r="B8" s="5" t="s">
        <v>910</v>
      </c>
      <c r="C8" s="5" t="s">
        <v>907</v>
      </c>
      <c r="D8" s="11" t="s">
        <v>911</v>
      </c>
      <c r="F8" s="11" t="s">
        <v>911</v>
      </c>
      <c r="H8" s="66" t="s">
        <v>911</v>
      </c>
      <c r="J8" s="11"/>
      <c r="L8" s="11"/>
      <c r="R8" s="36" t="s">
        <v>1067</v>
      </c>
    </row>
    <row r="9" customFormat="false" ht="15" hidden="false" customHeight="false" outlineLevel="0" collapsed="false">
      <c r="A9" s="5" t="s">
        <v>913</v>
      </c>
      <c r="B9" s="5" t="s">
        <v>914</v>
      </c>
      <c r="C9" s="5" t="s">
        <v>915</v>
      </c>
      <c r="D9" s="28"/>
      <c r="F9" s="28"/>
      <c r="G9" s="67" t="str">
        <f aca="false">IF(AND(ISNUMBER(F9),ISNUMBER(D9)),F9-D9,"")</f>
        <v/>
      </c>
      <c r="H9" s="28"/>
      <c r="I9" s="67" t="str">
        <f aca="false">IF(AND(ISNUMBER(H9),ISNUMBER(F9)),H9-F9,"")</f>
        <v/>
      </c>
      <c r="J9" s="28"/>
      <c r="K9" s="67" t="str">
        <f aca="false">IF(AND(ISNUMBER(J9),ISNUMBER(H9)),J9-H9,"")</f>
        <v/>
      </c>
      <c r="L9" s="28"/>
      <c r="M9" s="67" t="str">
        <f aca="false">IF(AND(ISNUMBER(L9),ISNUMBER(J9)),L9-J9,"")</f>
        <v/>
      </c>
      <c r="R9" s="36" t="s">
        <v>1068</v>
      </c>
    </row>
    <row r="10" customFormat="false" ht="15" hidden="false" customHeight="false" outlineLevel="0" collapsed="false">
      <c r="A10" s="5" t="s">
        <v>913</v>
      </c>
      <c r="B10" s="5" t="s">
        <v>917</v>
      </c>
      <c r="C10" s="5" t="s">
        <v>915</v>
      </c>
      <c r="D10" s="28"/>
      <c r="F10" s="28"/>
      <c r="G10" s="67" t="str">
        <f aca="false">IF(AND(ISNUMBER(F10),ISNUMBER(D10)),F10-D10,"")</f>
        <v/>
      </c>
      <c r="H10" s="28"/>
      <c r="I10" s="67" t="str">
        <f aca="false">IF(AND(ISNUMBER(H10),ISNUMBER(F10)),H10-F10,"")</f>
        <v/>
      </c>
      <c r="J10" s="28"/>
      <c r="K10" s="67" t="str">
        <f aca="false">IF(AND(ISNUMBER(J10),ISNUMBER(H10)),J10-H10,"")</f>
        <v/>
      </c>
      <c r="L10" s="28"/>
      <c r="M10" s="67" t="str">
        <f aca="false">IF(AND(ISNUMBER(L10),ISNUMBER(J10)),L10-J10,"")</f>
        <v/>
      </c>
      <c r="R10" s="36" t="s">
        <v>1069</v>
      </c>
    </row>
    <row r="11" customFormat="false" ht="15" hidden="false" customHeight="false" outlineLevel="0" collapsed="false">
      <c r="A11" s="5" t="s">
        <v>913</v>
      </c>
      <c r="B11" s="5" t="s">
        <v>919</v>
      </c>
      <c r="C11" s="5" t="s">
        <v>920</v>
      </c>
      <c r="D11" s="19"/>
      <c r="F11" s="19"/>
      <c r="G11" s="68" t="str">
        <f aca="false">IF(AND(ISNUMBER(F11),ISNUMBER(D11)),F11-D11,"")</f>
        <v/>
      </c>
      <c r="H11" s="19"/>
      <c r="I11" s="68" t="str">
        <f aca="false">IF(AND(ISNUMBER(H11),ISNUMBER(F11)),H11-F11,"")</f>
        <v/>
      </c>
      <c r="J11" s="19"/>
      <c r="K11" s="68" t="str">
        <f aca="false">IF(AND(ISNUMBER(J11),ISNUMBER(H11)),J11-H11,"")</f>
        <v/>
      </c>
      <c r="L11" s="19"/>
      <c r="M11" s="68" t="str">
        <f aca="false">IF(AND(ISNUMBER(L11),ISNUMBER(J11)),L11-J11,"")</f>
        <v/>
      </c>
      <c r="R11" s="36" t="s">
        <v>1070</v>
      </c>
    </row>
    <row r="12" customFormat="false" ht="15" hidden="false" customHeight="false" outlineLevel="0" collapsed="false">
      <c r="A12" s="5" t="s">
        <v>913</v>
      </c>
      <c r="B12" s="5" t="s">
        <v>922</v>
      </c>
      <c r="C12" s="5" t="s">
        <v>920</v>
      </c>
      <c r="D12" s="19"/>
      <c r="F12" s="19"/>
      <c r="G12" s="68" t="str">
        <f aca="false">IF(AND(ISNUMBER(F12),ISNUMBER(D12)),F12-D12,"")</f>
        <v/>
      </c>
      <c r="H12" s="19"/>
      <c r="I12" s="68" t="str">
        <f aca="false">IF(AND(ISNUMBER(H12),ISNUMBER(F12)),H12-F12,"")</f>
        <v/>
      </c>
      <c r="J12" s="19"/>
      <c r="K12" s="68" t="str">
        <f aca="false">IF(AND(ISNUMBER(J12),ISNUMBER(H12)),J12-H12,"")</f>
        <v/>
      </c>
      <c r="L12" s="19"/>
      <c r="M12" s="68" t="str">
        <f aca="false">IF(AND(ISNUMBER(L12),ISNUMBER(J12)),L12-J12,"")</f>
        <v/>
      </c>
      <c r="R12" s="36" t="s">
        <v>1071</v>
      </c>
    </row>
    <row r="13" customFormat="false" ht="15" hidden="false" customHeight="false" outlineLevel="0" collapsed="false">
      <c r="A13" s="5" t="s">
        <v>913</v>
      </c>
      <c r="B13" s="5" t="s">
        <v>924</v>
      </c>
      <c r="C13" s="5" t="s">
        <v>925</v>
      </c>
      <c r="D13" s="24"/>
      <c r="F13" s="24"/>
      <c r="G13" s="69" t="str">
        <f aca="false">IF(AND(ISNUMBER(F13),ISNUMBER(D13)),F13-D13,"")</f>
        <v/>
      </c>
      <c r="H13" s="24"/>
      <c r="I13" s="69" t="str">
        <f aca="false">IF(AND(ISNUMBER(H13),ISNUMBER(F13)),H13-F13,"")</f>
        <v/>
      </c>
      <c r="J13" s="24"/>
      <c r="K13" s="69" t="str">
        <f aca="false">IF(AND(ISNUMBER(J13),ISNUMBER(H13)),J13-H13,"")</f>
        <v/>
      </c>
      <c r="L13" s="24"/>
      <c r="M13" s="69" t="str">
        <f aca="false">IF(AND(ISNUMBER(L13),ISNUMBER(J13)),L13-J13,"")</f>
        <v/>
      </c>
      <c r="R13" s="36" t="s">
        <v>1072</v>
      </c>
    </row>
    <row r="14" customFormat="false" ht="15" hidden="false" customHeight="false" outlineLevel="0" collapsed="false">
      <c r="A14" s="5" t="s">
        <v>913</v>
      </c>
      <c r="B14" s="5" t="s">
        <v>927</v>
      </c>
      <c r="C14" s="5" t="s">
        <v>925</v>
      </c>
      <c r="D14" s="24"/>
      <c r="F14" s="24"/>
      <c r="G14" s="69" t="str">
        <f aca="false">IF(AND(ISNUMBER(F14),ISNUMBER(D14)),F14-D14,"")</f>
        <v/>
      </c>
      <c r="H14" s="24"/>
      <c r="I14" s="69" t="str">
        <f aca="false">IF(AND(ISNUMBER(H14),ISNUMBER(F14)),H14-F14,"")</f>
        <v/>
      </c>
      <c r="J14" s="24"/>
      <c r="K14" s="69" t="str">
        <f aca="false">IF(AND(ISNUMBER(J14),ISNUMBER(H14)),J14-H14,"")</f>
        <v/>
      </c>
      <c r="L14" s="24"/>
      <c r="M14" s="69" t="str">
        <f aca="false">IF(AND(ISNUMBER(L14),ISNUMBER(J14)),L14-J14,"")</f>
        <v/>
      </c>
      <c r="R14" s="36" t="s">
        <v>1073</v>
      </c>
    </row>
    <row r="15" customFormat="false" ht="15" hidden="false" customHeight="false" outlineLevel="0" collapsed="false">
      <c r="A15" s="5" t="s">
        <v>929</v>
      </c>
      <c r="B15" s="5" t="s">
        <v>930</v>
      </c>
      <c r="C15" s="5" t="s">
        <v>611</v>
      </c>
      <c r="D15" s="62" t="n">
        <v>264</v>
      </c>
      <c r="F15" s="62" t="n">
        <v>239</v>
      </c>
      <c r="G15" s="70" t="n">
        <f aca="false">IF(AND(ISNUMBER(F15),ISNUMBER(D15)),F15-D15,"")</f>
        <v>-25</v>
      </c>
      <c r="H15" s="71" t="n">
        <v>239</v>
      </c>
      <c r="I15" s="70" t="n">
        <f aca="false">IF(AND(ISNUMBER(H15),ISNUMBER(F15)),H15-F15,"")</f>
        <v>0</v>
      </c>
      <c r="J15" s="62"/>
      <c r="K15" s="70" t="str">
        <f aca="false">IF(AND(ISNUMBER(J15),ISNUMBER(H15)),J15-H15,"")</f>
        <v/>
      </c>
      <c r="L15" s="62"/>
      <c r="M15" s="70" t="str">
        <f aca="false">IF(AND(ISNUMBER(L15),ISNUMBER(J15)),L15-J15,"")</f>
        <v/>
      </c>
      <c r="R15" s="36" t="s">
        <v>1074</v>
      </c>
    </row>
    <row r="16" customFormat="false" ht="15" hidden="false" customHeight="false" outlineLevel="0" collapsed="false">
      <c r="A16" s="5" t="s">
        <v>929</v>
      </c>
      <c r="B16" s="5" t="s">
        <v>932</v>
      </c>
      <c r="C16" s="5" t="s">
        <v>611</v>
      </c>
      <c r="D16" s="62" t="n">
        <v>270</v>
      </c>
      <c r="F16" s="62" t="n">
        <v>272</v>
      </c>
      <c r="G16" s="70" t="n">
        <f aca="false">IF(AND(ISNUMBER(F16),ISNUMBER(D16)),F16-D16,"")</f>
        <v>2</v>
      </c>
      <c r="H16" s="71" t="n">
        <v>262</v>
      </c>
      <c r="I16" s="70" t="n">
        <f aca="false">IF(AND(ISNUMBER(H16),ISNUMBER(F16)),H16-F16,"")</f>
        <v>-10</v>
      </c>
      <c r="J16" s="62"/>
      <c r="K16" s="70" t="str">
        <f aca="false">IF(AND(ISNUMBER(J16),ISNUMBER(H16)),J16-H16,"")</f>
        <v/>
      </c>
      <c r="L16" s="62"/>
      <c r="M16" s="70" t="str">
        <f aca="false">IF(AND(ISNUMBER(L16),ISNUMBER(J16)),L16-J16,"")</f>
        <v/>
      </c>
      <c r="R16" s="36" t="s">
        <v>1075</v>
      </c>
    </row>
    <row r="17" customFormat="false" ht="15" hidden="false" customHeight="false" outlineLevel="0" collapsed="false">
      <c r="A17" s="5" t="s">
        <v>929</v>
      </c>
      <c r="B17" s="5" t="s">
        <v>934</v>
      </c>
      <c r="C17" s="5" t="s">
        <v>611</v>
      </c>
      <c r="D17" s="62"/>
      <c r="F17" s="62"/>
      <c r="G17" s="70" t="str">
        <f aca="false">IF(AND(ISNUMBER(F17),ISNUMBER(D17)),F17-D17,"")</f>
        <v/>
      </c>
      <c r="H17" s="62"/>
      <c r="I17" s="70" t="str">
        <f aca="false">IF(AND(ISNUMBER(H17),ISNUMBER(F17)),H17-F17,"")</f>
        <v/>
      </c>
      <c r="J17" s="62"/>
      <c r="K17" s="70" t="str">
        <f aca="false">IF(AND(ISNUMBER(J17),ISNUMBER(H17)),J17-H17,"")</f>
        <v/>
      </c>
      <c r="L17" s="62"/>
      <c r="M17" s="70" t="str">
        <f aca="false">IF(AND(ISNUMBER(L17),ISNUMBER(J17)),L17-J17,"")</f>
        <v/>
      </c>
      <c r="R17" s="36" t="s">
        <v>112</v>
      </c>
    </row>
    <row r="18" customFormat="false" ht="15" hidden="false" customHeight="false" outlineLevel="0" collapsed="false">
      <c r="A18" s="5" t="s">
        <v>929</v>
      </c>
      <c r="B18" s="5" t="s">
        <v>936</v>
      </c>
      <c r="C18" s="5" t="s">
        <v>611</v>
      </c>
      <c r="D18" s="62"/>
      <c r="F18" s="62"/>
      <c r="G18" s="70" t="str">
        <f aca="false">IF(AND(ISNUMBER(F18),ISNUMBER(D18)),F18-D18,"")</f>
        <v/>
      </c>
      <c r="H18" s="62"/>
      <c r="I18" s="70" t="str">
        <f aca="false">IF(AND(ISNUMBER(H18),ISNUMBER(F18)),H18-F18,"")</f>
        <v/>
      </c>
      <c r="J18" s="62"/>
      <c r="K18" s="70" t="str">
        <f aca="false">IF(AND(ISNUMBER(J18),ISNUMBER(H18)),J18-H18,"")</f>
        <v/>
      </c>
      <c r="L18" s="62"/>
      <c r="M18" s="70" t="str">
        <f aca="false">IF(AND(ISNUMBER(L18),ISNUMBER(J18)),L18-J18,"")</f>
        <v/>
      </c>
      <c r="R18" s="36" t="s">
        <v>1076</v>
      </c>
    </row>
    <row r="19" customFormat="false" ht="15" hidden="false" customHeight="false" outlineLevel="0" collapsed="false">
      <c r="A19" s="5" t="s">
        <v>929</v>
      </c>
      <c r="B19" s="5" t="s">
        <v>938</v>
      </c>
      <c r="C19" s="5" t="s">
        <v>611</v>
      </c>
      <c r="D19" s="62"/>
      <c r="F19" s="62"/>
      <c r="G19" s="70" t="str">
        <f aca="false">IF(AND(ISNUMBER(F19),ISNUMBER(D19)),F19-D19,"")</f>
        <v/>
      </c>
      <c r="H19" s="62"/>
      <c r="I19" s="70" t="str">
        <f aca="false">IF(AND(ISNUMBER(H19),ISNUMBER(F19)),H19-F19,"")</f>
        <v/>
      </c>
      <c r="J19" s="62"/>
      <c r="K19" s="70" t="str">
        <f aca="false">IF(AND(ISNUMBER(J19),ISNUMBER(H19)),J19-H19,"")</f>
        <v/>
      </c>
      <c r="L19" s="62"/>
      <c r="M19" s="70" t="str">
        <f aca="false">IF(AND(ISNUMBER(L19),ISNUMBER(J19)),L19-J19,"")</f>
        <v/>
      </c>
      <c r="R19" s="36" t="s">
        <v>1077</v>
      </c>
    </row>
    <row r="20" customFormat="false" ht="15" hidden="false" customHeight="false" outlineLevel="0" collapsed="false">
      <c r="A20" s="5" t="s">
        <v>929</v>
      </c>
      <c r="B20" s="5" t="s">
        <v>940</v>
      </c>
      <c r="C20" s="5" t="s">
        <v>611</v>
      </c>
      <c r="D20" s="62"/>
      <c r="F20" s="62"/>
      <c r="G20" s="70" t="str">
        <f aca="false">IF(AND(ISNUMBER(F20),ISNUMBER(D20)),F20-D20,"")</f>
        <v/>
      </c>
      <c r="H20" s="62"/>
      <c r="I20" s="70" t="str">
        <f aca="false">IF(AND(ISNUMBER(H20),ISNUMBER(F20)),H20-F20,"")</f>
        <v/>
      </c>
      <c r="J20" s="62"/>
      <c r="K20" s="70" t="str">
        <f aca="false">IF(AND(ISNUMBER(J20),ISNUMBER(H20)),J20-H20,"")</f>
        <v/>
      </c>
      <c r="L20" s="62"/>
      <c r="M20" s="70" t="str">
        <f aca="false">IF(AND(ISNUMBER(L20),ISNUMBER(J20)),L20-J20,"")</f>
        <v/>
      </c>
      <c r="R20" s="36" t="s">
        <v>1078</v>
      </c>
    </row>
    <row r="21" customFormat="false" ht="15" hidden="false" customHeight="false" outlineLevel="0" collapsed="false">
      <c r="A21" s="5" t="s">
        <v>929</v>
      </c>
      <c r="B21" s="5" t="s">
        <v>942</v>
      </c>
      <c r="C21" s="5" t="s">
        <v>611</v>
      </c>
      <c r="D21" s="62"/>
      <c r="F21" s="62"/>
      <c r="G21" s="70" t="str">
        <f aca="false">IF(AND(ISNUMBER(F21),ISNUMBER(D21)),F21-D21,"")</f>
        <v/>
      </c>
      <c r="H21" s="62"/>
      <c r="I21" s="70" t="str">
        <f aca="false">IF(AND(ISNUMBER(H21),ISNUMBER(F21)),H21-F21,"")</f>
        <v/>
      </c>
      <c r="J21" s="62"/>
      <c r="K21" s="70" t="str">
        <f aca="false">IF(AND(ISNUMBER(J21),ISNUMBER(H21)),J21-H21,"")</f>
        <v/>
      </c>
      <c r="L21" s="62"/>
      <c r="M21" s="70" t="str">
        <f aca="false">IF(AND(ISNUMBER(L21),ISNUMBER(J21)),L21-J21,"")</f>
        <v/>
      </c>
      <c r="R21" s="36" t="s">
        <v>1079</v>
      </c>
    </row>
    <row r="22" customFormat="false" ht="15" hidden="false" customHeight="false" outlineLevel="0" collapsed="false">
      <c r="A22" s="5" t="s">
        <v>929</v>
      </c>
      <c r="B22" s="5" t="s">
        <v>944</v>
      </c>
      <c r="C22" s="5" t="s">
        <v>611</v>
      </c>
      <c r="D22" s="62"/>
      <c r="F22" s="62"/>
      <c r="G22" s="70" t="str">
        <f aca="false">IF(AND(ISNUMBER(F22),ISNUMBER(D22)),F22-D22,"")</f>
        <v/>
      </c>
      <c r="H22" s="62"/>
      <c r="I22" s="70" t="str">
        <f aca="false">IF(AND(ISNUMBER(H22),ISNUMBER(F22)),H22-F22,"")</f>
        <v/>
      </c>
      <c r="J22" s="62"/>
      <c r="K22" s="70" t="str">
        <f aca="false">IF(AND(ISNUMBER(J22),ISNUMBER(H22)),J22-H22,"")</f>
        <v/>
      </c>
      <c r="L22" s="62"/>
      <c r="M22" s="70" t="str">
        <f aca="false">IF(AND(ISNUMBER(L22),ISNUMBER(J22)),L22-J22,"")</f>
        <v/>
      </c>
      <c r="R22" s="36" t="s">
        <v>1080</v>
      </c>
    </row>
    <row r="23" customFormat="false" ht="15" hidden="false" customHeight="false" outlineLevel="0" collapsed="false">
      <c r="A23" s="5" t="s">
        <v>929</v>
      </c>
      <c r="B23" s="5" t="s">
        <v>946</v>
      </c>
      <c r="C23" s="5" t="s">
        <v>925</v>
      </c>
      <c r="D23" s="24" t="n">
        <v>7500</v>
      </c>
      <c r="F23" s="24" t="n">
        <v>6500</v>
      </c>
      <c r="G23" s="69" t="n">
        <f aca="false">IF(AND(ISNUMBER(F23),ISNUMBER(D23)),F23-D23,"")</f>
        <v>-1000</v>
      </c>
      <c r="H23" s="72" t="n">
        <v>6800</v>
      </c>
      <c r="I23" s="69" t="n">
        <f aca="false">IF(AND(ISNUMBER(H23),ISNUMBER(F23)),H23-F23,"")</f>
        <v>300</v>
      </c>
      <c r="J23" s="24"/>
      <c r="K23" s="69" t="str">
        <f aca="false">IF(AND(ISNUMBER(J23),ISNUMBER(H23)),J23-H23,"")</f>
        <v/>
      </c>
      <c r="L23" s="24"/>
      <c r="M23" s="69" t="str">
        <f aca="false">IF(AND(ISNUMBER(L23),ISNUMBER(J23)),L23-J23,"")</f>
        <v/>
      </c>
      <c r="R23" s="36" t="s">
        <v>1081</v>
      </c>
    </row>
    <row r="24" customFormat="false" ht="15" hidden="false" customHeight="false" outlineLevel="0" collapsed="false">
      <c r="A24" s="5" t="s">
        <v>929</v>
      </c>
      <c r="B24" s="5" t="s">
        <v>948</v>
      </c>
      <c r="C24" s="5" t="s">
        <v>925</v>
      </c>
      <c r="D24" s="24" t="n">
        <v>6000</v>
      </c>
      <c r="F24" s="24" t="n">
        <v>6100</v>
      </c>
      <c r="G24" s="69" t="n">
        <f aca="false">IF(AND(ISNUMBER(F24),ISNUMBER(D24)),F24-D24,"")</f>
        <v>100</v>
      </c>
      <c r="H24" s="72" t="n">
        <v>6200</v>
      </c>
      <c r="I24" s="69" t="n">
        <f aca="false">IF(AND(ISNUMBER(H24),ISNUMBER(F24)),H24-F24,"")</f>
        <v>100</v>
      </c>
      <c r="J24" s="24"/>
      <c r="K24" s="69" t="str">
        <f aca="false">IF(AND(ISNUMBER(J24),ISNUMBER(H24)),J24-H24,"")</f>
        <v/>
      </c>
      <c r="L24" s="24"/>
      <c r="M24" s="69" t="str">
        <f aca="false">IF(AND(ISNUMBER(L24),ISNUMBER(J24)),L24-J24,"")</f>
        <v/>
      </c>
      <c r="R24" s="36" t="s">
        <v>1082</v>
      </c>
    </row>
    <row r="25" customFormat="false" ht="15" hidden="false" customHeight="false" outlineLevel="0" collapsed="false">
      <c r="A25" s="5" t="s">
        <v>929</v>
      </c>
      <c r="B25" s="5" t="s">
        <v>950</v>
      </c>
      <c r="C25" s="5" t="s">
        <v>925</v>
      </c>
      <c r="D25" s="24"/>
      <c r="F25" s="24"/>
      <c r="G25" s="69" t="str">
        <f aca="false">IF(AND(ISNUMBER(F25),ISNUMBER(D25)),F25-D25,"")</f>
        <v/>
      </c>
      <c r="H25" s="24"/>
      <c r="I25" s="69" t="str">
        <f aca="false">IF(AND(ISNUMBER(H25),ISNUMBER(F25)),H25-F25,"")</f>
        <v/>
      </c>
      <c r="J25" s="24"/>
      <c r="K25" s="69" t="str">
        <f aca="false">IF(AND(ISNUMBER(J25),ISNUMBER(H25)),J25-H25,"")</f>
        <v/>
      </c>
      <c r="L25" s="24"/>
      <c r="M25" s="69" t="str">
        <f aca="false">IF(AND(ISNUMBER(L25),ISNUMBER(J25)),L25-J25,"")</f>
        <v/>
      </c>
      <c r="R25" s="36" t="s">
        <v>1083</v>
      </c>
    </row>
    <row r="26" customFormat="false" ht="15" hidden="false" customHeight="false" outlineLevel="0" collapsed="false">
      <c r="A26" s="5" t="s">
        <v>929</v>
      </c>
      <c r="B26" s="5" t="s">
        <v>952</v>
      </c>
      <c r="C26" s="5" t="s">
        <v>925</v>
      </c>
      <c r="D26" s="24"/>
      <c r="F26" s="24"/>
      <c r="G26" s="69" t="str">
        <f aca="false">IF(AND(ISNUMBER(F26),ISNUMBER(D26)),F26-D26,"")</f>
        <v/>
      </c>
      <c r="H26" s="24"/>
      <c r="I26" s="69" t="str">
        <f aca="false">IF(AND(ISNUMBER(H26),ISNUMBER(F26)),H26-F26,"")</f>
        <v/>
      </c>
      <c r="J26" s="24"/>
      <c r="K26" s="69" t="str">
        <f aca="false">IF(AND(ISNUMBER(J26),ISNUMBER(H26)),J26-H26,"")</f>
        <v/>
      </c>
      <c r="L26" s="24"/>
      <c r="M26" s="69" t="str">
        <f aca="false">IF(AND(ISNUMBER(L26),ISNUMBER(J26)),L26-J26,"")</f>
        <v/>
      </c>
      <c r="R26" s="36" t="s">
        <v>1084</v>
      </c>
    </row>
    <row r="27" customFormat="false" ht="15" hidden="false" customHeight="false" outlineLevel="0" collapsed="false">
      <c r="A27" s="5" t="s">
        <v>929</v>
      </c>
      <c r="B27" s="5" t="s">
        <v>954</v>
      </c>
      <c r="C27" s="5" t="s">
        <v>925</v>
      </c>
      <c r="D27" s="24"/>
      <c r="F27" s="24"/>
      <c r="G27" s="69" t="str">
        <f aca="false">IF(AND(ISNUMBER(F27),ISNUMBER(D27)),F27-D27,"")</f>
        <v/>
      </c>
      <c r="H27" s="24"/>
      <c r="I27" s="69" t="str">
        <f aca="false">IF(AND(ISNUMBER(H27),ISNUMBER(F27)),H27-F27,"")</f>
        <v/>
      </c>
      <c r="J27" s="24"/>
      <c r="K27" s="69" t="str">
        <f aca="false">IF(AND(ISNUMBER(J27),ISNUMBER(H27)),J27-H27,"")</f>
        <v/>
      </c>
      <c r="L27" s="24"/>
      <c r="M27" s="69" t="str">
        <f aca="false">IF(AND(ISNUMBER(L27),ISNUMBER(J27)),L27-J27,"")</f>
        <v/>
      </c>
    </row>
    <row r="28" customFormat="false" ht="15" hidden="false" customHeight="false" outlineLevel="0" collapsed="false">
      <c r="A28" s="5" t="s">
        <v>929</v>
      </c>
      <c r="B28" s="5" t="s">
        <v>956</v>
      </c>
      <c r="C28" s="5" t="s">
        <v>925</v>
      </c>
      <c r="D28" s="24"/>
      <c r="F28" s="24"/>
      <c r="G28" s="69" t="str">
        <f aca="false">IF(AND(ISNUMBER(F28),ISNUMBER(D28)),F28-D28,"")</f>
        <v/>
      </c>
      <c r="H28" s="24"/>
      <c r="I28" s="69" t="str">
        <f aca="false">IF(AND(ISNUMBER(H28),ISNUMBER(F28)),H28-F28,"")</f>
        <v/>
      </c>
      <c r="J28" s="24"/>
      <c r="K28" s="69" t="str">
        <f aca="false">IF(AND(ISNUMBER(J28),ISNUMBER(H28)),J28-H28,"")</f>
        <v/>
      </c>
      <c r="L28" s="24"/>
      <c r="M28" s="69" t="str">
        <f aca="false">IF(AND(ISNUMBER(L28),ISNUMBER(J28)),L28-J28,"")</f>
        <v/>
      </c>
    </row>
    <row r="29" customFormat="false" ht="15" hidden="false" customHeight="false" outlineLevel="0" collapsed="false">
      <c r="A29" s="5" t="s">
        <v>929</v>
      </c>
      <c r="B29" s="5" t="s">
        <v>958</v>
      </c>
      <c r="C29" s="5" t="s">
        <v>925</v>
      </c>
      <c r="D29" s="24"/>
      <c r="F29" s="24"/>
      <c r="G29" s="69" t="str">
        <f aca="false">IF(AND(ISNUMBER(F29),ISNUMBER(D29)),F29-D29,"")</f>
        <v/>
      </c>
      <c r="H29" s="24"/>
      <c r="I29" s="69" t="str">
        <f aca="false">IF(AND(ISNUMBER(H29),ISNUMBER(F29)),H29-F29,"")</f>
        <v/>
      </c>
      <c r="J29" s="24"/>
      <c r="K29" s="69" t="str">
        <f aca="false">IF(AND(ISNUMBER(J29),ISNUMBER(H29)),J29-H29,"")</f>
        <v/>
      </c>
      <c r="L29" s="24"/>
      <c r="M29" s="69" t="str">
        <f aca="false">IF(AND(ISNUMBER(L29),ISNUMBER(J29)),L29-J29,"")</f>
        <v/>
      </c>
    </row>
    <row r="30" customFormat="false" ht="15" hidden="false" customHeight="false" outlineLevel="0" collapsed="false">
      <c r="A30" s="5" t="s">
        <v>929</v>
      </c>
      <c r="B30" s="5" t="s">
        <v>960</v>
      </c>
      <c r="C30" s="5" t="s">
        <v>925</v>
      </c>
      <c r="D30" s="24"/>
      <c r="F30" s="24"/>
      <c r="G30" s="69" t="str">
        <f aca="false">IF(AND(ISNUMBER(F30),ISNUMBER(D30)),F30-D30,"")</f>
        <v/>
      </c>
      <c r="H30" s="24"/>
      <c r="I30" s="69" t="str">
        <f aca="false">IF(AND(ISNUMBER(H30),ISNUMBER(F30)),H30-F30,"")</f>
        <v/>
      </c>
      <c r="J30" s="24"/>
      <c r="K30" s="69" t="str">
        <f aca="false">IF(AND(ISNUMBER(J30),ISNUMBER(H30)),J30-H30,"")</f>
        <v/>
      </c>
      <c r="L30" s="24"/>
      <c r="M30" s="69" t="str">
        <f aca="false">IF(AND(ISNUMBER(L30),ISNUMBER(J30)),L30-J30,"")</f>
        <v/>
      </c>
    </row>
    <row r="31" customFormat="false" ht="23.85" hidden="false" customHeight="false" outlineLevel="0" collapsed="false">
      <c r="A31" s="5" t="s">
        <v>929</v>
      </c>
      <c r="B31" s="5" t="s">
        <v>962</v>
      </c>
      <c r="C31" s="5" t="s">
        <v>963</v>
      </c>
      <c r="D31" s="28"/>
      <c r="F31" s="28"/>
      <c r="G31" s="67" t="str">
        <f aca="false">IF(AND(ISNUMBER(F31),ISNUMBER(D31)),F31-D31,"")</f>
        <v/>
      </c>
      <c r="H31" s="28"/>
      <c r="I31" s="67" t="str">
        <f aca="false">IF(AND(ISNUMBER(H31),ISNUMBER(F31)),H31-F31,"")</f>
        <v/>
      </c>
      <c r="J31" s="28"/>
      <c r="K31" s="67" t="str">
        <f aca="false">IF(AND(ISNUMBER(J31),ISNUMBER(H31)),J31-H31,"")</f>
        <v/>
      </c>
      <c r="L31" s="28"/>
      <c r="M31" s="67" t="str">
        <f aca="false">IF(AND(ISNUMBER(L31),ISNUMBER(J31)),L31-J31,"")</f>
        <v/>
      </c>
    </row>
    <row r="32" customFormat="false" ht="23.85" hidden="false" customHeight="false" outlineLevel="0" collapsed="false">
      <c r="A32" s="5" t="s">
        <v>929</v>
      </c>
      <c r="B32" s="5" t="s">
        <v>965</v>
      </c>
      <c r="C32" s="5" t="s">
        <v>963</v>
      </c>
      <c r="D32" s="28"/>
      <c r="F32" s="28"/>
      <c r="G32" s="67" t="str">
        <f aca="false">IF(AND(ISNUMBER(F32),ISNUMBER(D32)),F32-D32,"")</f>
        <v/>
      </c>
      <c r="H32" s="28"/>
      <c r="I32" s="67" t="str">
        <f aca="false">IF(AND(ISNUMBER(H32),ISNUMBER(F32)),H32-F32,"")</f>
        <v/>
      </c>
      <c r="J32" s="28"/>
      <c r="K32" s="67" t="str">
        <f aca="false">IF(AND(ISNUMBER(J32),ISNUMBER(H32)),J32-H32,"")</f>
        <v/>
      </c>
      <c r="L32" s="28"/>
      <c r="M32" s="67" t="str">
        <f aca="false">IF(AND(ISNUMBER(L32),ISNUMBER(J32)),L32-J32,"")</f>
        <v/>
      </c>
    </row>
    <row r="33" customFormat="false" ht="23.85" hidden="false" customHeight="false" outlineLevel="0" collapsed="false">
      <c r="A33" s="5" t="s">
        <v>929</v>
      </c>
      <c r="B33" s="5" t="s">
        <v>967</v>
      </c>
      <c r="C33" s="5" t="s">
        <v>963</v>
      </c>
      <c r="D33" s="28"/>
      <c r="F33" s="28"/>
      <c r="G33" s="67" t="str">
        <f aca="false">IF(AND(ISNUMBER(F33),ISNUMBER(D33)),F33-D33,"")</f>
        <v/>
      </c>
      <c r="H33" s="28"/>
      <c r="I33" s="67" t="str">
        <f aca="false">IF(AND(ISNUMBER(H33),ISNUMBER(F33)),H33-F33,"")</f>
        <v/>
      </c>
      <c r="J33" s="28"/>
      <c r="K33" s="67" t="str">
        <f aca="false">IF(AND(ISNUMBER(J33),ISNUMBER(H33)),J33-H33,"")</f>
        <v/>
      </c>
      <c r="L33" s="28"/>
      <c r="M33" s="67" t="str">
        <f aca="false">IF(AND(ISNUMBER(L33),ISNUMBER(J33)),L33-J33,"")</f>
        <v/>
      </c>
    </row>
    <row r="34" customFormat="false" ht="23.85" hidden="false" customHeight="false" outlineLevel="0" collapsed="false">
      <c r="A34" s="5" t="s">
        <v>929</v>
      </c>
      <c r="B34" s="5" t="s">
        <v>969</v>
      </c>
      <c r="C34" s="5" t="s">
        <v>963</v>
      </c>
      <c r="D34" s="28"/>
      <c r="F34" s="28"/>
      <c r="G34" s="67" t="str">
        <f aca="false">IF(AND(ISNUMBER(F34),ISNUMBER(D34)),F34-D34,"")</f>
        <v/>
      </c>
      <c r="H34" s="28"/>
      <c r="I34" s="67" t="str">
        <f aca="false">IF(AND(ISNUMBER(H34),ISNUMBER(F34)),H34-F34,"")</f>
        <v/>
      </c>
      <c r="J34" s="28"/>
      <c r="K34" s="67" t="str">
        <f aca="false">IF(AND(ISNUMBER(J34),ISNUMBER(H34)),J34-H34,"")</f>
        <v/>
      </c>
      <c r="L34" s="28"/>
      <c r="M34" s="67" t="str">
        <f aca="false">IF(AND(ISNUMBER(L34),ISNUMBER(J34)),L34-J34,"")</f>
        <v/>
      </c>
    </row>
    <row r="35" customFormat="false" ht="23.85" hidden="false" customHeight="false" outlineLevel="0" collapsed="false">
      <c r="A35" s="5" t="s">
        <v>929</v>
      </c>
      <c r="B35" s="5" t="s">
        <v>971</v>
      </c>
      <c r="C35" s="5" t="s">
        <v>963</v>
      </c>
      <c r="D35" s="28"/>
      <c r="F35" s="28"/>
      <c r="G35" s="67" t="str">
        <f aca="false">IF(AND(ISNUMBER(F35),ISNUMBER(D35)),F35-D35,"")</f>
        <v/>
      </c>
      <c r="H35" s="28"/>
      <c r="I35" s="67" t="str">
        <f aca="false">IF(AND(ISNUMBER(H35),ISNUMBER(F35)),H35-F35,"")</f>
        <v/>
      </c>
      <c r="J35" s="28"/>
      <c r="K35" s="67" t="str">
        <f aca="false">IF(AND(ISNUMBER(J35),ISNUMBER(H35)),J35-H35,"")</f>
        <v/>
      </c>
      <c r="L35" s="28"/>
      <c r="M35" s="67" t="str">
        <f aca="false">IF(AND(ISNUMBER(L35),ISNUMBER(J35)),L35-J35,"")</f>
        <v/>
      </c>
    </row>
    <row r="36" customFormat="false" ht="23.85" hidden="false" customHeight="false" outlineLevel="0" collapsed="false">
      <c r="A36" s="5" t="s">
        <v>929</v>
      </c>
      <c r="B36" s="5" t="s">
        <v>973</v>
      </c>
      <c r="C36" s="5" t="s">
        <v>963</v>
      </c>
      <c r="D36" s="28"/>
      <c r="F36" s="28"/>
      <c r="G36" s="67" t="str">
        <f aca="false">IF(AND(ISNUMBER(F36),ISNUMBER(D36)),F36-D36,"")</f>
        <v/>
      </c>
      <c r="H36" s="28"/>
      <c r="I36" s="67" t="str">
        <f aca="false">IF(AND(ISNUMBER(H36),ISNUMBER(F36)),H36-F36,"")</f>
        <v/>
      </c>
      <c r="J36" s="28"/>
      <c r="K36" s="67" t="str">
        <f aca="false">IF(AND(ISNUMBER(J36),ISNUMBER(H36)),J36-H36,"")</f>
        <v/>
      </c>
      <c r="L36" s="28"/>
      <c r="M36" s="67" t="str">
        <f aca="false">IF(AND(ISNUMBER(L36),ISNUMBER(J36)),L36-J36,"")</f>
        <v/>
      </c>
    </row>
    <row r="37" customFormat="false" ht="23.85" hidden="false" customHeight="false" outlineLevel="0" collapsed="false">
      <c r="A37" s="5" t="s">
        <v>929</v>
      </c>
      <c r="B37" s="5" t="s">
        <v>975</v>
      </c>
      <c r="C37" s="5" t="s">
        <v>963</v>
      </c>
      <c r="D37" s="28"/>
      <c r="F37" s="28"/>
      <c r="G37" s="67" t="str">
        <f aca="false">IF(AND(ISNUMBER(F37),ISNUMBER(D37)),F37-D37,"")</f>
        <v/>
      </c>
      <c r="H37" s="28"/>
      <c r="I37" s="67" t="str">
        <f aca="false">IF(AND(ISNUMBER(H37),ISNUMBER(F37)),H37-F37,"")</f>
        <v/>
      </c>
      <c r="J37" s="28"/>
      <c r="K37" s="67" t="str">
        <f aca="false">IF(AND(ISNUMBER(J37),ISNUMBER(H37)),J37-H37,"")</f>
        <v/>
      </c>
      <c r="L37" s="28"/>
      <c r="M37" s="67" t="str">
        <f aca="false">IF(AND(ISNUMBER(L37),ISNUMBER(J37)),L37-J37,"")</f>
        <v/>
      </c>
    </row>
    <row r="38" customFormat="false" ht="23.85" hidden="false" customHeight="false" outlineLevel="0" collapsed="false">
      <c r="A38" s="5" t="s">
        <v>929</v>
      </c>
      <c r="B38" s="5" t="s">
        <v>977</v>
      </c>
      <c r="C38" s="5" t="s">
        <v>963</v>
      </c>
      <c r="D38" s="28"/>
      <c r="F38" s="28"/>
      <c r="G38" s="67" t="str">
        <f aca="false">IF(AND(ISNUMBER(F38),ISNUMBER(D38)),F38-D38,"")</f>
        <v/>
      </c>
      <c r="H38" s="28"/>
      <c r="I38" s="67" t="str">
        <f aca="false">IF(AND(ISNUMBER(H38),ISNUMBER(F38)),H38-F38,"")</f>
        <v/>
      </c>
      <c r="J38" s="28"/>
      <c r="K38" s="67" t="str">
        <f aca="false">IF(AND(ISNUMBER(J38),ISNUMBER(H38)),J38-H38,"")</f>
        <v/>
      </c>
      <c r="L38" s="28"/>
      <c r="M38" s="67" t="str">
        <f aca="false">IF(AND(ISNUMBER(L38),ISNUMBER(J38)),L38-J38,"")</f>
        <v/>
      </c>
    </row>
    <row r="39" customFormat="false" ht="15" hidden="false" customHeight="false" outlineLevel="0" collapsed="false">
      <c r="A39" s="5" t="s">
        <v>929</v>
      </c>
      <c r="B39" s="5" t="s">
        <v>979</v>
      </c>
      <c r="C39" s="5" t="s">
        <v>980</v>
      </c>
      <c r="D39" s="19"/>
      <c r="F39" s="19"/>
      <c r="G39" s="68" t="str">
        <f aca="false">IF(AND(ISNUMBER(F39),ISNUMBER(D39)),F39-D39,"")</f>
        <v/>
      </c>
      <c r="H39" s="19"/>
      <c r="I39" s="68" t="str">
        <f aca="false">IF(AND(ISNUMBER(H39),ISNUMBER(F39)),H39-F39,"")</f>
        <v/>
      </c>
      <c r="J39" s="19"/>
      <c r="K39" s="68" t="str">
        <f aca="false">IF(AND(ISNUMBER(J39),ISNUMBER(H39)),J39-H39,"")</f>
        <v/>
      </c>
      <c r="L39" s="19"/>
      <c r="M39" s="68" t="str">
        <f aca="false">IF(AND(ISNUMBER(L39),ISNUMBER(J39)),L39-J39,"")</f>
        <v/>
      </c>
    </row>
    <row r="40" customFormat="false" ht="15" hidden="false" customHeight="false" outlineLevel="0" collapsed="false">
      <c r="A40" s="5" t="s">
        <v>929</v>
      </c>
      <c r="B40" s="5" t="s">
        <v>982</v>
      </c>
      <c r="C40" s="5" t="s">
        <v>980</v>
      </c>
      <c r="D40" s="19"/>
      <c r="F40" s="19"/>
      <c r="G40" s="68" t="str">
        <f aca="false">IF(AND(ISNUMBER(F40),ISNUMBER(D40)),F40-D40,"")</f>
        <v/>
      </c>
      <c r="H40" s="19"/>
      <c r="I40" s="68" t="str">
        <f aca="false">IF(AND(ISNUMBER(H40),ISNUMBER(F40)),H40-F40,"")</f>
        <v/>
      </c>
      <c r="J40" s="19"/>
      <c r="K40" s="68" t="str">
        <f aca="false">IF(AND(ISNUMBER(J40),ISNUMBER(H40)),J40-H40,"")</f>
        <v/>
      </c>
      <c r="L40" s="19"/>
      <c r="M40" s="68" t="str">
        <f aca="false">IF(AND(ISNUMBER(L40),ISNUMBER(J40)),L40-J40,"")</f>
        <v/>
      </c>
    </row>
    <row r="41" customFormat="false" ht="15" hidden="false" customHeight="false" outlineLevel="0" collapsed="false">
      <c r="A41" s="5" t="s">
        <v>929</v>
      </c>
      <c r="B41" s="5" t="s">
        <v>984</v>
      </c>
      <c r="C41" s="5" t="s">
        <v>980</v>
      </c>
      <c r="D41" s="19"/>
      <c r="F41" s="19"/>
      <c r="G41" s="68" t="str">
        <f aca="false">IF(AND(ISNUMBER(F41),ISNUMBER(D41)),F41-D41,"")</f>
        <v/>
      </c>
      <c r="H41" s="19"/>
      <c r="I41" s="68" t="str">
        <f aca="false">IF(AND(ISNUMBER(H41),ISNUMBER(F41)),H41-F41,"")</f>
        <v/>
      </c>
      <c r="J41" s="19"/>
      <c r="K41" s="68" t="str">
        <f aca="false">IF(AND(ISNUMBER(J41),ISNUMBER(H41)),J41-H41,"")</f>
        <v/>
      </c>
      <c r="L41" s="19"/>
      <c r="M41" s="68" t="str">
        <f aca="false">IF(AND(ISNUMBER(L41),ISNUMBER(J41)),L41-J41,"")</f>
        <v/>
      </c>
    </row>
    <row r="42" customFormat="false" ht="15" hidden="false" customHeight="false" outlineLevel="0" collapsed="false">
      <c r="A42" s="5" t="s">
        <v>929</v>
      </c>
      <c r="B42" s="5" t="s">
        <v>986</v>
      </c>
      <c r="C42" s="5" t="s">
        <v>980</v>
      </c>
      <c r="D42" s="19"/>
      <c r="F42" s="19"/>
      <c r="G42" s="68" t="str">
        <f aca="false">IF(AND(ISNUMBER(F42),ISNUMBER(D42)),F42-D42,"")</f>
        <v/>
      </c>
      <c r="H42" s="19"/>
      <c r="I42" s="68" t="str">
        <f aca="false">IF(AND(ISNUMBER(H42),ISNUMBER(F42)),H42-F42,"")</f>
        <v/>
      </c>
      <c r="J42" s="19"/>
      <c r="K42" s="68" t="str">
        <f aca="false">IF(AND(ISNUMBER(J42),ISNUMBER(H42)),J42-H42,"")</f>
        <v/>
      </c>
      <c r="L42" s="19"/>
      <c r="M42" s="68" t="str">
        <f aca="false">IF(AND(ISNUMBER(L42),ISNUMBER(J42)),L42-J42,"")</f>
        <v/>
      </c>
    </row>
    <row r="43" customFormat="false" ht="15" hidden="false" customHeight="false" outlineLevel="0" collapsed="false">
      <c r="A43" s="5" t="s">
        <v>929</v>
      </c>
      <c r="B43" s="5" t="s">
        <v>988</v>
      </c>
      <c r="C43" s="5" t="s">
        <v>980</v>
      </c>
      <c r="D43" s="19"/>
      <c r="F43" s="19"/>
      <c r="G43" s="68" t="str">
        <f aca="false">IF(AND(ISNUMBER(F43),ISNUMBER(D43)),F43-D43,"")</f>
        <v/>
      </c>
      <c r="H43" s="19"/>
      <c r="I43" s="68" t="str">
        <f aca="false">IF(AND(ISNUMBER(H43),ISNUMBER(F43)),H43-F43,"")</f>
        <v/>
      </c>
      <c r="J43" s="19"/>
      <c r="K43" s="68" t="str">
        <f aca="false">IF(AND(ISNUMBER(J43),ISNUMBER(H43)),J43-H43,"")</f>
        <v/>
      </c>
      <c r="L43" s="19"/>
      <c r="M43" s="68" t="str">
        <f aca="false">IF(AND(ISNUMBER(L43),ISNUMBER(J43)),L43-J43,"")</f>
        <v/>
      </c>
    </row>
    <row r="44" customFormat="false" ht="15" hidden="false" customHeight="false" outlineLevel="0" collapsed="false">
      <c r="A44" s="5" t="s">
        <v>929</v>
      </c>
      <c r="B44" s="5" t="s">
        <v>990</v>
      </c>
      <c r="C44" s="5" t="s">
        <v>980</v>
      </c>
      <c r="D44" s="19"/>
      <c r="F44" s="19"/>
      <c r="G44" s="68" t="str">
        <f aca="false">IF(AND(ISNUMBER(F44),ISNUMBER(D44)),F44-D44,"")</f>
        <v/>
      </c>
      <c r="H44" s="19"/>
      <c r="I44" s="68" t="str">
        <f aca="false">IF(AND(ISNUMBER(H44),ISNUMBER(F44)),H44-F44,"")</f>
        <v/>
      </c>
      <c r="J44" s="19"/>
      <c r="K44" s="68" t="str">
        <f aca="false">IF(AND(ISNUMBER(J44),ISNUMBER(H44)),J44-H44,"")</f>
        <v/>
      </c>
      <c r="L44" s="19"/>
      <c r="M44" s="68" t="str">
        <f aca="false">IF(AND(ISNUMBER(L44),ISNUMBER(J44)),L44-J44,"")</f>
        <v/>
      </c>
    </row>
    <row r="45" customFormat="false" ht="15" hidden="false" customHeight="false" outlineLevel="0" collapsed="false">
      <c r="A45" s="5" t="s">
        <v>929</v>
      </c>
      <c r="B45" s="5" t="s">
        <v>992</v>
      </c>
      <c r="C45" s="5" t="s">
        <v>980</v>
      </c>
      <c r="D45" s="19"/>
      <c r="F45" s="19"/>
      <c r="G45" s="68" t="str">
        <f aca="false">IF(AND(ISNUMBER(F45),ISNUMBER(D45)),F45-D45,"")</f>
        <v/>
      </c>
      <c r="H45" s="19"/>
      <c r="I45" s="68" t="str">
        <f aca="false">IF(AND(ISNUMBER(H45),ISNUMBER(F45)),H45-F45,"")</f>
        <v/>
      </c>
      <c r="J45" s="19"/>
      <c r="K45" s="68" t="str">
        <f aca="false">IF(AND(ISNUMBER(J45),ISNUMBER(H45)),J45-H45,"")</f>
        <v/>
      </c>
      <c r="L45" s="19"/>
      <c r="M45" s="68" t="str">
        <f aca="false">IF(AND(ISNUMBER(L45),ISNUMBER(J45)),L45-J45,"")</f>
        <v/>
      </c>
    </row>
    <row r="46" customFormat="false" ht="15" hidden="false" customHeight="false" outlineLevel="0" collapsed="false">
      <c r="A46" s="5" t="s">
        <v>929</v>
      </c>
      <c r="B46" s="5" t="s">
        <v>994</v>
      </c>
      <c r="C46" s="5" t="s">
        <v>980</v>
      </c>
      <c r="D46" s="19"/>
      <c r="F46" s="19"/>
      <c r="G46" s="68" t="str">
        <f aca="false">IF(AND(ISNUMBER(F46),ISNUMBER(D46)),F46-D46,"")</f>
        <v/>
      </c>
      <c r="H46" s="19"/>
      <c r="I46" s="68" t="str">
        <f aca="false">IF(AND(ISNUMBER(H46),ISNUMBER(F46)),H46-F46,"")</f>
        <v/>
      </c>
      <c r="J46" s="19"/>
      <c r="K46" s="68" t="str">
        <f aca="false">IF(AND(ISNUMBER(J46),ISNUMBER(H46)),J46-H46,"")</f>
        <v/>
      </c>
      <c r="L46" s="19"/>
      <c r="M46" s="68" t="str">
        <f aca="false">IF(AND(ISNUMBER(L46),ISNUMBER(J46)),L46-J46,"")</f>
        <v/>
      </c>
    </row>
    <row r="47" customFormat="false" ht="15" hidden="false" customHeight="false" outlineLevel="0" collapsed="false">
      <c r="A47" s="5" t="s">
        <v>996</v>
      </c>
      <c r="B47" s="5" t="s">
        <v>997</v>
      </c>
      <c r="C47" s="5" t="s">
        <v>920</v>
      </c>
      <c r="D47" s="19"/>
      <c r="F47" s="19"/>
      <c r="G47" s="68" t="str">
        <f aca="false">IF(AND(ISNUMBER(F47),ISNUMBER(D47)),F47-D47,"")</f>
        <v/>
      </c>
      <c r="H47" s="19"/>
      <c r="I47" s="68" t="str">
        <f aca="false">IF(AND(ISNUMBER(H47),ISNUMBER(F47)),H47-F47,"")</f>
        <v/>
      </c>
      <c r="J47" s="19"/>
      <c r="K47" s="68" t="str">
        <f aca="false">IF(AND(ISNUMBER(J47),ISNUMBER(H47)),J47-H47,"")</f>
        <v/>
      </c>
      <c r="L47" s="19"/>
      <c r="M47" s="68" t="str">
        <f aca="false">IF(AND(ISNUMBER(L47),ISNUMBER(J47)),L47-J47,"")</f>
        <v/>
      </c>
    </row>
    <row r="48" customFormat="false" ht="15" hidden="false" customHeight="false" outlineLevel="0" collapsed="false">
      <c r="A48" s="5" t="s">
        <v>996</v>
      </c>
      <c r="B48" s="5" t="s">
        <v>999</v>
      </c>
      <c r="C48" s="5" t="s">
        <v>920</v>
      </c>
      <c r="D48" s="19"/>
      <c r="F48" s="19"/>
      <c r="G48" s="68" t="str">
        <f aca="false">IF(AND(ISNUMBER(F48),ISNUMBER(D48)),F48-D48,"")</f>
        <v/>
      </c>
      <c r="H48" s="19"/>
      <c r="I48" s="68" t="str">
        <f aca="false">IF(AND(ISNUMBER(H48),ISNUMBER(F48)),H48-F48,"")</f>
        <v/>
      </c>
      <c r="J48" s="19"/>
      <c r="K48" s="68" t="str">
        <f aca="false">IF(AND(ISNUMBER(J48),ISNUMBER(H48)),J48-H48,"")</f>
        <v/>
      </c>
      <c r="L48" s="19"/>
      <c r="M48" s="68" t="str">
        <f aca="false">IF(AND(ISNUMBER(L48),ISNUMBER(J48)),L48-J48,"")</f>
        <v/>
      </c>
    </row>
    <row r="49" customFormat="false" ht="15" hidden="false" customHeight="false" outlineLevel="0" collapsed="false">
      <c r="A49" s="5" t="s">
        <v>996</v>
      </c>
      <c r="B49" s="5" t="s">
        <v>1001</v>
      </c>
      <c r="C49" s="5" t="s">
        <v>1002</v>
      </c>
      <c r="D49" s="22"/>
      <c r="F49" s="22"/>
      <c r="G49" s="73" t="str">
        <f aca="false">IF(AND(ISNUMBER(F49),ISNUMBER(D49)),F49-D49,"")</f>
        <v/>
      </c>
      <c r="H49" s="22"/>
      <c r="I49" s="73" t="str">
        <f aca="false">IF(AND(ISNUMBER(H49),ISNUMBER(F49)),H49-F49,"")</f>
        <v/>
      </c>
      <c r="J49" s="22"/>
      <c r="K49" s="73" t="str">
        <f aca="false">IF(AND(ISNUMBER(J49),ISNUMBER(H49)),J49-H49,"")</f>
        <v/>
      </c>
      <c r="L49" s="22"/>
      <c r="M49" s="73" t="str">
        <f aca="false">IF(AND(ISNUMBER(L49),ISNUMBER(J49)),L49-J49,"")</f>
        <v/>
      </c>
    </row>
    <row r="50" customFormat="false" ht="15" hidden="false" customHeight="false" outlineLevel="0" collapsed="false">
      <c r="A50" s="5" t="s">
        <v>996</v>
      </c>
      <c r="B50" s="5" t="s">
        <v>1004</v>
      </c>
      <c r="C50" s="5" t="s">
        <v>1002</v>
      </c>
      <c r="D50" s="22"/>
      <c r="F50" s="22"/>
      <c r="G50" s="73" t="str">
        <f aca="false">IF(AND(ISNUMBER(F50),ISNUMBER(D50)),F50-D50,"")</f>
        <v/>
      </c>
      <c r="H50" s="22"/>
      <c r="I50" s="73" t="str">
        <f aca="false">IF(AND(ISNUMBER(H50),ISNUMBER(F50)),H50-F50,"")</f>
        <v/>
      </c>
      <c r="J50" s="22"/>
      <c r="K50" s="73" t="str">
        <f aca="false">IF(AND(ISNUMBER(J50),ISNUMBER(H50)),J50-H50,"")</f>
        <v/>
      </c>
      <c r="L50" s="22"/>
      <c r="M50" s="73" t="str">
        <f aca="false">IF(AND(ISNUMBER(L50),ISNUMBER(J50)),L50-J50,"")</f>
        <v/>
      </c>
    </row>
    <row r="51" customFormat="false" ht="15" hidden="false" customHeight="false" outlineLevel="0" collapsed="false">
      <c r="A51" s="5" t="s">
        <v>996</v>
      </c>
      <c r="B51" s="5" t="s">
        <v>1006</v>
      </c>
      <c r="C51" s="5" t="s">
        <v>1007</v>
      </c>
      <c r="D51" s="38"/>
      <c r="F51" s="38"/>
      <c r="G51" s="74" t="str">
        <f aca="false">IF(AND(ISNUMBER(F51),ISNUMBER(D51)),F51-D51,"")</f>
        <v/>
      </c>
      <c r="H51" s="38"/>
      <c r="I51" s="74" t="str">
        <f aca="false">IF(AND(ISNUMBER(H51),ISNUMBER(F51)),H51-F51,"")</f>
        <v/>
      </c>
      <c r="J51" s="38"/>
      <c r="K51" s="74" t="str">
        <f aca="false">IF(AND(ISNUMBER(J51),ISNUMBER(H51)),J51-H51,"")</f>
        <v/>
      </c>
      <c r="L51" s="38"/>
      <c r="M51" s="74" t="str">
        <f aca="false">IF(AND(ISNUMBER(L51),ISNUMBER(J51)),L51-J51,"")</f>
        <v/>
      </c>
    </row>
    <row r="52" customFormat="false" ht="15" hidden="false" customHeight="false" outlineLevel="0" collapsed="false">
      <c r="A52" s="5" t="s">
        <v>996</v>
      </c>
      <c r="B52" s="5" t="s">
        <v>1009</v>
      </c>
      <c r="C52" s="5" t="s">
        <v>1007</v>
      </c>
      <c r="D52" s="38"/>
      <c r="F52" s="38"/>
      <c r="G52" s="74" t="str">
        <f aca="false">IF(AND(ISNUMBER(F52),ISNUMBER(D52)),F52-D52,"")</f>
        <v/>
      </c>
      <c r="H52" s="38"/>
      <c r="I52" s="74" t="str">
        <f aca="false">IF(AND(ISNUMBER(H52),ISNUMBER(F52)),H52-F52,"")</f>
        <v/>
      </c>
      <c r="J52" s="38"/>
      <c r="K52" s="74" t="str">
        <f aca="false">IF(AND(ISNUMBER(J52),ISNUMBER(H52)),J52-H52,"")</f>
        <v/>
      </c>
      <c r="L52" s="38"/>
      <c r="M52" s="74" t="str">
        <f aca="false">IF(AND(ISNUMBER(L52),ISNUMBER(J52)),L52-J52,"")</f>
        <v/>
      </c>
    </row>
    <row r="53" customFormat="false" ht="15" hidden="false" customHeight="false" outlineLevel="0" collapsed="false">
      <c r="A53" s="5" t="s">
        <v>1011</v>
      </c>
      <c r="B53" s="5" t="s">
        <v>1012</v>
      </c>
      <c r="C53" s="5" t="s">
        <v>1007</v>
      </c>
      <c r="D53" s="38" t="n">
        <v>21000</v>
      </c>
      <c r="F53" s="38" t="n">
        <v>21500</v>
      </c>
      <c r="G53" s="74" t="n">
        <f aca="false">IF(AND(ISNUMBER(F53),ISNUMBER(D53)),F53-D53,"")</f>
        <v>500</v>
      </c>
      <c r="H53" s="75" t="n">
        <v>22000</v>
      </c>
      <c r="I53" s="74" t="n">
        <f aca="false">IF(AND(ISNUMBER(H53),ISNUMBER(F53)),H53-F53,"")</f>
        <v>500</v>
      </c>
      <c r="J53" s="38"/>
      <c r="K53" s="74" t="str">
        <f aca="false">IF(AND(ISNUMBER(J53),ISNUMBER(H53)),J53-H53,"")</f>
        <v/>
      </c>
      <c r="L53" s="38"/>
      <c r="M53" s="74" t="str">
        <f aca="false">IF(AND(ISNUMBER(L53),ISNUMBER(J53)),L53-J53,"")</f>
        <v/>
      </c>
    </row>
    <row r="54" customFormat="false" ht="15" hidden="false" customHeight="false" outlineLevel="0" collapsed="false">
      <c r="A54" s="5" t="s">
        <v>1011</v>
      </c>
      <c r="B54" s="5" t="s">
        <v>1014</v>
      </c>
      <c r="C54" s="5" t="s">
        <v>1015</v>
      </c>
      <c r="D54" s="62"/>
      <c r="F54" s="62"/>
      <c r="G54" s="70" t="str">
        <f aca="false">IF(AND(ISNUMBER(F54),ISNUMBER(D54)),F54-D54,"")</f>
        <v/>
      </c>
      <c r="H54" s="62"/>
      <c r="I54" s="70" t="str">
        <f aca="false">IF(AND(ISNUMBER(H54),ISNUMBER(F54)),H54-F54,"")</f>
        <v/>
      </c>
      <c r="J54" s="62"/>
      <c r="K54" s="70" t="str">
        <f aca="false">IF(AND(ISNUMBER(J54),ISNUMBER(H54)),J54-H54,"")</f>
        <v/>
      </c>
      <c r="L54" s="62"/>
      <c r="M54" s="70" t="str">
        <f aca="false">IF(AND(ISNUMBER(L54),ISNUMBER(J54)),L54-J54,"")</f>
        <v/>
      </c>
    </row>
    <row r="55" customFormat="false" ht="15" hidden="false" customHeight="false" outlineLevel="0" collapsed="false">
      <c r="A55" s="5" t="s">
        <v>1011</v>
      </c>
      <c r="B55" s="5" t="s">
        <v>1017</v>
      </c>
      <c r="C55" s="5" t="s">
        <v>1007</v>
      </c>
      <c r="D55" s="38"/>
      <c r="F55" s="38"/>
      <c r="G55" s="74" t="str">
        <f aca="false">IF(AND(ISNUMBER(F55),ISNUMBER(D55)),F55-D55,"")</f>
        <v/>
      </c>
      <c r="H55" s="38"/>
      <c r="I55" s="74" t="str">
        <f aca="false">IF(AND(ISNUMBER(H55),ISNUMBER(F55)),H55-F55,"")</f>
        <v/>
      </c>
      <c r="J55" s="38"/>
      <c r="K55" s="74" t="str">
        <f aca="false">IF(AND(ISNUMBER(J55),ISNUMBER(H55)),J55-H55,"")</f>
        <v/>
      </c>
      <c r="L55" s="38"/>
      <c r="M55" s="74" t="str">
        <f aca="false">IF(AND(ISNUMBER(L55),ISNUMBER(J55)),L55-J55,"")</f>
        <v/>
      </c>
    </row>
    <row r="56" customFormat="false" ht="15" hidden="false" customHeight="false" outlineLevel="0" collapsed="false">
      <c r="A56" s="5" t="s">
        <v>1019</v>
      </c>
      <c r="B56" s="5" t="s">
        <v>1020</v>
      </c>
      <c r="C56" s="5" t="s">
        <v>925</v>
      </c>
      <c r="D56" s="24"/>
      <c r="F56" s="24"/>
      <c r="G56" s="69" t="str">
        <f aca="false">IF(AND(ISNUMBER(F56),ISNUMBER(D56)),F56-D56,"")</f>
        <v/>
      </c>
      <c r="H56" s="24"/>
      <c r="I56" s="69" t="str">
        <f aca="false">IF(AND(ISNUMBER(H56),ISNUMBER(F56)),H56-F56,"")</f>
        <v/>
      </c>
      <c r="J56" s="24"/>
      <c r="K56" s="69" t="str">
        <f aca="false">IF(AND(ISNUMBER(J56),ISNUMBER(H56)),J56-H56,"")</f>
        <v/>
      </c>
      <c r="L56" s="24"/>
      <c r="M56" s="69" t="str">
        <f aca="false">IF(AND(ISNUMBER(L56),ISNUMBER(J56)),L56-J56,"")</f>
        <v/>
      </c>
    </row>
    <row r="57" customFormat="false" ht="15" hidden="false" customHeight="false" outlineLevel="0" collapsed="false">
      <c r="A57" s="5" t="s">
        <v>1019</v>
      </c>
      <c r="B57" s="5" t="s">
        <v>1022</v>
      </c>
      <c r="C57" s="5" t="s">
        <v>907</v>
      </c>
      <c r="D57" s="11"/>
      <c r="F57" s="11"/>
      <c r="H57" s="11"/>
      <c r="J57" s="11"/>
      <c r="L57" s="11"/>
    </row>
    <row r="58" customFormat="false" ht="15" hidden="false" customHeight="false" outlineLevel="0" collapsed="false">
      <c r="A58" s="5" t="s">
        <v>161</v>
      </c>
      <c r="B58" s="5" t="s">
        <v>1024</v>
      </c>
      <c r="C58" s="5" t="s">
        <v>925</v>
      </c>
      <c r="D58" s="24"/>
      <c r="F58" s="24"/>
      <c r="G58" s="69" t="str">
        <f aca="false">IF(AND(ISNUMBER(F58),ISNUMBER(D58)),F58-D58,"")</f>
        <v/>
      </c>
      <c r="H58" s="24"/>
      <c r="I58" s="69" t="str">
        <f aca="false">IF(AND(ISNUMBER(H58),ISNUMBER(F58)),H58-F58,"")</f>
        <v/>
      </c>
      <c r="J58" s="24"/>
      <c r="K58" s="69" t="str">
        <f aca="false">IF(AND(ISNUMBER(J58),ISNUMBER(H58)),J58-H58,"")</f>
        <v/>
      </c>
      <c r="L58" s="24"/>
      <c r="M58" s="69" t="str">
        <f aca="false">IF(AND(ISNUMBER(L58),ISNUMBER(J58)),L58-J58,"")</f>
        <v/>
      </c>
    </row>
    <row r="59" customFormat="false" ht="15" hidden="false" customHeight="false" outlineLevel="0" collapsed="false">
      <c r="A59" s="5" t="s">
        <v>161</v>
      </c>
      <c r="B59" s="5" t="s">
        <v>1026</v>
      </c>
      <c r="C59" s="5" t="s">
        <v>925</v>
      </c>
      <c r="D59" s="24"/>
      <c r="F59" s="24"/>
      <c r="G59" s="69" t="str">
        <f aca="false">IF(AND(ISNUMBER(F59),ISNUMBER(D59)),F59-D59,"")</f>
        <v/>
      </c>
      <c r="H59" s="24"/>
      <c r="I59" s="69" t="str">
        <f aca="false">IF(AND(ISNUMBER(H59),ISNUMBER(F59)),H59-F59,"")</f>
        <v/>
      </c>
      <c r="J59" s="24"/>
      <c r="K59" s="69" t="str">
        <f aca="false">IF(AND(ISNUMBER(J59),ISNUMBER(H59)),J59-H59,"")</f>
        <v/>
      </c>
      <c r="L59" s="24"/>
      <c r="M59" s="69" t="str">
        <f aca="false">IF(AND(ISNUMBER(L59),ISNUMBER(J59)),L59-J59,"")</f>
        <v/>
      </c>
    </row>
    <row r="60" customFormat="false" ht="15" hidden="false" customHeight="false" outlineLevel="0" collapsed="false">
      <c r="A60" s="5" t="s">
        <v>161</v>
      </c>
      <c r="B60" s="5" t="s">
        <v>1028</v>
      </c>
      <c r="C60" s="5" t="s">
        <v>1029</v>
      </c>
      <c r="D60" s="24"/>
      <c r="F60" s="24"/>
      <c r="G60" s="69" t="str">
        <f aca="false">IF(AND(ISNUMBER(F60),ISNUMBER(D60)),F60-D60,"")</f>
        <v/>
      </c>
      <c r="H60" s="24"/>
      <c r="I60" s="69" t="str">
        <f aca="false">IF(AND(ISNUMBER(H60),ISNUMBER(F60)),H60-F60,"")</f>
        <v/>
      </c>
      <c r="J60" s="24"/>
      <c r="K60" s="69" t="str">
        <f aca="false">IF(AND(ISNUMBER(J60),ISNUMBER(H60)),J60-H60,"")</f>
        <v/>
      </c>
      <c r="L60" s="24"/>
      <c r="M60" s="69" t="str">
        <f aca="false">IF(AND(ISNUMBER(L60),ISNUMBER(J60)),L60-J60,"")</f>
        <v/>
      </c>
    </row>
    <row r="61" customFormat="false" ht="15" hidden="false" customHeight="false" outlineLevel="0" collapsed="false">
      <c r="A61" s="5" t="s">
        <v>161</v>
      </c>
      <c r="B61" s="5" t="s">
        <v>1031</v>
      </c>
      <c r="C61" s="5" t="s">
        <v>1029</v>
      </c>
      <c r="D61" s="24"/>
      <c r="F61" s="24"/>
      <c r="G61" s="69" t="str">
        <f aca="false">IF(AND(ISNUMBER(F61),ISNUMBER(D61)),F61-D61,"")</f>
        <v/>
      </c>
      <c r="H61" s="24"/>
      <c r="I61" s="69" t="str">
        <f aca="false">IF(AND(ISNUMBER(H61),ISNUMBER(F61)),H61-F61,"")</f>
        <v/>
      </c>
      <c r="J61" s="24"/>
      <c r="K61" s="69" t="str">
        <f aca="false">IF(AND(ISNUMBER(J61),ISNUMBER(H61)),J61-H61,"")</f>
        <v/>
      </c>
      <c r="L61" s="24"/>
      <c r="M61" s="69" t="str">
        <f aca="false">IF(AND(ISNUMBER(L61),ISNUMBER(J61)),L61-J61,"")</f>
        <v/>
      </c>
    </row>
    <row r="62" customFormat="false" ht="15" hidden="false" customHeight="false" outlineLevel="0" collapsed="false">
      <c r="A62" s="5" t="s">
        <v>161</v>
      </c>
      <c r="B62" s="5" t="s">
        <v>1033</v>
      </c>
      <c r="C62" s="5" t="s">
        <v>611</v>
      </c>
      <c r="D62" s="62"/>
      <c r="F62" s="62"/>
      <c r="G62" s="70" t="str">
        <f aca="false">IF(AND(ISNUMBER(F62),ISNUMBER(D62)),F62-D62,"")</f>
        <v/>
      </c>
      <c r="H62" s="62"/>
      <c r="I62" s="70" t="str">
        <f aca="false">IF(AND(ISNUMBER(H62),ISNUMBER(F62)),H62-F62,"")</f>
        <v/>
      </c>
      <c r="J62" s="62"/>
      <c r="K62" s="70" t="str">
        <f aca="false">IF(AND(ISNUMBER(J62),ISNUMBER(H62)),J62-H62,"")</f>
        <v/>
      </c>
      <c r="L62" s="62"/>
      <c r="M62" s="70" t="str">
        <f aca="false">IF(AND(ISNUMBER(L62),ISNUMBER(J62)),L62-J62,"")</f>
        <v/>
      </c>
    </row>
    <row r="64" customFormat="false" ht="15" hidden="false" customHeight="false" outlineLevel="0" collapsed="false">
      <c r="A64" s="64" t="s">
        <v>1085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</row>
    <row r="65" customFormat="false" ht="15" hidden="false" customHeight="false" outlineLevel="0" collapsed="false">
      <c r="A65" s="5" t="s">
        <v>1086</v>
      </c>
      <c r="B65" s="20" t="s">
        <v>107</v>
      </c>
      <c r="D65" s="76" t="n">
        <v>1.85</v>
      </c>
      <c r="F65" s="76" t="n">
        <v>2.1</v>
      </c>
      <c r="G65" s="77" t="n">
        <f aca="false">IF(AND(ISNUMBER(F65),ISNUMBER(D65)),F65-D65,"")</f>
        <v>0.25</v>
      </c>
      <c r="H65" s="76"/>
      <c r="I65" s="77" t="str">
        <f aca="false">IF(AND(ISNUMBER(H65),ISNUMBER(F65)),H65-F65,"")</f>
        <v/>
      </c>
      <c r="J65" s="76"/>
      <c r="K65" s="77" t="str">
        <f aca="false">IF(AND(ISNUMBER(J65),ISNUMBER(H65)),J65-H65,"")</f>
        <v/>
      </c>
      <c r="L65" s="76"/>
      <c r="M65" s="77" t="str">
        <f aca="false">IF(AND(ISNUMBER(L65),ISNUMBER(J65)),L65-J65,"")</f>
        <v/>
      </c>
    </row>
    <row r="66" customFormat="false" ht="15" hidden="false" customHeight="false" outlineLevel="0" collapsed="false">
      <c r="A66" s="5" t="s">
        <v>1086</v>
      </c>
      <c r="B66" s="5" t="s">
        <v>1087</v>
      </c>
      <c r="D66" s="76" t="n">
        <v>2</v>
      </c>
      <c r="F66" s="76" t="n">
        <v>2.15</v>
      </c>
      <c r="G66" s="77" t="n">
        <f aca="false">IF(AND(ISNUMBER(F66),ISNUMBER(D66)),F66-D66,"")</f>
        <v>0.15</v>
      </c>
      <c r="H66" s="76"/>
      <c r="I66" s="77" t="str">
        <f aca="false">IF(AND(ISNUMBER(H66),ISNUMBER(F66)),H66-F66,"")</f>
        <v/>
      </c>
      <c r="J66" s="76"/>
      <c r="K66" s="77" t="str">
        <f aca="false">IF(AND(ISNUMBER(J66),ISNUMBER(H66)),J66-H66,"")</f>
        <v/>
      </c>
      <c r="L66" s="76"/>
      <c r="M66" s="77" t="str">
        <f aca="false">IF(AND(ISNUMBER(L66),ISNUMBER(J66)),L66-J66,"")</f>
        <v/>
      </c>
    </row>
    <row r="67" customFormat="false" ht="15" hidden="false" customHeight="false" outlineLevel="0" collapsed="false">
      <c r="A67" s="5" t="s">
        <v>1086</v>
      </c>
      <c r="B67" s="20" t="s">
        <v>1088</v>
      </c>
      <c r="D67" s="22" t="n">
        <v>0.142</v>
      </c>
      <c r="F67" s="22" t="n">
        <v>0.155</v>
      </c>
      <c r="G67" s="73" t="n">
        <f aca="false">IF(AND(ISNUMBER(F67),ISNUMBER(D67)),F67-D67,"")</f>
        <v>0.013</v>
      </c>
      <c r="H67" s="22"/>
      <c r="I67" s="73" t="str">
        <f aca="false">IF(AND(ISNUMBER(H67),ISNUMBER(F67)),H67-F67,"")</f>
        <v/>
      </c>
      <c r="J67" s="22"/>
      <c r="K67" s="73" t="str">
        <f aca="false">IF(AND(ISNUMBER(J67),ISNUMBER(H67)),J67-H67,"")</f>
        <v/>
      </c>
      <c r="L67" s="22"/>
      <c r="M67" s="73" t="str">
        <f aca="false">IF(AND(ISNUMBER(L67),ISNUMBER(J67)),L67-J67,"")</f>
        <v/>
      </c>
    </row>
    <row r="68" customFormat="false" ht="15" hidden="false" customHeight="false" outlineLevel="0" collapsed="false">
      <c r="A68" s="5" t="s">
        <v>1086</v>
      </c>
      <c r="B68" s="5" t="s">
        <v>1089</v>
      </c>
      <c r="D68" s="22" t="n">
        <v>0.15</v>
      </c>
      <c r="F68" s="22" t="n">
        <v>0.155</v>
      </c>
      <c r="G68" s="73" t="n">
        <f aca="false">IF(AND(ISNUMBER(F68),ISNUMBER(D68)),F68-D68,"")</f>
        <v>0.005</v>
      </c>
      <c r="H68" s="22"/>
      <c r="I68" s="73" t="str">
        <f aca="false">IF(AND(ISNUMBER(H68),ISNUMBER(F68)),H68-F68,"")</f>
        <v/>
      </c>
      <c r="J68" s="22"/>
      <c r="K68" s="73" t="str">
        <f aca="false">IF(AND(ISNUMBER(J68),ISNUMBER(H68)),J68-H68,"")</f>
        <v/>
      </c>
      <c r="L68" s="22"/>
      <c r="M68" s="73" t="str">
        <f aca="false">IF(AND(ISNUMBER(L68),ISNUMBER(J68)),L68-J68,"")</f>
        <v/>
      </c>
    </row>
    <row r="69" customFormat="false" ht="15" hidden="false" customHeight="false" outlineLevel="0" collapsed="false">
      <c r="A69" s="5" t="s">
        <v>1086</v>
      </c>
      <c r="B69" s="20" t="s">
        <v>1090</v>
      </c>
      <c r="D69" s="76" t="n">
        <v>22.4</v>
      </c>
      <c r="F69" s="76" t="n">
        <v>26.1</v>
      </c>
      <c r="G69" s="77" t="n">
        <f aca="false">IF(AND(ISNUMBER(F69),ISNUMBER(D69)),F69-D69,"")</f>
        <v>3.7</v>
      </c>
      <c r="H69" s="76"/>
      <c r="I69" s="77" t="str">
        <f aca="false">IF(AND(ISNUMBER(H69),ISNUMBER(F69)),H69-F69,"")</f>
        <v/>
      </c>
      <c r="J69" s="76"/>
      <c r="K69" s="77" t="str">
        <f aca="false">IF(AND(ISNUMBER(J69),ISNUMBER(H69)),J69-H69,"")</f>
        <v/>
      </c>
      <c r="L69" s="76"/>
      <c r="M69" s="77" t="str">
        <f aca="false">IF(AND(ISNUMBER(L69),ISNUMBER(J69)),L69-J69,"")</f>
        <v/>
      </c>
    </row>
    <row r="70" customFormat="false" ht="15" hidden="false" customHeight="false" outlineLevel="0" collapsed="false">
      <c r="A70" s="5" t="s">
        <v>1086</v>
      </c>
      <c r="B70" s="5" t="s">
        <v>1091</v>
      </c>
      <c r="D70" s="76" t="n">
        <v>25</v>
      </c>
      <c r="F70" s="76" t="n">
        <v>27</v>
      </c>
      <c r="G70" s="77" t="n">
        <f aca="false">IF(AND(ISNUMBER(F70),ISNUMBER(D70)),F70-D70,"")</f>
        <v>2</v>
      </c>
      <c r="H70" s="76"/>
      <c r="I70" s="77" t="str">
        <f aca="false">IF(AND(ISNUMBER(H70),ISNUMBER(F70)),H70-F70,"")</f>
        <v/>
      </c>
      <c r="J70" s="76"/>
      <c r="K70" s="77" t="str">
        <f aca="false">IF(AND(ISNUMBER(J70),ISNUMBER(H70)),J70-H70,"")</f>
        <v/>
      </c>
      <c r="L70" s="76"/>
      <c r="M70" s="77" t="str">
        <f aca="false">IF(AND(ISNUMBER(L70),ISNUMBER(J70)),L70-J70,"")</f>
        <v/>
      </c>
    </row>
    <row r="71" customFormat="false" ht="15" hidden="false" customHeight="false" outlineLevel="0" collapsed="false">
      <c r="A71" s="5" t="s">
        <v>1086</v>
      </c>
      <c r="B71" s="5" t="s">
        <v>111</v>
      </c>
      <c r="D71" s="11" t="s">
        <v>1077</v>
      </c>
      <c r="F71" s="11" t="s">
        <v>1076</v>
      </c>
      <c r="H71" s="11"/>
      <c r="J71" s="11"/>
      <c r="L71" s="11"/>
    </row>
    <row r="72" customFormat="false" ht="15" hidden="false" customHeight="false" outlineLevel="0" collapsed="false">
      <c r="A72" s="5" t="s">
        <v>1086</v>
      </c>
      <c r="B72" s="5" t="s">
        <v>1092</v>
      </c>
      <c r="D72" s="11" t="s">
        <v>112</v>
      </c>
      <c r="F72" s="11" t="s">
        <v>112</v>
      </c>
      <c r="H72" s="11"/>
      <c r="J72" s="11"/>
      <c r="L72" s="11"/>
    </row>
    <row r="73" customFormat="false" ht="15" hidden="false" customHeight="false" outlineLevel="0" collapsed="false">
      <c r="A73" s="5" t="s">
        <v>1086</v>
      </c>
      <c r="B73" s="20" t="s">
        <v>1093</v>
      </c>
      <c r="D73" s="26" t="n">
        <f aca="false">IF(D71="","",IFERROR(22-MATCH(D71,CreditScale,0),""))</f>
        <v>8</v>
      </c>
      <c r="F73" s="26" t="n">
        <f aca="false">IF(F71="","",IFERROR(22-MATCH(F71,CreditScale,0),""))</f>
        <v>9</v>
      </c>
      <c r="G73" s="68" t="n">
        <f aca="false">IF(AND(ISNUMBER(F73),ISNUMBER(D73)),F73-D73,"")</f>
        <v>1</v>
      </c>
      <c r="H73" s="26" t="str">
        <f aca="false">IF(H71="","",IFERROR(22-MATCH(H71,CreditScale,0),""))</f>
        <v/>
      </c>
      <c r="I73" s="68" t="str">
        <f aca="false">IF(AND(ISNUMBER(H73),ISNUMBER(F73)),H73-F73,"")</f>
        <v/>
      </c>
      <c r="J73" s="26" t="str">
        <f aca="false">IF(J71="","",IFERROR(22-MATCH(J71,CreditScale,0),""))</f>
        <v/>
      </c>
      <c r="K73" s="68" t="str">
        <f aca="false">IF(AND(ISNUMBER(J73),ISNUMBER(H73)),J73-H73,"")</f>
        <v/>
      </c>
      <c r="L73" s="26" t="str">
        <f aca="false">IF(L71="","",IFERROR(22-MATCH(L71,CreditScale,0),""))</f>
        <v/>
      </c>
      <c r="M73" s="68" t="str">
        <f aca="false">IF(AND(ISNUMBER(L73),ISNUMBER(J73)),L73-J73,"")</f>
        <v/>
      </c>
    </row>
    <row r="74" customFormat="false" ht="15" hidden="false" customHeight="false" outlineLevel="0" collapsed="false">
      <c r="A74" s="5" t="s">
        <v>1086</v>
      </c>
      <c r="B74" s="20" t="s">
        <v>115</v>
      </c>
      <c r="D74" s="19" t="n">
        <v>68</v>
      </c>
      <c r="F74" s="19" t="n">
        <v>71</v>
      </c>
      <c r="G74" s="68" t="n">
        <f aca="false">IF(AND(ISNUMBER(F74),ISNUMBER(D74)),F74-D74,"")</f>
        <v>3</v>
      </c>
      <c r="H74" s="19"/>
      <c r="I74" s="68" t="str">
        <f aca="false">IF(AND(ISNUMBER(H74),ISNUMBER(F74)),H74-F74,"")</f>
        <v/>
      </c>
      <c r="J74" s="19"/>
      <c r="K74" s="68" t="str">
        <f aca="false">IF(AND(ISNUMBER(J74),ISNUMBER(H74)),J74-H74,"")</f>
        <v/>
      </c>
      <c r="L74" s="19"/>
      <c r="M74" s="68" t="str">
        <f aca="false">IF(AND(ISNUMBER(L74),ISNUMBER(J74)),L74-J74,"")</f>
        <v/>
      </c>
    </row>
    <row r="75" customFormat="false" ht="15" hidden="false" customHeight="false" outlineLevel="0" collapsed="false">
      <c r="A75" s="5" t="s">
        <v>1086</v>
      </c>
      <c r="B75" s="5" t="s">
        <v>1094</v>
      </c>
      <c r="D75" s="19" t="n">
        <v>70</v>
      </c>
      <c r="F75" s="19" t="n">
        <v>72</v>
      </c>
      <c r="G75" s="68" t="n">
        <f aca="false">IF(AND(ISNUMBER(F75),ISNUMBER(D75)),F75-D75,"")</f>
        <v>2</v>
      </c>
      <c r="H75" s="19"/>
      <c r="I75" s="68" t="str">
        <f aca="false">IF(AND(ISNUMBER(H75),ISNUMBER(F75)),H75-F75,"")</f>
        <v/>
      </c>
      <c r="J75" s="19"/>
      <c r="K75" s="68" t="str">
        <f aca="false">IF(AND(ISNUMBER(J75),ISNUMBER(H75)),J75-H75,"")</f>
        <v/>
      </c>
      <c r="L75" s="19"/>
      <c r="M75" s="68" t="str">
        <f aca="false">IF(AND(ISNUMBER(L75),ISNUMBER(J75)),L75-J75,"")</f>
        <v/>
      </c>
    </row>
    <row r="76" customFormat="false" ht="15" hidden="false" customHeight="false" outlineLevel="0" collapsed="false">
      <c r="A76" s="5" t="s">
        <v>235</v>
      </c>
      <c r="B76" s="20" t="s">
        <v>1095</v>
      </c>
      <c r="D76" s="19" t="n">
        <v>78</v>
      </c>
      <c r="F76" s="19" t="n">
        <v>84</v>
      </c>
      <c r="G76" s="68" t="n">
        <f aca="false">IF(AND(ISNUMBER(F76),ISNUMBER(D76)),F76-D76,"")</f>
        <v>6</v>
      </c>
      <c r="H76" s="19"/>
      <c r="I76" s="68" t="str">
        <f aca="false">IF(AND(ISNUMBER(H76),ISNUMBER(F76)),H76-F76,"")</f>
        <v/>
      </c>
      <c r="J76" s="19"/>
      <c r="K76" s="68" t="str">
        <f aca="false">IF(AND(ISNUMBER(J76),ISNUMBER(H76)),J76-H76,"")</f>
        <v/>
      </c>
      <c r="L76" s="19"/>
      <c r="M76" s="68" t="str">
        <f aca="false">IF(AND(ISNUMBER(L76),ISNUMBER(J76)),L76-J76,"")</f>
        <v/>
      </c>
    </row>
    <row r="77" customFormat="false" ht="15" hidden="false" customHeight="false" outlineLevel="0" collapsed="false">
      <c r="A77" s="5" t="s">
        <v>235</v>
      </c>
      <c r="B77" s="20" t="s">
        <v>1096</v>
      </c>
      <c r="D77" s="19" t="n">
        <v>3</v>
      </c>
      <c r="F77" s="19" t="n">
        <v>2</v>
      </c>
      <c r="G77" s="68" t="n">
        <f aca="false">IF(AND(ISNUMBER(F77),ISNUMBER(D77)),F77-D77,"")</f>
        <v>-1</v>
      </c>
      <c r="H77" s="19"/>
      <c r="I77" s="68" t="str">
        <f aca="false">IF(AND(ISNUMBER(H77),ISNUMBER(F77)),H77-F77,"")</f>
        <v/>
      </c>
      <c r="J77" s="19"/>
      <c r="K77" s="68" t="str">
        <f aca="false">IF(AND(ISNUMBER(J77),ISNUMBER(H77)),J77-H77,"")</f>
        <v/>
      </c>
      <c r="L77" s="19"/>
      <c r="M77" s="68" t="str">
        <f aca="false">IF(AND(ISNUMBER(L77),ISNUMBER(J77)),L77-J77,"")</f>
        <v/>
      </c>
    </row>
    <row r="78" customFormat="false" ht="15" hidden="false" customHeight="false" outlineLevel="0" collapsed="false">
      <c r="A78" s="5" t="s">
        <v>235</v>
      </c>
      <c r="B78" s="20" t="s">
        <v>1097</v>
      </c>
      <c r="D78" s="24" t="n">
        <v>412000</v>
      </c>
      <c r="F78" s="24" t="n">
        <v>455000</v>
      </c>
      <c r="G78" s="69" t="n">
        <f aca="false">IF(AND(ISNUMBER(F78),ISNUMBER(D78)),F78-D78,"")</f>
        <v>43000</v>
      </c>
      <c r="H78" s="24"/>
      <c r="I78" s="69" t="str">
        <f aca="false">IF(AND(ISNUMBER(H78),ISNUMBER(F78)),H78-F78,"")</f>
        <v/>
      </c>
      <c r="J78" s="24"/>
      <c r="K78" s="69" t="str">
        <f aca="false">IF(AND(ISNUMBER(J78),ISNUMBER(H78)),J78-H78,"")</f>
        <v/>
      </c>
      <c r="L78" s="24"/>
      <c r="M78" s="69" t="str">
        <f aca="false">IF(AND(ISNUMBER(L78),ISNUMBER(J78)),L78-J78,"")</f>
        <v/>
      </c>
    </row>
    <row r="79" customFormat="false" ht="15" hidden="false" customHeight="false" outlineLevel="0" collapsed="false">
      <c r="A79" s="5" t="s">
        <v>235</v>
      </c>
      <c r="B79" s="20" t="s">
        <v>1098</v>
      </c>
      <c r="D79" s="24" t="n">
        <v>18500</v>
      </c>
      <c r="F79" s="24" t="n">
        <v>21900</v>
      </c>
      <c r="G79" s="69" t="n">
        <f aca="false">IF(AND(ISNUMBER(F79),ISNUMBER(D79)),F79-D79,"")</f>
        <v>3400</v>
      </c>
      <c r="H79" s="24"/>
      <c r="I79" s="69" t="str">
        <f aca="false">IF(AND(ISNUMBER(H79),ISNUMBER(F79)),H79-F79,"")</f>
        <v/>
      </c>
      <c r="J79" s="24"/>
      <c r="K79" s="69" t="str">
        <f aca="false">IF(AND(ISNUMBER(J79),ISNUMBER(H79)),J79-H79,"")</f>
        <v/>
      </c>
      <c r="L79" s="24"/>
      <c r="M79" s="69" t="str">
        <f aca="false">IF(AND(ISNUMBER(L79),ISNUMBER(J79)),L79-J79,"")</f>
        <v/>
      </c>
    </row>
    <row r="80" customFormat="false" ht="15" hidden="false" customHeight="false" outlineLevel="0" collapsed="false">
      <c r="A80" s="5" t="s">
        <v>235</v>
      </c>
      <c r="B80" s="20" t="s">
        <v>1099</v>
      </c>
      <c r="D80" s="24" t="n">
        <v>14200</v>
      </c>
      <c r="F80" s="24" t="n">
        <v>19800</v>
      </c>
      <c r="G80" s="69" t="n">
        <f aca="false">IF(AND(ISNUMBER(F80),ISNUMBER(D80)),F80-D80,"")</f>
        <v>5600</v>
      </c>
      <c r="H80" s="24"/>
      <c r="I80" s="69" t="str">
        <f aca="false">IF(AND(ISNUMBER(H80),ISNUMBER(F80)),H80-F80,"")</f>
        <v/>
      </c>
      <c r="J80" s="24"/>
      <c r="K80" s="69" t="str">
        <f aca="false">IF(AND(ISNUMBER(J80),ISNUMBER(H80)),J80-H80,"")</f>
        <v/>
      </c>
      <c r="L80" s="24"/>
      <c r="M80" s="69" t="str">
        <f aca="false">IF(AND(ISNUMBER(L80),ISNUMBER(J80)),L80-J80,"")</f>
        <v/>
      </c>
    </row>
    <row r="81" customFormat="false" ht="15" hidden="false" customHeight="false" outlineLevel="0" collapsed="false">
      <c r="A81" s="5" t="s">
        <v>1100</v>
      </c>
      <c r="B81" s="20" t="s">
        <v>1101</v>
      </c>
      <c r="D81" s="24" t="n">
        <v>1450</v>
      </c>
      <c r="F81" s="24" t="n">
        <v>1610</v>
      </c>
      <c r="G81" s="69" t="n">
        <f aca="false">IF(AND(ISNUMBER(F81),ISNUMBER(D81)),F81-D81,"")</f>
        <v>160</v>
      </c>
      <c r="H81" s="24"/>
      <c r="I81" s="69" t="str">
        <f aca="false">IF(AND(ISNUMBER(H81),ISNUMBER(F81)),H81-F81,"")</f>
        <v/>
      </c>
      <c r="J81" s="24"/>
      <c r="K81" s="69" t="str">
        <f aca="false">IF(AND(ISNUMBER(J81),ISNUMBER(H81)),J81-H81,"")</f>
        <v/>
      </c>
      <c r="L81" s="24"/>
      <c r="M81" s="69" t="str">
        <f aca="false">IF(AND(ISNUMBER(L81),ISNUMBER(J81)),L81-J81,"")</f>
        <v/>
      </c>
    </row>
    <row r="82" customFormat="false" ht="15" hidden="false" customHeight="false" outlineLevel="0" collapsed="false">
      <c r="A82" s="5" t="s">
        <v>1100</v>
      </c>
      <c r="B82" s="5" t="s">
        <v>1102</v>
      </c>
      <c r="D82" s="38" t="n">
        <v>264</v>
      </c>
      <c r="F82" s="38" t="n">
        <v>259</v>
      </c>
      <c r="G82" s="74" t="n">
        <f aca="false">IF(AND(ISNUMBER(F82),ISNUMBER(D82)),F82-D82,"")</f>
        <v>-5</v>
      </c>
      <c r="H82" s="38"/>
      <c r="I82" s="74" t="str">
        <f aca="false">IF(AND(ISNUMBER(H82),ISNUMBER(F82)),H82-F82,"")</f>
        <v/>
      </c>
      <c r="J82" s="38"/>
      <c r="K82" s="74" t="str">
        <f aca="false">IF(AND(ISNUMBER(J82),ISNUMBER(H82)),J82-H82,"")</f>
        <v/>
      </c>
      <c r="L82" s="38"/>
      <c r="M82" s="74" t="str">
        <f aca="false">IF(AND(ISNUMBER(L82),ISNUMBER(J82)),L82-J82,"")</f>
        <v/>
      </c>
    </row>
    <row r="83" customFormat="false" ht="15" hidden="false" customHeight="false" outlineLevel="0" collapsed="false">
      <c r="A83" s="5" t="s">
        <v>1100</v>
      </c>
      <c r="B83" s="5" t="s">
        <v>1103</v>
      </c>
      <c r="D83" s="38" t="n">
        <v>276</v>
      </c>
      <c r="F83" s="38" t="n">
        <v>271</v>
      </c>
      <c r="G83" s="74" t="n">
        <f aca="false">IF(AND(ISNUMBER(F83),ISNUMBER(D83)),F83-D83,"")</f>
        <v>-5</v>
      </c>
      <c r="H83" s="38"/>
      <c r="I83" s="74" t="str">
        <f aca="false">IF(AND(ISNUMBER(H83),ISNUMBER(F83)),H83-F83,"")</f>
        <v/>
      </c>
      <c r="J83" s="38"/>
      <c r="K83" s="74" t="str">
        <f aca="false">IF(AND(ISNUMBER(J83),ISNUMBER(H83)),J83-H83,"")</f>
        <v/>
      </c>
      <c r="L83" s="38"/>
      <c r="M83" s="74" t="str">
        <f aca="false">IF(AND(ISNUMBER(L83),ISNUMBER(J83)),L83-J83,"")</f>
        <v/>
      </c>
    </row>
    <row r="84" customFormat="false" ht="15" hidden="false" customHeight="false" outlineLevel="0" collapsed="false">
      <c r="A84" s="5" t="s">
        <v>1100</v>
      </c>
      <c r="B84" s="5" t="s">
        <v>1104</v>
      </c>
      <c r="D84" s="25" t="n">
        <f aca="false">IF(AND(ISNUMBER(D82),ISNUMBER(D83)),D82/D83-1,"")</f>
        <v>-0.0434782608695652</v>
      </c>
      <c r="F84" s="25" t="n">
        <f aca="false">IF(AND(ISNUMBER(F82),ISNUMBER(F83)),F82/F83-1,"")</f>
        <v>-0.044280442804428</v>
      </c>
      <c r="G84" s="73" t="n">
        <f aca="false">IF(AND(ISNUMBER(F84),ISNUMBER(D84)),F84-D84,"")</f>
        <v>-0.000802181934862811</v>
      </c>
      <c r="H84" s="25" t="str">
        <f aca="false">IF(AND(ISNUMBER(H82),ISNUMBER(H83)),H82/H83-1,"")</f>
        <v/>
      </c>
      <c r="I84" s="73" t="str">
        <f aca="false">IF(AND(ISNUMBER(H84),ISNUMBER(F84)),H84-F84,"")</f>
        <v/>
      </c>
      <c r="J84" s="25" t="str">
        <f aca="false">IF(AND(ISNUMBER(J82),ISNUMBER(J83)),J82/J83-1,"")</f>
        <v/>
      </c>
      <c r="K84" s="73" t="str">
        <f aca="false">IF(AND(ISNUMBER(J84),ISNUMBER(H84)),J84-H84,"")</f>
        <v/>
      </c>
      <c r="L84" s="25" t="str">
        <f aca="false">IF(AND(ISNUMBER(L82),ISNUMBER(L83)),L82/L83-1,"")</f>
        <v/>
      </c>
      <c r="M84" s="73" t="str">
        <f aca="false">IF(AND(ISNUMBER(L84),ISNUMBER(J84)),L84-J84,"")</f>
        <v/>
      </c>
    </row>
    <row r="85" customFormat="false" ht="15" hidden="false" customHeight="false" outlineLevel="0" collapsed="false">
      <c r="A85" s="5" t="s">
        <v>1100</v>
      </c>
      <c r="B85" s="20" t="s">
        <v>1105</v>
      </c>
      <c r="D85" s="28" t="n">
        <v>4</v>
      </c>
      <c r="F85" s="28" t="n">
        <v>4.2</v>
      </c>
      <c r="G85" s="67" t="n">
        <f aca="false">IF(AND(ISNUMBER(F85),ISNUMBER(D85)),F85-D85,"")</f>
        <v>0.2</v>
      </c>
      <c r="H85" s="28"/>
      <c r="I85" s="67" t="str">
        <f aca="false">IF(AND(ISNUMBER(H85),ISNUMBER(F85)),H85-F85,"")</f>
        <v/>
      </c>
      <c r="J85" s="28"/>
      <c r="K85" s="67" t="str">
        <f aca="false">IF(AND(ISNUMBER(J85),ISNUMBER(H85)),J85-H85,"")</f>
        <v/>
      </c>
      <c r="L85" s="28"/>
      <c r="M85" s="67" t="str">
        <f aca="false">IF(AND(ISNUMBER(L85),ISNUMBER(J85)),L85-J85,"")</f>
        <v/>
      </c>
    </row>
    <row r="86" customFormat="false" ht="15" hidden="false" customHeight="false" outlineLevel="0" collapsed="false">
      <c r="A86" s="5" t="s">
        <v>1100</v>
      </c>
      <c r="B86" s="5" t="s">
        <v>1106</v>
      </c>
      <c r="D86" s="28" t="n">
        <v>4</v>
      </c>
      <c r="F86" s="28" t="n">
        <v>4.1</v>
      </c>
      <c r="G86" s="67" t="n">
        <f aca="false">IF(AND(ISNUMBER(F86),ISNUMBER(D86)),F86-D86,"")</f>
        <v>0.0999999999999996</v>
      </c>
      <c r="H86" s="28"/>
      <c r="I86" s="67" t="str">
        <f aca="false">IF(AND(ISNUMBER(H86),ISNUMBER(F86)),H86-F86,"")</f>
        <v/>
      </c>
      <c r="J86" s="28"/>
      <c r="K86" s="67" t="str">
        <f aca="false">IF(AND(ISNUMBER(J86),ISNUMBER(H86)),J86-H86,"")</f>
        <v/>
      </c>
      <c r="L86" s="28"/>
      <c r="M86" s="67" t="str">
        <f aca="false">IF(AND(ISNUMBER(L86),ISNUMBER(J86)),L86-J86,"")</f>
        <v/>
      </c>
    </row>
    <row r="87" customFormat="false" ht="15" hidden="false" customHeight="false" outlineLevel="0" collapsed="false">
      <c r="A87" s="5" t="s">
        <v>1100</v>
      </c>
      <c r="B87" s="20" t="s">
        <v>1107</v>
      </c>
      <c r="D87" s="38" t="n">
        <v>182</v>
      </c>
      <c r="F87" s="38" t="n">
        <v>176</v>
      </c>
      <c r="G87" s="74" t="n">
        <f aca="false">IF(AND(ISNUMBER(F87),ISNUMBER(D87)),F87-D87,"")</f>
        <v>-6</v>
      </c>
      <c r="H87" s="38"/>
      <c r="I87" s="74" t="str">
        <f aca="false">IF(AND(ISNUMBER(H87),ISNUMBER(F87)),H87-F87,"")</f>
        <v/>
      </c>
      <c r="J87" s="38"/>
      <c r="K87" s="74" t="str">
        <f aca="false">IF(AND(ISNUMBER(J87),ISNUMBER(H87)),J87-H87,"")</f>
        <v/>
      </c>
      <c r="L87" s="38"/>
      <c r="M87" s="74" t="str">
        <f aca="false">IF(AND(ISNUMBER(L87),ISNUMBER(J87)),L87-J87,"")</f>
        <v/>
      </c>
    </row>
    <row r="88" customFormat="false" ht="15" hidden="false" customHeight="false" outlineLevel="0" collapsed="false">
      <c r="A88" s="5" t="s">
        <v>1100</v>
      </c>
      <c r="B88" s="5" t="s">
        <v>1108</v>
      </c>
      <c r="D88" s="38" t="n">
        <v>186</v>
      </c>
      <c r="F88" s="38" t="n">
        <v>184</v>
      </c>
      <c r="G88" s="74" t="n">
        <f aca="false">IF(AND(ISNUMBER(F88),ISNUMBER(D88)),F88-D88,"")</f>
        <v>-2</v>
      </c>
      <c r="H88" s="38"/>
      <c r="I88" s="74" t="str">
        <f aca="false">IF(AND(ISNUMBER(H88),ISNUMBER(F88)),H88-F88,"")</f>
        <v/>
      </c>
      <c r="J88" s="38"/>
      <c r="K88" s="74" t="str">
        <f aca="false">IF(AND(ISNUMBER(J88),ISNUMBER(H88)),J88-H88,"")</f>
        <v/>
      </c>
      <c r="L88" s="38"/>
      <c r="M88" s="74" t="str">
        <f aca="false">IF(AND(ISNUMBER(L88),ISNUMBER(J88)),L88-J88,"")</f>
        <v/>
      </c>
    </row>
    <row r="89" customFormat="false" ht="15" hidden="false" customHeight="false" outlineLevel="0" collapsed="false">
      <c r="A89" s="5" t="s">
        <v>1100</v>
      </c>
      <c r="B89" s="20" t="s">
        <v>1109</v>
      </c>
      <c r="D89" s="25" t="n">
        <f aca="false">IF(AND(ISNUMBER(D87),ISNUMBER(D88)),D87/D88-1,"")</f>
        <v>-0.021505376344086</v>
      </c>
      <c r="F89" s="25" t="n">
        <f aca="false">IF(AND(ISNUMBER(F87),ISNUMBER(F88)),F87/F88-1,"")</f>
        <v>-0.0434782608695652</v>
      </c>
      <c r="G89" s="73" t="n">
        <f aca="false">IF(AND(ISNUMBER(F89),ISNUMBER(D89)),F89-D89,"")</f>
        <v>-0.0219728845254792</v>
      </c>
      <c r="H89" s="25" t="str">
        <f aca="false">IF(AND(ISNUMBER(H87),ISNUMBER(H88)),H87/H88-1,"")</f>
        <v/>
      </c>
      <c r="I89" s="73" t="str">
        <f aca="false">IF(AND(ISNUMBER(H89),ISNUMBER(F89)),H89-F89,"")</f>
        <v/>
      </c>
      <c r="J89" s="25" t="str">
        <f aca="false">IF(AND(ISNUMBER(J87),ISNUMBER(J88)),J87/J88-1,"")</f>
        <v/>
      </c>
      <c r="K89" s="73" t="str">
        <f aca="false">IF(AND(ISNUMBER(J89),ISNUMBER(H89)),J89-H89,"")</f>
        <v/>
      </c>
      <c r="L89" s="25" t="str">
        <f aca="false">IF(AND(ISNUMBER(L87),ISNUMBER(L88)),L87/L88-1,"")</f>
        <v/>
      </c>
      <c r="M89" s="73" t="str">
        <f aca="false">IF(AND(ISNUMBER(L89),ISNUMBER(J89)),L89-J89,"")</f>
        <v/>
      </c>
    </row>
    <row r="90" customFormat="false" ht="15" hidden="false" customHeight="false" outlineLevel="0" collapsed="false">
      <c r="A90" s="5" t="s">
        <v>1100</v>
      </c>
      <c r="B90" s="20" t="s">
        <v>1110</v>
      </c>
      <c r="D90" s="22" t="n">
        <v>0.11</v>
      </c>
      <c r="F90" s="22" t="n">
        <v>0.125</v>
      </c>
      <c r="G90" s="73" t="n">
        <f aca="false">IF(AND(ISNUMBER(F90),ISNUMBER(D90)),F90-D90,"")</f>
        <v>0.015</v>
      </c>
      <c r="H90" s="22"/>
      <c r="I90" s="73" t="str">
        <f aca="false">IF(AND(ISNUMBER(H90),ISNUMBER(F90)),H90-F90,"")</f>
        <v/>
      </c>
      <c r="J90" s="22"/>
      <c r="K90" s="73" t="str">
        <f aca="false">IF(AND(ISNUMBER(J90),ISNUMBER(H90)),J90-H90,"")</f>
        <v/>
      </c>
      <c r="L90" s="22"/>
      <c r="M90" s="73" t="str">
        <f aca="false">IF(AND(ISNUMBER(L90),ISNUMBER(J90)),L90-J90,"")</f>
        <v/>
      </c>
    </row>
    <row r="91" customFormat="false" ht="15" hidden="false" customHeight="false" outlineLevel="0" collapsed="false">
      <c r="A91" s="5" t="s">
        <v>1100</v>
      </c>
      <c r="B91" s="20" t="s">
        <v>1111</v>
      </c>
      <c r="D91" s="28" t="n">
        <v>12</v>
      </c>
      <c r="F91" s="28" t="n">
        <v>13.1</v>
      </c>
      <c r="G91" s="67" t="n">
        <f aca="false">IF(AND(ISNUMBER(F91),ISNUMBER(D91)),F91-D91,"")</f>
        <v>1.1</v>
      </c>
      <c r="H91" s="28"/>
      <c r="I91" s="67" t="str">
        <f aca="false">IF(AND(ISNUMBER(H91),ISNUMBER(F91)),H91-F91,"")</f>
        <v/>
      </c>
      <c r="J91" s="28"/>
      <c r="K91" s="67" t="str">
        <f aca="false">IF(AND(ISNUMBER(J91),ISNUMBER(H91)),J91-H91,"")</f>
        <v/>
      </c>
      <c r="L91" s="28"/>
      <c r="M91" s="67" t="str">
        <f aca="false">IF(AND(ISNUMBER(L91),ISNUMBER(J91)),L91-J91,"")</f>
        <v/>
      </c>
    </row>
    <row r="92" customFormat="false" ht="15" hidden="false" customHeight="false" outlineLevel="0" collapsed="false">
      <c r="A92" s="5" t="s">
        <v>1100</v>
      </c>
      <c r="B92" s="20" t="s">
        <v>1112</v>
      </c>
      <c r="D92" s="28" t="n">
        <v>11.5</v>
      </c>
      <c r="F92" s="28" t="n">
        <v>12.2</v>
      </c>
      <c r="G92" s="67" t="n">
        <f aca="false">IF(AND(ISNUMBER(F92),ISNUMBER(D92)),F92-D92,"")</f>
        <v>0.699999999999999</v>
      </c>
      <c r="H92" s="28"/>
      <c r="I92" s="67" t="str">
        <f aca="false">IF(AND(ISNUMBER(H92),ISNUMBER(F92)),H92-F92,"")</f>
        <v/>
      </c>
      <c r="J92" s="28"/>
      <c r="K92" s="67" t="str">
        <f aca="false">IF(AND(ISNUMBER(J92),ISNUMBER(H92)),J92-H92,"")</f>
        <v/>
      </c>
      <c r="L92" s="28"/>
      <c r="M92" s="67" t="str">
        <f aca="false">IF(AND(ISNUMBER(L92),ISNUMBER(J92)),L92-J92,"")</f>
        <v/>
      </c>
    </row>
    <row r="93" customFormat="false" ht="15" hidden="false" customHeight="false" outlineLevel="0" collapsed="false">
      <c r="A93" s="5" t="s">
        <v>1100</v>
      </c>
      <c r="B93" s="20" t="s">
        <v>1113</v>
      </c>
      <c r="D93" s="28" t="n">
        <v>12.4</v>
      </c>
      <c r="F93" s="28" t="n">
        <v>13</v>
      </c>
      <c r="G93" s="67" t="n">
        <f aca="false">IF(AND(ISNUMBER(F93),ISNUMBER(D93)),F93-D93,"")</f>
        <v>0.6</v>
      </c>
      <c r="H93" s="28"/>
      <c r="I93" s="67" t="str">
        <f aca="false">IF(AND(ISNUMBER(H93),ISNUMBER(F93)),H93-F93,"")</f>
        <v/>
      </c>
      <c r="J93" s="28"/>
      <c r="K93" s="67" t="str">
        <f aca="false">IF(AND(ISNUMBER(J93),ISNUMBER(H93)),J93-H93,"")</f>
        <v/>
      </c>
      <c r="L93" s="28"/>
      <c r="M93" s="67" t="str">
        <f aca="false">IF(AND(ISNUMBER(L93),ISNUMBER(J93)),L93-J93,"")</f>
        <v/>
      </c>
    </row>
    <row r="94" customFormat="false" ht="15" hidden="false" customHeight="false" outlineLevel="0" collapsed="false">
      <c r="A94" s="5" t="s">
        <v>1100</v>
      </c>
      <c r="B94" s="20" t="s">
        <v>1114</v>
      </c>
      <c r="D94" s="28" t="n">
        <v>13</v>
      </c>
      <c r="F94" s="28" t="n">
        <v>13.6</v>
      </c>
      <c r="G94" s="67" t="n">
        <f aca="false">IF(AND(ISNUMBER(F94),ISNUMBER(D94)),F94-D94,"")</f>
        <v>0.6</v>
      </c>
      <c r="H94" s="28"/>
      <c r="I94" s="67" t="str">
        <f aca="false">IF(AND(ISNUMBER(H94),ISNUMBER(F94)),H94-F94,"")</f>
        <v/>
      </c>
      <c r="J94" s="28"/>
      <c r="K94" s="67" t="str">
        <f aca="false">IF(AND(ISNUMBER(J94),ISNUMBER(H94)),J94-H94,"")</f>
        <v/>
      </c>
      <c r="L94" s="28"/>
      <c r="M94" s="67" t="str">
        <f aca="false">IF(AND(ISNUMBER(L94),ISNUMBER(J94)),L94-J94,"")</f>
        <v/>
      </c>
    </row>
    <row r="95" customFormat="false" ht="15" hidden="false" customHeight="false" outlineLevel="0" collapsed="false">
      <c r="A95" s="5" t="s">
        <v>1100</v>
      </c>
      <c r="B95" s="20" t="s">
        <v>1115</v>
      </c>
      <c r="D95" s="27" t="n">
        <f aca="false">IF(COUNT(D91:D94)=0,"",AVERAGE(D91:D94))</f>
        <v>12.225</v>
      </c>
      <c r="F95" s="27" t="n">
        <f aca="false">IF(COUNT(F91:F94)=0,"",AVERAGE(F91:F94))</f>
        <v>12.975</v>
      </c>
      <c r="G95" s="67" t="n">
        <f aca="false">IF(AND(ISNUMBER(F95),ISNUMBER(D95)),F95-D95,"")</f>
        <v>0.75</v>
      </c>
      <c r="H95" s="27" t="str">
        <f aca="false">IF(COUNT(H91:H94)=0,"",AVERAGE(H91:H94))</f>
        <v/>
      </c>
      <c r="I95" s="67" t="str">
        <f aca="false">IF(AND(ISNUMBER(H95),ISNUMBER(F95)),H95-F95,"")</f>
        <v/>
      </c>
      <c r="J95" s="27" t="str">
        <f aca="false">IF(COUNT(J91:J94)=0,"",AVERAGE(J91:J94))</f>
        <v/>
      </c>
      <c r="K95" s="67" t="str">
        <f aca="false">IF(AND(ISNUMBER(J95),ISNUMBER(H95)),J95-H95,"")</f>
        <v/>
      </c>
      <c r="L95" s="27" t="str">
        <f aca="false">IF(COUNT(L91:L94)=0,"",AVERAGE(L91:L94))</f>
        <v/>
      </c>
      <c r="M95" s="67" t="str">
        <f aca="false">IF(AND(ISNUMBER(L95),ISNUMBER(J95)),L95-J95,"")</f>
        <v/>
      </c>
    </row>
    <row r="96" customFormat="false" ht="15" hidden="false" customHeight="false" outlineLevel="0" collapsed="false">
      <c r="A96" s="5" t="s">
        <v>1116</v>
      </c>
      <c r="B96" s="20" t="s">
        <v>1117</v>
      </c>
      <c r="D96" s="24" t="n">
        <v>120</v>
      </c>
      <c r="F96" s="24" t="n">
        <v>131</v>
      </c>
      <c r="G96" s="69" t="n">
        <f aca="false">IF(AND(ISNUMBER(F96),ISNUMBER(D96)),F96-D96,"")</f>
        <v>11</v>
      </c>
      <c r="H96" s="24"/>
      <c r="I96" s="69" t="str">
        <f aca="false">IF(AND(ISNUMBER(H96),ISNUMBER(F96)),H96-F96,"")</f>
        <v/>
      </c>
      <c r="J96" s="24"/>
      <c r="K96" s="69" t="str">
        <f aca="false">IF(AND(ISNUMBER(J96),ISNUMBER(H96)),J96-H96,"")</f>
        <v/>
      </c>
      <c r="L96" s="24"/>
      <c r="M96" s="69" t="str">
        <f aca="false">IF(AND(ISNUMBER(L96),ISNUMBER(J96)),L96-J96,"")</f>
        <v/>
      </c>
    </row>
    <row r="97" customFormat="false" ht="15" hidden="false" customHeight="false" outlineLevel="0" collapsed="false">
      <c r="A97" s="5" t="s">
        <v>1116</v>
      </c>
      <c r="B97" s="5" t="s">
        <v>1118</v>
      </c>
      <c r="D97" s="38" t="n">
        <v>1237</v>
      </c>
      <c r="F97" s="38" t="n">
        <v>1229</v>
      </c>
      <c r="G97" s="74" t="n">
        <f aca="false">IF(AND(ISNUMBER(F97),ISNUMBER(D97)),F97-D97,"")</f>
        <v>-8</v>
      </c>
      <c r="H97" s="38"/>
      <c r="I97" s="74" t="str">
        <f aca="false">IF(AND(ISNUMBER(H97),ISNUMBER(F97)),H97-F97,"")</f>
        <v/>
      </c>
      <c r="J97" s="38"/>
      <c r="K97" s="74" t="str">
        <f aca="false">IF(AND(ISNUMBER(J97),ISNUMBER(H97)),J97-H97,"")</f>
        <v/>
      </c>
      <c r="L97" s="38"/>
      <c r="M97" s="74" t="str">
        <f aca="false">IF(AND(ISNUMBER(L97),ISNUMBER(J97)),L97-J97,"")</f>
        <v/>
      </c>
    </row>
    <row r="98" customFormat="false" ht="15" hidden="false" customHeight="false" outlineLevel="0" collapsed="false">
      <c r="A98" s="5" t="s">
        <v>1116</v>
      </c>
      <c r="B98" s="5" t="s">
        <v>1119</v>
      </c>
      <c r="D98" s="38" t="n">
        <v>1195</v>
      </c>
      <c r="F98" s="38" t="n">
        <v>1188</v>
      </c>
      <c r="G98" s="74" t="n">
        <f aca="false">IF(AND(ISNUMBER(F98),ISNUMBER(D98)),F98-D98,"")</f>
        <v>-7</v>
      </c>
      <c r="H98" s="38"/>
      <c r="I98" s="74" t="str">
        <f aca="false">IF(AND(ISNUMBER(H98),ISNUMBER(F98)),H98-F98,"")</f>
        <v/>
      </c>
      <c r="J98" s="38"/>
      <c r="K98" s="74" t="str">
        <f aca="false">IF(AND(ISNUMBER(J98),ISNUMBER(H98)),J98-H98,"")</f>
        <v/>
      </c>
      <c r="L98" s="38"/>
      <c r="M98" s="74" t="str">
        <f aca="false">IF(AND(ISNUMBER(L98),ISNUMBER(J98)),L98-J98,"")</f>
        <v/>
      </c>
    </row>
    <row r="99" customFormat="false" ht="15" hidden="false" customHeight="false" outlineLevel="0" collapsed="false">
      <c r="A99" s="5" t="s">
        <v>1116</v>
      </c>
      <c r="B99" s="5" t="s">
        <v>1120</v>
      </c>
      <c r="D99" s="25" t="n">
        <f aca="false">IF(AND(ISNUMBER(D97),ISNUMBER(D98)),D97/D98-1,"")</f>
        <v>0.0351464435146442</v>
      </c>
      <c r="F99" s="25" t="n">
        <f aca="false">IF(AND(ISNUMBER(F97),ISNUMBER(F98)),F97/F98-1,"")</f>
        <v>0.0345117845117846</v>
      </c>
      <c r="G99" s="73" t="n">
        <f aca="false">IF(AND(ISNUMBER(F99),ISNUMBER(D99)),F99-D99,"")</f>
        <v>-0.000634659002859639</v>
      </c>
      <c r="H99" s="25" t="str">
        <f aca="false">IF(AND(ISNUMBER(H97),ISNUMBER(H98)),H97/H98-1,"")</f>
        <v/>
      </c>
      <c r="I99" s="73" t="str">
        <f aca="false">IF(AND(ISNUMBER(H99),ISNUMBER(F99)),H99-F99,"")</f>
        <v/>
      </c>
      <c r="J99" s="25" t="str">
        <f aca="false">IF(AND(ISNUMBER(J97),ISNUMBER(J98)),J97/J98-1,"")</f>
        <v/>
      </c>
      <c r="K99" s="73" t="str">
        <f aca="false">IF(AND(ISNUMBER(J99),ISNUMBER(H99)),J99-H99,"")</f>
        <v/>
      </c>
      <c r="L99" s="25" t="str">
        <f aca="false">IF(AND(ISNUMBER(L97),ISNUMBER(L98)),L97/L98-1,"")</f>
        <v/>
      </c>
      <c r="M99" s="73" t="str">
        <f aca="false">IF(AND(ISNUMBER(L99),ISNUMBER(J99)),L99-J99,"")</f>
        <v/>
      </c>
    </row>
    <row r="100" customFormat="false" ht="15" hidden="false" customHeight="false" outlineLevel="0" collapsed="false">
      <c r="A100" s="5" t="s">
        <v>1116</v>
      </c>
      <c r="B100" s="20" t="s">
        <v>1121</v>
      </c>
      <c r="D100" s="28" t="n">
        <v>4.2</v>
      </c>
      <c r="F100" s="28" t="n">
        <v>4.4</v>
      </c>
      <c r="G100" s="67" t="n">
        <f aca="false">IF(AND(ISNUMBER(F100),ISNUMBER(D100)),F100-D100,"")</f>
        <v>0.2</v>
      </c>
      <c r="H100" s="28"/>
      <c r="I100" s="67" t="str">
        <f aca="false">IF(AND(ISNUMBER(H100),ISNUMBER(F100)),H100-F100,"")</f>
        <v/>
      </c>
      <c r="J100" s="28"/>
      <c r="K100" s="67" t="str">
        <f aca="false">IF(AND(ISNUMBER(J100),ISNUMBER(H100)),J100-H100,"")</f>
        <v/>
      </c>
      <c r="L100" s="28"/>
      <c r="M100" s="67" t="str">
        <f aca="false">IF(AND(ISNUMBER(L100),ISNUMBER(J100)),L100-J100,"")</f>
        <v/>
      </c>
    </row>
    <row r="101" customFormat="false" ht="15" hidden="false" customHeight="false" outlineLevel="0" collapsed="false">
      <c r="A101" s="5" t="s">
        <v>1116</v>
      </c>
      <c r="B101" s="5" t="s">
        <v>1122</v>
      </c>
      <c r="D101" s="28" t="n">
        <v>4.1</v>
      </c>
      <c r="F101" s="28" t="n">
        <v>4.2</v>
      </c>
      <c r="G101" s="67" t="n">
        <f aca="false">IF(AND(ISNUMBER(F101),ISNUMBER(D101)),F101-D101,"")</f>
        <v>0.100000000000001</v>
      </c>
      <c r="H101" s="28"/>
      <c r="I101" s="67" t="str">
        <f aca="false">IF(AND(ISNUMBER(H101),ISNUMBER(F101)),H101-F101,"")</f>
        <v/>
      </c>
      <c r="J101" s="28"/>
      <c r="K101" s="67" t="str">
        <f aca="false">IF(AND(ISNUMBER(J101),ISNUMBER(H101)),J101-H101,"")</f>
        <v/>
      </c>
      <c r="L101" s="28"/>
      <c r="M101" s="67" t="str">
        <f aca="false">IF(AND(ISNUMBER(L101),ISNUMBER(J101)),L101-J101,"")</f>
        <v/>
      </c>
    </row>
    <row r="102" customFormat="false" ht="15" hidden="false" customHeight="false" outlineLevel="0" collapsed="false">
      <c r="A102" s="5" t="s">
        <v>1116</v>
      </c>
      <c r="B102" s="20" t="s">
        <v>1123</v>
      </c>
      <c r="D102" s="38" t="n">
        <v>905</v>
      </c>
      <c r="F102" s="38" t="n">
        <v>884</v>
      </c>
      <c r="G102" s="74" t="n">
        <f aca="false">IF(AND(ISNUMBER(F102),ISNUMBER(D102)),F102-D102,"")</f>
        <v>-21</v>
      </c>
      <c r="H102" s="38"/>
      <c r="I102" s="74" t="str">
        <f aca="false">IF(AND(ISNUMBER(H102),ISNUMBER(F102)),H102-F102,"")</f>
        <v/>
      </c>
      <c r="J102" s="38"/>
      <c r="K102" s="74" t="str">
        <f aca="false">IF(AND(ISNUMBER(J102),ISNUMBER(H102)),J102-H102,"")</f>
        <v/>
      </c>
      <c r="L102" s="38"/>
      <c r="M102" s="74" t="str">
        <f aca="false">IF(AND(ISNUMBER(L102),ISNUMBER(J102)),L102-J102,"")</f>
        <v/>
      </c>
    </row>
    <row r="103" customFormat="false" ht="15" hidden="false" customHeight="false" outlineLevel="0" collapsed="false">
      <c r="A103" s="5" t="s">
        <v>1116</v>
      </c>
      <c r="B103" s="5" t="s">
        <v>1124</v>
      </c>
      <c r="D103" s="38" t="n">
        <v>890</v>
      </c>
      <c r="F103" s="38" t="n">
        <v>879</v>
      </c>
      <c r="G103" s="74" t="n">
        <f aca="false">IF(AND(ISNUMBER(F103),ISNUMBER(D103)),F103-D103,"")</f>
        <v>-11</v>
      </c>
      <c r="H103" s="38"/>
      <c r="I103" s="74" t="str">
        <f aca="false">IF(AND(ISNUMBER(H103),ISNUMBER(F103)),H103-F103,"")</f>
        <v/>
      </c>
      <c r="J103" s="38"/>
      <c r="K103" s="74" t="str">
        <f aca="false">IF(AND(ISNUMBER(J103),ISNUMBER(H103)),J103-H103,"")</f>
        <v/>
      </c>
      <c r="L103" s="38"/>
      <c r="M103" s="74" t="str">
        <f aca="false">IF(AND(ISNUMBER(L103),ISNUMBER(J103)),L103-J103,"")</f>
        <v/>
      </c>
    </row>
    <row r="104" customFormat="false" ht="15" hidden="false" customHeight="false" outlineLevel="0" collapsed="false">
      <c r="A104" s="5" t="s">
        <v>1116</v>
      </c>
      <c r="B104" s="20" t="s">
        <v>1125</v>
      </c>
      <c r="D104" s="25" t="n">
        <f aca="false">IF(AND(ISNUMBER(D102),ISNUMBER(D103)),D102/D103-1,"")</f>
        <v>0.0168539325842696</v>
      </c>
      <c r="F104" s="25" t="n">
        <f aca="false">IF(AND(ISNUMBER(F102),ISNUMBER(F103)),F102/F103-1,"")</f>
        <v>0.00568828213879402</v>
      </c>
      <c r="G104" s="73" t="n">
        <f aca="false">IF(AND(ISNUMBER(F104),ISNUMBER(D104)),F104-D104,"")</f>
        <v>-0.0111656504454756</v>
      </c>
      <c r="H104" s="25" t="str">
        <f aca="false">IF(AND(ISNUMBER(H102),ISNUMBER(H103)),H102/H103-1,"")</f>
        <v/>
      </c>
      <c r="I104" s="73" t="str">
        <f aca="false">IF(AND(ISNUMBER(H104),ISNUMBER(F104)),H104-F104,"")</f>
        <v/>
      </c>
      <c r="J104" s="25" t="str">
        <f aca="false">IF(AND(ISNUMBER(J102),ISNUMBER(J103)),J102/J103-1,"")</f>
        <v/>
      </c>
      <c r="K104" s="73" t="str">
        <f aca="false">IF(AND(ISNUMBER(J104),ISNUMBER(H104)),J104-H104,"")</f>
        <v/>
      </c>
      <c r="L104" s="25" t="str">
        <f aca="false">IF(AND(ISNUMBER(L102),ISNUMBER(L103)),L102/L103-1,"")</f>
        <v/>
      </c>
      <c r="M104" s="73" t="str">
        <f aca="false">IF(AND(ISNUMBER(L104),ISNUMBER(J104)),L104-J104,"")</f>
        <v/>
      </c>
    </row>
    <row r="105" customFormat="false" ht="15" hidden="false" customHeight="false" outlineLevel="0" collapsed="false">
      <c r="A105" s="5" t="s">
        <v>1116</v>
      </c>
      <c r="B105" s="20" t="s">
        <v>1126</v>
      </c>
      <c r="D105" s="22" t="n">
        <v>0.09</v>
      </c>
      <c r="F105" s="22" t="n">
        <v>0.105</v>
      </c>
      <c r="G105" s="73" t="n">
        <f aca="false">IF(AND(ISNUMBER(F105),ISNUMBER(D105)),F105-D105,"")</f>
        <v>0.015</v>
      </c>
      <c r="H105" s="22"/>
      <c r="I105" s="73" t="str">
        <f aca="false">IF(AND(ISNUMBER(H105),ISNUMBER(F105)),H105-F105,"")</f>
        <v/>
      </c>
      <c r="J105" s="22"/>
      <c r="K105" s="73" t="str">
        <f aca="false">IF(AND(ISNUMBER(J105),ISNUMBER(H105)),J105-H105,"")</f>
        <v/>
      </c>
      <c r="L105" s="22"/>
      <c r="M105" s="73" t="str">
        <f aca="false">IF(AND(ISNUMBER(L105),ISNUMBER(J105)),L105-J105,"")</f>
        <v/>
      </c>
    </row>
    <row r="106" customFormat="false" ht="15" hidden="false" customHeight="false" outlineLevel="0" collapsed="false">
      <c r="A106" s="5" t="s">
        <v>1116</v>
      </c>
      <c r="B106" s="20" t="s">
        <v>1127</v>
      </c>
      <c r="D106" s="28" t="n">
        <v>12</v>
      </c>
      <c r="F106" s="28" t="n">
        <v>12.8</v>
      </c>
      <c r="G106" s="67" t="n">
        <f aca="false">IF(AND(ISNUMBER(F106),ISNUMBER(D106)),F106-D106,"")</f>
        <v>0.800000000000001</v>
      </c>
      <c r="H106" s="28"/>
      <c r="I106" s="67" t="str">
        <f aca="false">IF(AND(ISNUMBER(H106),ISNUMBER(F106)),H106-F106,"")</f>
        <v/>
      </c>
      <c r="J106" s="28"/>
      <c r="K106" s="67" t="str">
        <f aca="false">IF(AND(ISNUMBER(J106),ISNUMBER(H106)),J106-H106,"")</f>
        <v/>
      </c>
      <c r="L106" s="28"/>
      <c r="M106" s="67" t="str">
        <f aca="false">IF(AND(ISNUMBER(L106),ISNUMBER(J106)),L106-J106,"")</f>
        <v/>
      </c>
    </row>
    <row r="107" customFormat="false" ht="15" hidden="false" customHeight="false" outlineLevel="0" collapsed="false">
      <c r="A107" s="5" t="s">
        <v>1116</v>
      </c>
      <c r="B107" s="20" t="s">
        <v>1128</v>
      </c>
      <c r="D107" s="28" t="n">
        <v>12.6</v>
      </c>
      <c r="F107" s="28" t="n">
        <v>13</v>
      </c>
      <c r="G107" s="67" t="n">
        <f aca="false">IF(AND(ISNUMBER(F107),ISNUMBER(D107)),F107-D107,"")</f>
        <v>0.4</v>
      </c>
      <c r="H107" s="28"/>
      <c r="I107" s="67" t="str">
        <f aca="false">IF(AND(ISNUMBER(H107),ISNUMBER(F107)),H107-F107,"")</f>
        <v/>
      </c>
      <c r="J107" s="28"/>
      <c r="K107" s="67" t="str">
        <f aca="false">IF(AND(ISNUMBER(J107),ISNUMBER(H107)),J107-H107,"")</f>
        <v/>
      </c>
      <c r="L107" s="28"/>
      <c r="M107" s="67" t="str">
        <f aca="false">IF(AND(ISNUMBER(L107),ISNUMBER(J107)),L107-J107,"")</f>
        <v/>
      </c>
    </row>
    <row r="108" customFormat="false" ht="15" hidden="false" customHeight="false" outlineLevel="0" collapsed="false">
      <c r="A108" s="5" t="s">
        <v>1116</v>
      </c>
      <c r="B108" s="20" t="s">
        <v>1129</v>
      </c>
      <c r="D108" s="28" t="n">
        <v>11.1</v>
      </c>
      <c r="F108" s="28" t="n">
        <v>11.9</v>
      </c>
      <c r="G108" s="67" t="n">
        <f aca="false">IF(AND(ISNUMBER(F108),ISNUMBER(D108)),F108-D108,"")</f>
        <v>0.800000000000001</v>
      </c>
      <c r="H108" s="28"/>
      <c r="I108" s="67" t="str">
        <f aca="false">IF(AND(ISNUMBER(H108),ISNUMBER(F108)),H108-F108,"")</f>
        <v/>
      </c>
      <c r="J108" s="28"/>
      <c r="K108" s="67" t="str">
        <f aca="false">IF(AND(ISNUMBER(J108),ISNUMBER(H108)),J108-H108,"")</f>
        <v/>
      </c>
      <c r="L108" s="28"/>
      <c r="M108" s="67" t="str">
        <f aca="false">IF(AND(ISNUMBER(L108),ISNUMBER(J108)),L108-J108,"")</f>
        <v/>
      </c>
    </row>
    <row r="109" customFormat="false" ht="15" hidden="false" customHeight="false" outlineLevel="0" collapsed="false">
      <c r="A109" s="5" t="s">
        <v>1116</v>
      </c>
      <c r="B109" s="20" t="s">
        <v>1130</v>
      </c>
      <c r="D109" s="28" t="n">
        <v>12.2</v>
      </c>
      <c r="F109" s="28" t="n">
        <v>12.5</v>
      </c>
      <c r="G109" s="67" t="n">
        <f aca="false">IF(AND(ISNUMBER(F109),ISNUMBER(D109)),F109-D109,"")</f>
        <v>0.300000000000001</v>
      </c>
      <c r="H109" s="28"/>
      <c r="I109" s="67" t="str">
        <f aca="false">IF(AND(ISNUMBER(H109),ISNUMBER(F109)),H109-F109,"")</f>
        <v/>
      </c>
      <c r="J109" s="28"/>
      <c r="K109" s="67" t="str">
        <f aca="false">IF(AND(ISNUMBER(J109),ISNUMBER(H109)),J109-H109,"")</f>
        <v/>
      </c>
      <c r="L109" s="28"/>
      <c r="M109" s="67" t="str">
        <f aca="false">IF(AND(ISNUMBER(L109),ISNUMBER(J109)),L109-J109,"")</f>
        <v/>
      </c>
    </row>
    <row r="110" customFormat="false" ht="15" hidden="false" customHeight="false" outlineLevel="0" collapsed="false">
      <c r="A110" s="5" t="s">
        <v>1116</v>
      </c>
      <c r="B110" s="20" t="s">
        <v>1131</v>
      </c>
      <c r="D110" s="27" t="n">
        <f aca="false">IF(COUNT(D106:D109)=0,"",AVERAGE(D106:D109))</f>
        <v>11.975</v>
      </c>
      <c r="F110" s="27" t="n">
        <f aca="false">IF(COUNT(F106:F109)=0,"",AVERAGE(F106:F109))</f>
        <v>12.55</v>
      </c>
      <c r="G110" s="67" t="n">
        <f aca="false">IF(AND(ISNUMBER(F110),ISNUMBER(D110)),F110-D110,"")</f>
        <v>0.575000000000001</v>
      </c>
      <c r="H110" s="27" t="str">
        <f aca="false">IF(COUNT(H106:H109)=0,"",AVERAGE(H106:H109))</f>
        <v/>
      </c>
      <c r="I110" s="67" t="str">
        <f aca="false">IF(AND(ISNUMBER(H110),ISNUMBER(F110)),H110-F110,"")</f>
        <v/>
      </c>
      <c r="J110" s="27" t="str">
        <f aca="false">IF(COUNT(J106:J109)=0,"",AVERAGE(J106:J109))</f>
        <v/>
      </c>
      <c r="K110" s="67" t="str">
        <f aca="false">IF(AND(ISNUMBER(J110),ISNUMBER(H110)),J110-H110,"")</f>
        <v/>
      </c>
      <c r="L110" s="27" t="str">
        <f aca="false">IF(COUNT(L106:L109)=0,"",AVERAGE(L106:L109))</f>
        <v/>
      </c>
      <c r="M110" s="67" t="str">
        <f aca="false">IF(AND(ISNUMBER(L110),ISNUMBER(J110)),L110-J110,"")</f>
        <v/>
      </c>
    </row>
  </sheetData>
  <conditionalFormatting sqref="G65 I65 K65 M65">
    <cfRule type="expression" priority="2" aboveAverage="0" equalAverage="0" bottom="0" percent="0" rank="0" text="" dxfId="0">
      <formula>AND(ISNUMBER(G65),G65&gt;0)</formula>
    </cfRule>
    <cfRule type="expression" priority="3" aboveAverage="0" equalAverage="0" bottom="0" percent="0" rank="0" text="" dxfId="2">
      <formula>AND(ISNUMBER(G65),G65&lt;0)</formula>
    </cfRule>
  </conditionalFormatting>
  <conditionalFormatting sqref="G67 I67 K67 M67">
    <cfRule type="expression" priority="4" aboveAverage="0" equalAverage="0" bottom="0" percent="0" rank="0" text="" dxfId="0">
      <formula>AND(ISNUMBER(G67),G67&gt;0)</formula>
    </cfRule>
    <cfRule type="expression" priority="5" aboveAverage="0" equalAverage="0" bottom="0" percent="0" rank="0" text="" dxfId="2">
      <formula>AND(ISNUMBER(G67),G67&lt;0)</formula>
    </cfRule>
  </conditionalFormatting>
  <conditionalFormatting sqref="G69 I69 K69 M69">
    <cfRule type="expression" priority="6" aboveAverage="0" equalAverage="0" bottom="0" percent="0" rank="0" text="" dxfId="0">
      <formula>AND(ISNUMBER(G69),G69&gt;0)</formula>
    </cfRule>
    <cfRule type="expression" priority="7" aboveAverage="0" equalAverage="0" bottom="0" percent="0" rank="0" text="" dxfId="2">
      <formula>AND(ISNUMBER(G69),G69&lt;0)</formula>
    </cfRule>
  </conditionalFormatting>
  <conditionalFormatting sqref="G73 I73 K73 M73">
    <cfRule type="expression" priority="8" aboveAverage="0" equalAverage="0" bottom="0" percent="0" rank="0" text="" dxfId="0">
      <formula>AND(ISNUMBER(G73),G73&gt;0)</formula>
    </cfRule>
    <cfRule type="expression" priority="9" aboveAverage="0" equalAverage="0" bottom="0" percent="0" rank="0" text="" dxfId="2">
      <formula>AND(ISNUMBER(G73),G73&lt;0)</formula>
    </cfRule>
  </conditionalFormatting>
  <conditionalFormatting sqref="G74 I74 K74 M74">
    <cfRule type="expression" priority="10" aboveAverage="0" equalAverage="0" bottom="0" percent="0" rank="0" text="" dxfId="0">
      <formula>AND(ISNUMBER(G74),G74&gt;0)</formula>
    </cfRule>
    <cfRule type="expression" priority="11" aboveAverage="0" equalAverage="0" bottom="0" percent="0" rank="0" text="" dxfId="2">
      <formula>AND(ISNUMBER(G74),G74&lt;0)</formula>
    </cfRule>
  </conditionalFormatting>
  <conditionalFormatting sqref="G76 I76 K76 M76">
    <cfRule type="expression" priority="12" aboveAverage="0" equalAverage="0" bottom="0" percent="0" rank="0" text="" dxfId="0">
      <formula>AND(ISNUMBER(G76),G76&gt;0)</formula>
    </cfRule>
    <cfRule type="expression" priority="13" aboveAverage="0" equalAverage="0" bottom="0" percent="0" rank="0" text="" dxfId="2">
      <formula>AND(ISNUMBER(G76),G76&lt;0)</formula>
    </cfRule>
  </conditionalFormatting>
  <conditionalFormatting sqref="G77 I77 K77 M77">
    <cfRule type="expression" priority="14" aboveAverage="0" equalAverage="0" bottom="0" percent="0" rank="0" text="" dxfId="0">
      <formula>AND(ISNUMBER(G77),G77&lt;0)</formula>
    </cfRule>
    <cfRule type="expression" priority="15" aboveAverage="0" equalAverage="0" bottom="0" percent="0" rank="0" text="" dxfId="2">
      <formula>AND(ISNUMBER(G77),G77&gt;0)</formula>
    </cfRule>
  </conditionalFormatting>
  <conditionalFormatting sqref="G78 I78 K78 M78">
    <cfRule type="expression" priority="16" aboveAverage="0" equalAverage="0" bottom="0" percent="0" rank="0" text="" dxfId="0">
      <formula>AND(ISNUMBER(G78),G78&gt;0)</formula>
    </cfRule>
    <cfRule type="expression" priority="17" aboveAverage="0" equalAverage="0" bottom="0" percent="0" rank="0" text="" dxfId="2">
      <formula>AND(ISNUMBER(G78),G78&lt;0)</formula>
    </cfRule>
  </conditionalFormatting>
  <conditionalFormatting sqref="G79 I79 K79 M79">
    <cfRule type="expression" priority="18" aboveAverage="0" equalAverage="0" bottom="0" percent="0" rank="0" text="" dxfId="0">
      <formula>AND(ISNUMBER(G79),G79&gt;0)</formula>
    </cfRule>
    <cfRule type="expression" priority="19" aboveAverage="0" equalAverage="0" bottom="0" percent="0" rank="0" text="" dxfId="2">
      <formula>AND(ISNUMBER(G79),G79&lt;0)</formula>
    </cfRule>
  </conditionalFormatting>
  <conditionalFormatting sqref="G80 I80 K80 M80">
    <cfRule type="expression" priority="20" aboveAverage="0" equalAverage="0" bottom="0" percent="0" rank="0" text="" dxfId="0">
      <formula>AND(ISNUMBER(G80),G80&gt;0)</formula>
    </cfRule>
    <cfRule type="expression" priority="21" aboveAverage="0" equalAverage="0" bottom="0" percent="0" rank="0" text="" dxfId="2">
      <formula>AND(ISNUMBER(G80),G80&lt;0)</formula>
    </cfRule>
  </conditionalFormatting>
  <conditionalFormatting sqref="G81 I81 K81 M81">
    <cfRule type="expression" priority="22" aboveAverage="0" equalAverage="0" bottom="0" percent="0" rank="0" text="" dxfId="0">
      <formula>AND(ISNUMBER(G81),G81&gt;0)</formula>
    </cfRule>
    <cfRule type="expression" priority="23" aboveAverage="0" equalAverage="0" bottom="0" percent="0" rank="0" text="" dxfId="2">
      <formula>AND(ISNUMBER(G81),G81&lt;0)</formula>
    </cfRule>
  </conditionalFormatting>
  <conditionalFormatting sqref="G85 I85 K85 M85">
    <cfRule type="expression" priority="24" aboveAverage="0" equalAverage="0" bottom="0" percent="0" rank="0" text="" dxfId="0">
      <formula>AND(ISNUMBER(G85),G85&gt;0)</formula>
    </cfRule>
    <cfRule type="expression" priority="25" aboveAverage="0" equalAverage="0" bottom="0" percent="0" rank="0" text="" dxfId="2">
      <formula>AND(ISNUMBER(G85),G85&lt;0)</formula>
    </cfRule>
  </conditionalFormatting>
  <conditionalFormatting sqref="G87 I87 K87 M87">
    <cfRule type="expression" priority="26" aboveAverage="0" equalAverage="0" bottom="0" percent="0" rank="0" text="" dxfId="0">
      <formula>AND(ISNUMBER(G87),G87&lt;0)</formula>
    </cfRule>
    <cfRule type="expression" priority="27" aboveAverage="0" equalAverage="0" bottom="0" percent="0" rank="0" text="" dxfId="2">
      <formula>AND(ISNUMBER(G87),G87&gt;0)</formula>
    </cfRule>
  </conditionalFormatting>
  <conditionalFormatting sqref="G89 I89 K89 M89">
    <cfRule type="expression" priority="28" aboveAverage="0" equalAverage="0" bottom="0" percent="0" rank="0" text="" dxfId="0">
      <formula>AND(ISNUMBER(G89),G89&lt;0)</formula>
    </cfRule>
    <cfRule type="expression" priority="29" aboveAverage="0" equalAverage="0" bottom="0" percent="0" rank="0" text="" dxfId="2">
      <formula>AND(ISNUMBER(G89),G89&gt;0)</formula>
    </cfRule>
  </conditionalFormatting>
  <conditionalFormatting sqref="G90 I90 K90 M90">
    <cfRule type="expression" priority="30" aboveAverage="0" equalAverage="0" bottom="0" percent="0" rank="0" text="" dxfId="0">
      <formula>AND(ISNUMBER(G90),G90&gt;0)</formula>
    </cfRule>
    <cfRule type="expression" priority="31" aboveAverage="0" equalAverage="0" bottom="0" percent="0" rank="0" text="" dxfId="2">
      <formula>AND(ISNUMBER(G90),G90&lt;0)</formula>
    </cfRule>
  </conditionalFormatting>
  <conditionalFormatting sqref="G91 I91 K91 M91">
    <cfRule type="expression" priority="32" aboveAverage="0" equalAverage="0" bottom="0" percent="0" rank="0" text="" dxfId="0">
      <formula>AND(ISNUMBER(G91),G91&gt;0)</formula>
    </cfRule>
    <cfRule type="expression" priority="33" aboveAverage="0" equalAverage="0" bottom="0" percent="0" rank="0" text="" dxfId="2">
      <formula>AND(ISNUMBER(G91),G91&lt;0)</formula>
    </cfRule>
  </conditionalFormatting>
  <conditionalFormatting sqref="G92 I92 K92 M92">
    <cfRule type="expression" priority="34" aboveAverage="0" equalAverage="0" bottom="0" percent="0" rank="0" text="" dxfId="0">
      <formula>AND(ISNUMBER(G92),G92&gt;0)</formula>
    </cfRule>
    <cfRule type="expression" priority="35" aboveAverage="0" equalAverage="0" bottom="0" percent="0" rank="0" text="" dxfId="2">
      <formula>AND(ISNUMBER(G92),G92&lt;0)</formula>
    </cfRule>
  </conditionalFormatting>
  <conditionalFormatting sqref="G93 I93 K93 M93">
    <cfRule type="expression" priority="36" aboveAverage="0" equalAverage="0" bottom="0" percent="0" rank="0" text="" dxfId="0">
      <formula>AND(ISNUMBER(G93),G93&gt;0)</formula>
    </cfRule>
    <cfRule type="expression" priority="37" aboveAverage="0" equalAverage="0" bottom="0" percent="0" rank="0" text="" dxfId="2">
      <formula>AND(ISNUMBER(G93),G93&lt;0)</formula>
    </cfRule>
  </conditionalFormatting>
  <conditionalFormatting sqref="G94 I94 K94 M94">
    <cfRule type="expression" priority="38" aboveAverage="0" equalAverage="0" bottom="0" percent="0" rank="0" text="" dxfId="0">
      <formula>AND(ISNUMBER(G94),G94&gt;0)</formula>
    </cfRule>
    <cfRule type="expression" priority="39" aboveAverage="0" equalAverage="0" bottom="0" percent="0" rank="0" text="" dxfId="2">
      <formula>AND(ISNUMBER(G94),G94&lt;0)</formula>
    </cfRule>
  </conditionalFormatting>
  <conditionalFormatting sqref="G95 I95 K95 M95">
    <cfRule type="expression" priority="40" aboveAverage="0" equalAverage="0" bottom="0" percent="0" rank="0" text="" dxfId="0">
      <formula>AND(ISNUMBER(G95),G95&gt;0)</formula>
    </cfRule>
    <cfRule type="expression" priority="41" aboveAverage="0" equalAverage="0" bottom="0" percent="0" rank="0" text="" dxfId="2">
      <formula>AND(ISNUMBER(G95),G95&lt;0)</formula>
    </cfRule>
  </conditionalFormatting>
  <conditionalFormatting sqref="G96 I96 K96 M96">
    <cfRule type="expression" priority="42" aboveAverage="0" equalAverage="0" bottom="0" percent="0" rank="0" text="" dxfId="0">
      <formula>AND(ISNUMBER(G96),G96&gt;0)</formula>
    </cfRule>
    <cfRule type="expression" priority="43" aboveAverage="0" equalAverage="0" bottom="0" percent="0" rank="0" text="" dxfId="2">
      <formula>AND(ISNUMBER(G96),G96&lt;0)</formula>
    </cfRule>
  </conditionalFormatting>
  <conditionalFormatting sqref="G100 I100 K100 M100">
    <cfRule type="expression" priority="44" aboveAverage="0" equalAverage="0" bottom="0" percent="0" rank="0" text="" dxfId="0">
      <formula>AND(ISNUMBER(G100),G100&gt;0)</formula>
    </cfRule>
    <cfRule type="expression" priority="45" aboveAverage="0" equalAverage="0" bottom="0" percent="0" rank="0" text="" dxfId="2">
      <formula>AND(ISNUMBER(G100),G100&lt;0)</formula>
    </cfRule>
  </conditionalFormatting>
  <conditionalFormatting sqref="G102 I102 K102 M102">
    <cfRule type="expression" priority="46" aboveAverage="0" equalAverage="0" bottom="0" percent="0" rank="0" text="" dxfId="0">
      <formula>AND(ISNUMBER(G102),G102&lt;0)</formula>
    </cfRule>
    <cfRule type="expression" priority="47" aboveAverage="0" equalAverage="0" bottom="0" percent="0" rank="0" text="" dxfId="2">
      <formula>AND(ISNUMBER(G102),G102&gt;0)</formula>
    </cfRule>
  </conditionalFormatting>
  <conditionalFormatting sqref="G104 I104 K104 M104">
    <cfRule type="expression" priority="48" aboveAverage="0" equalAverage="0" bottom="0" percent="0" rank="0" text="" dxfId="0">
      <formula>AND(ISNUMBER(G104),G104&lt;0)</formula>
    </cfRule>
    <cfRule type="expression" priority="49" aboveAverage="0" equalAverage="0" bottom="0" percent="0" rank="0" text="" dxfId="2">
      <formula>AND(ISNUMBER(G104),G104&gt;0)</formula>
    </cfRule>
  </conditionalFormatting>
  <conditionalFormatting sqref="G105 I105 K105 M105">
    <cfRule type="expression" priority="50" aboveAverage="0" equalAverage="0" bottom="0" percent="0" rank="0" text="" dxfId="0">
      <formula>AND(ISNUMBER(G105),G105&gt;0)</formula>
    </cfRule>
    <cfRule type="expression" priority="51" aboveAverage="0" equalAverage="0" bottom="0" percent="0" rank="0" text="" dxfId="2">
      <formula>AND(ISNUMBER(G105),G105&lt;0)</formula>
    </cfRule>
  </conditionalFormatting>
  <conditionalFormatting sqref="G106 I106 K106 M106">
    <cfRule type="expression" priority="52" aboveAverage="0" equalAverage="0" bottom="0" percent="0" rank="0" text="" dxfId="0">
      <formula>AND(ISNUMBER(G106),G106&gt;0)</formula>
    </cfRule>
    <cfRule type="expression" priority="53" aboveAverage="0" equalAverage="0" bottom="0" percent="0" rank="0" text="" dxfId="2">
      <formula>AND(ISNUMBER(G106),G106&lt;0)</formula>
    </cfRule>
  </conditionalFormatting>
  <conditionalFormatting sqref="G107 I107 K107 M107">
    <cfRule type="expression" priority="54" aboveAverage="0" equalAverage="0" bottom="0" percent="0" rank="0" text="" dxfId="0">
      <formula>AND(ISNUMBER(G107),G107&gt;0)</formula>
    </cfRule>
    <cfRule type="expression" priority="55" aboveAverage="0" equalAverage="0" bottom="0" percent="0" rank="0" text="" dxfId="2">
      <formula>AND(ISNUMBER(G107),G107&lt;0)</formula>
    </cfRule>
  </conditionalFormatting>
  <conditionalFormatting sqref="G108 I108 K108 M108">
    <cfRule type="expression" priority="56" aboveAverage="0" equalAverage="0" bottom="0" percent="0" rank="0" text="" dxfId="0">
      <formula>AND(ISNUMBER(G108),G108&gt;0)</formula>
    </cfRule>
    <cfRule type="expression" priority="57" aboveAverage="0" equalAverage="0" bottom="0" percent="0" rank="0" text="" dxfId="2">
      <formula>AND(ISNUMBER(G108),G108&lt;0)</formula>
    </cfRule>
  </conditionalFormatting>
  <conditionalFormatting sqref="G109 I109 K109 M109">
    <cfRule type="expression" priority="58" aboveAverage="0" equalAverage="0" bottom="0" percent="0" rank="0" text="" dxfId="0">
      <formula>AND(ISNUMBER(G109),G109&gt;0)</formula>
    </cfRule>
    <cfRule type="expression" priority="59" aboveAverage="0" equalAverage="0" bottom="0" percent="0" rank="0" text="" dxfId="2">
      <formula>AND(ISNUMBER(G109),G109&lt;0)</formula>
    </cfRule>
  </conditionalFormatting>
  <conditionalFormatting sqref="G110 I110 K110 M110">
    <cfRule type="expression" priority="60" aboveAverage="0" equalAverage="0" bottom="0" percent="0" rank="0" text="" dxfId="0">
      <formula>AND(ISNUMBER(G110),G110&gt;0)</formula>
    </cfRule>
    <cfRule type="expression" priority="61" aboveAverage="0" equalAverage="0" bottom="0" percent="0" rank="0" text="" dxfId="2">
      <formula>AND(ISNUMBER(G110),G110&lt;0)</formula>
    </cfRule>
  </conditionalFormatting>
  <conditionalFormatting sqref="D65">
    <cfRule type="expression" priority="62" aboveAverage="0" equalAverage="0" bottom="0" percent="0" rank="0" text="" dxfId="0">
      <formula>AND(ISNUMBER(D65),ISNUMBER(D66),D65&gt;=D66)</formula>
    </cfRule>
    <cfRule type="expression" priority="63" aboveAverage="0" equalAverage="0" bottom="0" percent="0" rank="0" text="" dxfId="1">
      <formula>AND(ISNUMBER(D65),ISNUMBER(D66),D65&lt;D66)</formula>
    </cfRule>
  </conditionalFormatting>
  <conditionalFormatting sqref="F65">
    <cfRule type="expression" priority="64" aboveAverage="0" equalAverage="0" bottom="0" percent="0" rank="0" text="" dxfId="0">
      <formula>AND(ISNUMBER(F65),ISNUMBER(F66),F65&gt;=F66)</formula>
    </cfRule>
    <cfRule type="expression" priority="65" aboveAverage="0" equalAverage="0" bottom="0" percent="0" rank="0" text="" dxfId="1">
      <formula>AND(ISNUMBER(F65),ISNUMBER(F66),F65&lt;F66)</formula>
    </cfRule>
  </conditionalFormatting>
  <conditionalFormatting sqref="H65">
    <cfRule type="expression" priority="66" aboveAverage="0" equalAverage="0" bottom="0" percent="0" rank="0" text="" dxfId="0">
      <formula>AND(ISNUMBER(H65),ISNUMBER(H66),H65&gt;=H66)</formula>
    </cfRule>
    <cfRule type="expression" priority="67" aboveAverage="0" equalAverage="0" bottom="0" percent="0" rank="0" text="" dxfId="1">
      <formula>AND(ISNUMBER(H65),ISNUMBER(H66),H65&lt;H66)</formula>
    </cfRule>
  </conditionalFormatting>
  <conditionalFormatting sqref="J65">
    <cfRule type="expression" priority="68" aboveAverage="0" equalAverage="0" bottom="0" percent="0" rank="0" text="" dxfId="0">
      <formula>AND(ISNUMBER(J65),ISNUMBER(J66),J65&gt;=J66)</formula>
    </cfRule>
    <cfRule type="expression" priority="69" aboveAverage="0" equalAverage="0" bottom="0" percent="0" rank="0" text="" dxfId="1">
      <formula>AND(ISNUMBER(J65),ISNUMBER(J66),J65&lt;J66)</formula>
    </cfRule>
  </conditionalFormatting>
  <conditionalFormatting sqref="L65">
    <cfRule type="expression" priority="70" aboveAverage="0" equalAverage="0" bottom="0" percent="0" rank="0" text="" dxfId="0">
      <formula>AND(ISNUMBER(L65),ISNUMBER(L66),L65&gt;=L66)</formula>
    </cfRule>
    <cfRule type="expression" priority="71" aboveAverage="0" equalAverage="0" bottom="0" percent="0" rank="0" text="" dxfId="1">
      <formula>AND(ISNUMBER(L65),ISNUMBER(L66),L65&lt;L66)</formula>
    </cfRule>
  </conditionalFormatting>
  <conditionalFormatting sqref="D67">
    <cfRule type="expression" priority="72" aboveAverage="0" equalAverage="0" bottom="0" percent="0" rank="0" text="" dxfId="0">
      <formula>AND(ISNUMBER(D67),ISNUMBER(D68),D67&gt;=D68)</formula>
    </cfRule>
    <cfRule type="expression" priority="73" aboveAverage="0" equalAverage="0" bottom="0" percent="0" rank="0" text="" dxfId="1">
      <formula>AND(ISNUMBER(D67),ISNUMBER(D68),D67&lt;D68)</formula>
    </cfRule>
  </conditionalFormatting>
  <conditionalFormatting sqref="F67">
    <cfRule type="expression" priority="74" aboveAverage="0" equalAverage="0" bottom="0" percent="0" rank="0" text="" dxfId="0">
      <formula>AND(ISNUMBER(F67),ISNUMBER(F68),F67&gt;=F68)</formula>
    </cfRule>
    <cfRule type="expression" priority="75" aboveAverage="0" equalAverage="0" bottom="0" percent="0" rank="0" text="" dxfId="1">
      <formula>AND(ISNUMBER(F67),ISNUMBER(F68),F67&lt;F68)</formula>
    </cfRule>
  </conditionalFormatting>
  <conditionalFormatting sqref="H67">
    <cfRule type="expression" priority="76" aboveAverage="0" equalAverage="0" bottom="0" percent="0" rank="0" text="" dxfId="0">
      <formula>AND(ISNUMBER(H67),ISNUMBER(H68),H67&gt;=H68)</formula>
    </cfRule>
    <cfRule type="expression" priority="77" aboveAverage="0" equalAverage="0" bottom="0" percent="0" rank="0" text="" dxfId="1">
      <formula>AND(ISNUMBER(H67),ISNUMBER(H68),H67&lt;H68)</formula>
    </cfRule>
  </conditionalFormatting>
  <conditionalFormatting sqref="J67">
    <cfRule type="expression" priority="78" aboveAverage="0" equalAverage="0" bottom="0" percent="0" rank="0" text="" dxfId="0">
      <formula>AND(ISNUMBER(J67),ISNUMBER(J68),J67&gt;=J68)</formula>
    </cfRule>
    <cfRule type="expression" priority="79" aboveAverage="0" equalAverage="0" bottom="0" percent="0" rank="0" text="" dxfId="1">
      <formula>AND(ISNUMBER(J67),ISNUMBER(J68),J67&lt;J68)</formula>
    </cfRule>
  </conditionalFormatting>
  <conditionalFormatting sqref="L67">
    <cfRule type="expression" priority="80" aboveAverage="0" equalAverage="0" bottom="0" percent="0" rank="0" text="" dxfId="0">
      <formula>AND(ISNUMBER(L67),ISNUMBER(L68),L67&gt;=L68)</formula>
    </cfRule>
    <cfRule type="expression" priority="81" aboveAverage="0" equalAverage="0" bottom="0" percent="0" rank="0" text="" dxfId="1">
      <formula>AND(ISNUMBER(L67),ISNUMBER(L68),L67&lt;L68)</formula>
    </cfRule>
  </conditionalFormatting>
  <conditionalFormatting sqref="D69">
    <cfRule type="expression" priority="82" aboveAverage="0" equalAverage="0" bottom="0" percent="0" rank="0" text="" dxfId="0">
      <formula>AND(ISNUMBER(D69),ISNUMBER(D70),D69&gt;=D70)</formula>
    </cfRule>
    <cfRule type="expression" priority="83" aboveAverage="0" equalAverage="0" bottom="0" percent="0" rank="0" text="" dxfId="1">
      <formula>AND(ISNUMBER(D69),ISNUMBER(D70),D69&lt;D70)</formula>
    </cfRule>
  </conditionalFormatting>
  <conditionalFormatting sqref="F69">
    <cfRule type="expression" priority="84" aboveAverage="0" equalAverage="0" bottom="0" percent="0" rank="0" text="" dxfId="0">
      <formula>AND(ISNUMBER(F69),ISNUMBER(F70),F69&gt;=F70)</formula>
    </cfRule>
    <cfRule type="expression" priority="85" aboveAverage="0" equalAverage="0" bottom="0" percent="0" rank="0" text="" dxfId="1">
      <formula>AND(ISNUMBER(F69),ISNUMBER(F70),F69&lt;F70)</formula>
    </cfRule>
  </conditionalFormatting>
  <conditionalFormatting sqref="H69">
    <cfRule type="expression" priority="86" aboveAverage="0" equalAverage="0" bottom="0" percent="0" rank="0" text="" dxfId="0">
      <formula>AND(ISNUMBER(H69),ISNUMBER(H70),H69&gt;=H70)</formula>
    </cfRule>
    <cfRule type="expression" priority="87" aboveAverage="0" equalAverage="0" bottom="0" percent="0" rank="0" text="" dxfId="1">
      <formula>AND(ISNUMBER(H69),ISNUMBER(H70),H69&lt;H70)</formula>
    </cfRule>
  </conditionalFormatting>
  <conditionalFormatting sqref="J69">
    <cfRule type="expression" priority="88" aboveAverage="0" equalAverage="0" bottom="0" percent="0" rank="0" text="" dxfId="0">
      <formula>AND(ISNUMBER(J69),ISNUMBER(J70),J69&gt;=J70)</formula>
    </cfRule>
    <cfRule type="expression" priority="89" aboveAverage="0" equalAverage="0" bottom="0" percent="0" rank="0" text="" dxfId="1">
      <formula>AND(ISNUMBER(J69),ISNUMBER(J70),J69&lt;J70)</formula>
    </cfRule>
  </conditionalFormatting>
  <conditionalFormatting sqref="L69">
    <cfRule type="expression" priority="90" aboveAverage="0" equalAverage="0" bottom="0" percent="0" rank="0" text="" dxfId="0">
      <formula>AND(ISNUMBER(L69),ISNUMBER(L70),L69&gt;=L70)</formula>
    </cfRule>
    <cfRule type="expression" priority="91" aboveAverage="0" equalAverage="0" bottom="0" percent="0" rank="0" text="" dxfId="1">
      <formula>AND(ISNUMBER(L69),ISNUMBER(L70),L69&lt;L70)</formula>
    </cfRule>
  </conditionalFormatting>
  <conditionalFormatting sqref="D74">
    <cfRule type="expression" priority="92" aboveAverage="0" equalAverage="0" bottom="0" percent="0" rank="0" text="" dxfId="0">
      <formula>AND(ISNUMBER(D74),ISNUMBER(D75),D74&gt;=D75)</formula>
    </cfRule>
    <cfRule type="expression" priority="93" aboveAverage="0" equalAverage="0" bottom="0" percent="0" rank="0" text="" dxfId="1">
      <formula>AND(ISNUMBER(D74),ISNUMBER(D75),D74&lt;D75)</formula>
    </cfRule>
  </conditionalFormatting>
  <conditionalFormatting sqref="F74">
    <cfRule type="expression" priority="94" aboveAverage="0" equalAverage="0" bottom="0" percent="0" rank="0" text="" dxfId="0">
      <formula>AND(ISNUMBER(F74),ISNUMBER(F75),F74&gt;=F75)</formula>
    </cfRule>
    <cfRule type="expression" priority="95" aboveAverage="0" equalAverage="0" bottom="0" percent="0" rank="0" text="" dxfId="1">
      <formula>AND(ISNUMBER(F74),ISNUMBER(F75),F74&lt;F75)</formula>
    </cfRule>
  </conditionalFormatting>
  <conditionalFormatting sqref="H74">
    <cfRule type="expression" priority="96" aboveAverage="0" equalAverage="0" bottom="0" percent="0" rank="0" text="" dxfId="0">
      <formula>AND(ISNUMBER(H74),ISNUMBER(H75),H74&gt;=H75)</formula>
    </cfRule>
    <cfRule type="expression" priority="97" aboveAverage="0" equalAverage="0" bottom="0" percent="0" rank="0" text="" dxfId="1">
      <formula>AND(ISNUMBER(H74),ISNUMBER(H75),H74&lt;H75)</formula>
    </cfRule>
  </conditionalFormatting>
  <conditionalFormatting sqref="J74">
    <cfRule type="expression" priority="98" aboveAverage="0" equalAverage="0" bottom="0" percent="0" rank="0" text="" dxfId="0">
      <formula>AND(ISNUMBER(J74),ISNUMBER(J75),J74&gt;=J75)</formula>
    </cfRule>
    <cfRule type="expression" priority="99" aboveAverage="0" equalAverage="0" bottom="0" percent="0" rank="0" text="" dxfId="1">
      <formula>AND(ISNUMBER(J74),ISNUMBER(J75),J74&lt;J75)</formula>
    </cfRule>
  </conditionalFormatting>
  <conditionalFormatting sqref="L74">
    <cfRule type="expression" priority="100" aboveAverage="0" equalAverage="0" bottom="0" percent="0" rank="0" text="" dxfId="0">
      <formula>AND(ISNUMBER(L74),ISNUMBER(L75),L74&gt;=L75)</formula>
    </cfRule>
    <cfRule type="expression" priority="101" aboveAverage="0" equalAverage="0" bottom="0" percent="0" rank="0" text="" dxfId="1">
      <formula>AND(ISNUMBER(L74),ISNUMBER(L75),L74&lt;L75)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K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7" t="s">
        <v>1132</v>
      </c>
    </row>
    <row r="2" customFormat="false" ht="15" hidden="false" customHeight="false" outlineLevel="0" collapsed="false">
      <c r="A2" s="3" t="s">
        <v>1133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1095</v>
      </c>
      <c r="B5" s="12" t="s">
        <v>894</v>
      </c>
      <c r="C5" s="12" t="s">
        <v>1063</v>
      </c>
      <c r="D5" s="12" t="s">
        <v>895</v>
      </c>
      <c r="E5" s="12" t="s">
        <v>1063</v>
      </c>
      <c r="F5" s="12" t="s">
        <v>896</v>
      </c>
      <c r="G5" s="12" t="s">
        <v>1063</v>
      </c>
      <c r="H5" s="12" t="s">
        <v>897</v>
      </c>
      <c r="I5" s="12" t="s">
        <v>1063</v>
      </c>
      <c r="J5" s="12" t="s">
        <v>898</v>
      </c>
      <c r="K5" s="12" t="s">
        <v>1063</v>
      </c>
    </row>
    <row r="6" customFormat="false" ht="15" hidden="false" customHeight="false" outlineLevel="0" collapsed="false">
      <c r="A6" s="78" t="s">
        <v>1134</v>
      </c>
      <c r="B6" s="19" t="n">
        <v>81</v>
      </c>
      <c r="D6" s="19" t="n">
        <v>83</v>
      </c>
      <c r="E6" s="68" t="n">
        <f aca="false">IF(AND(ISNUMBER(D6),ISNUMBER(B6)),D6-B6,"")</f>
        <v>2</v>
      </c>
      <c r="F6" s="19"/>
      <c r="G6" s="68" t="str">
        <f aca="false">IF(AND(ISNUMBER(F6),ISNUMBER(D6)),F6-D6,"")</f>
        <v/>
      </c>
      <c r="H6" s="19"/>
      <c r="I6" s="68" t="str">
        <f aca="false">IF(AND(ISNUMBER(H6),ISNUMBER(F6)),H6-F6,"")</f>
        <v/>
      </c>
      <c r="J6" s="19"/>
      <c r="K6" s="68" t="str">
        <f aca="false">IF(AND(ISNUMBER(J6),ISNUMBER(H6)),J6-H6,"")</f>
        <v/>
      </c>
    </row>
    <row r="7" customFormat="false" ht="15" hidden="false" customHeight="false" outlineLevel="0" collapsed="false">
      <c r="A7" s="78" t="s">
        <v>1135</v>
      </c>
      <c r="B7" s="19" t="n">
        <v>70</v>
      </c>
      <c r="D7" s="19" t="n">
        <v>72</v>
      </c>
      <c r="E7" s="68" t="n">
        <f aca="false">IF(AND(ISNUMBER(D7),ISNUMBER(B7)),D7-B7,"")</f>
        <v>2</v>
      </c>
      <c r="F7" s="19"/>
      <c r="G7" s="68" t="str">
        <f aca="false">IF(AND(ISNUMBER(F7),ISNUMBER(D7)),F7-D7,"")</f>
        <v/>
      </c>
      <c r="H7" s="19"/>
      <c r="I7" s="68" t="str">
        <f aca="false">IF(AND(ISNUMBER(H7),ISNUMBER(F7)),H7-F7,"")</f>
        <v/>
      </c>
      <c r="J7" s="19"/>
      <c r="K7" s="68" t="str">
        <f aca="false">IF(AND(ISNUMBER(J7),ISNUMBER(H7)),J7-H7,"")</f>
        <v/>
      </c>
    </row>
    <row r="8" customFormat="false" ht="15" hidden="false" customHeight="false" outlineLevel="0" collapsed="false">
      <c r="A8" s="4" t="s">
        <v>1136</v>
      </c>
      <c r="B8" s="79" t="n">
        <v>78</v>
      </c>
      <c r="D8" s="79" t="n">
        <v>84</v>
      </c>
      <c r="E8" s="68" t="n">
        <f aca="false">IF(AND(ISNUMBER(D8),ISNUMBER(B8)),D8-B8,"")</f>
        <v>6</v>
      </c>
      <c r="F8" s="79"/>
      <c r="G8" s="68" t="str">
        <f aca="false">IF(AND(ISNUMBER(F8),ISNUMBER(D8)),F8-D8,"")</f>
        <v/>
      </c>
      <c r="H8" s="79"/>
      <c r="I8" s="68" t="str">
        <f aca="false">IF(AND(ISNUMBER(H8),ISNUMBER(F8)),H8-F8,"")</f>
        <v/>
      </c>
      <c r="J8" s="79"/>
      <c r="K8" s="68" t="str">
        <f aca="false">IF(AND(ISNUMBER(J8),ISNUMBER(H8)),J8-H8,"")</f>
        <v/>
      </c>
    </row>
    <row r="9" customFormat="false" ht="15" hidden="false" customHeight="false" outlineLevel="0" collapsed="false">
      <c r="A9" s="78" t="s">
        <v>1137</v>
      </c>
      <c r="B9" s="19" t="n">
        <v>83</v>
      </c>
      <c r="D9" s="19" t="n">
        <v>86</v>
      </c>
      <c r="E9" s="68" t="n">
        <f aca="false">IF(AND(ISNUMBER(D9),ISNUMBER(B9)),D9-B9,"")</f>
        <v>3</v>
      </c>
      <c r="F9" s="19"/>
      <c r="G9" s="68" t="str">
        <f aca="false">IF(AND(ISNUMBER(F9),ISNUMBER(D9)),F9-D9,"")</f>
        <v/>
      </c>
      <c r="H9" s="19"/>
      <c r="I9" s="68" t="str">
        <f aca="false">IF(AND(ISNUMBER(H9),ISNUMBER(F9)),H9-F9,"")</f>
        <v/>
      </c>
      <c r="J9" s="19"/>
      <c r="K9" s="68" t="str">
        <f aca="false">IF(AND(ISNUMBER(J9),ISNUMBER(H9)),J9-H9,"")</f>
        <v/>
      </c>
    </row>
    <row r="10" customFormat="false" ht="15" hidden="false" customHeight="false" outlineLevel="0" collapsed="false">
      <c r="A10" s="78" t="s">
        <v>1138</v>
      </c>
      <c r="B10" s="19" t="n">
        <v>66</v>
      </c>
      <c r="D10" s="19" t="n">
        <v>63</v>
      </c>
      <c r="E10" s="68" t="n">
        <f aca="false">IF(AND(ISNUMBER(D10),ISNUMBER(B10)),D10-B10,"")</f>
        <v>-3</v>
      </c>
      <c r="F10" s="19"/>
      <c r="G10" s="68" t="str">
        <f aca="false">IF(AND(ISNUMBER(F10),ISNUMBER(D10)),F10-D10,"")</f>
        <v/>
      </c>
      <c r="H10" s="19"/>
      <c r="I10" s="68" t="str">
        <f aca="false">IF(AND(ISNUMBER(H10),ISNUMBER(F10)),H10-F10,"")</f>
        <v/>
      </c>
      <c r="J10" s="19"/>
      <c r="K10" s="68" t="str">
        <f aca="false">IF(AND(ISNUMBER(J10),ISNUMBER(H10)),J10-H10,"")</f>
        <v/>
      </c>
    </row>
    <row r="11" customFormat="false" ht="15" hidden="false" customHeight="false" outlineLevel="0" collapsed="false">
      <c r="A11" s="78" t="s">
        <v>1139</v>
      </c>
      <c r="B11" s="19" t="n">
        <v>74</v>
      </c>
      <c r="D11" s="19" t="n">
        <v>75</v>
      </c>
      <c r="E11" s="68" t="n">
        <f aca="false">IF(AND(ISNUMBER(D11),ISNUMBER(B11)),D11-B11,"")</f>
        <v>1</v>
      </c>
      <c r="F11" s="19"/>
      <c r="G11" s="68" t="str">
        <f aca="false">IF(AND(ISNUMBER(F11),ISNUMBER(D11)),F11-D11,"")</f>
        <v/>
      </c>
      <c r="H11" s="19"/>
      <c r="I11" s="68" t="str">
        <f aca="false">IF(AND(ISNUMBER(H11),ISNUMBER(F11)),H11-F11,"")</f>
        <v/>
      </c>
      <c r="J11" s="19"/>
      <c r="K11" s="68" t="str">
        <f aca="false">IF(AND(ISNUMBER(J11),ISNUMBER(H11)),J11-H11,"")</f>
        <v/>
      </c>
    </row>
    <row r="12" customFormat="false" ht="15" hidden="false" customHeight="false" outlineLevel="0" collapsed="false">
      <c r="A12" s="78" t="s">
        <v>1140</v>
      </c>
      <c r="B12" s="19" t="n">
        <v>77</v>
      </c>
      <c r="D12" s="19" t="n">
        <v>80</v>
      </c>
      <c r="E12" s="68" t="n">
        <f aca="false">IF(AND(ISNUMBER(D12),ISNUMBER(B12)),D12-B12,"")</f>
        <v>3</v>
      </c>
      <c r="F12" s="19"/>
      <c r="G12" s="68" t="str">
        <f aca="false">IF(AND(ISNUMBER(F12),ISNUMBER(D12)),F12-D12,"")</f>
        <v/>
      </c>
      <c r="H12" s="19"/>
      <c r="I12" s="68" t="str">
        <f aca="false">IF(AND(ISNUMBER(H12),ISNUMBER(F12)),H12-F12,"")</f>
        <v/>
      </c>
      <c r="J12" s="19"/>
      <c r="K12" s="68" t="str">
        <f aca="false">IF(AND(ISNUMBER(J12),ISNUMBER(H12)),J12-H12,"")</f>
        <v/>
      </c>
    </row>
    <row r="13" customFormat="false" ht="15" hidden="false" customHeight="false" outlineLevel="0" collapsed="false">
      <c r="A13" s="78" t="s">
        <v>1141</v>
      </c>
      <c r="B13" s="19" t="n">
        <v>69</v>
      </c>
      <c r="D13" s="19" t="n">
        <v>67</v>
      </c>
      <c r="E13" s="68" t="n">
        <f aca="false">IF(AND(ISNUMBER(D13),ISNUMBER(B13)),D13-B13,"")</f>
        <v>-2</v>
      </c>
      <c r="F13" s="19"/>
      <c r="G13" s="68" t="str">
        <f aca="false">IF(AND(ISNUMBER(F13),ISNUMBER(D13)),F13-D13,"")</f>
        <v/>
      </c>
      <c r="H13" s="19"/>
      <c r="I13" s="68" t="str">
        <f aca="false">IF(AND(ISNUMBER(H13),ISNUMBER(F13)),H13-F13,"")</f>
        <v/>
      </c>
      <c r="J13" s="19"/>
      <c r="K13" s="68" t="str">
        <f aca="false">IF(AND(ISNUMBER(J13),ISNUMBER(H13)),J13-H13,"")</f>
        <v/>
      </c>
    </row>
    <row r="14" customFormat="false" ht="15" hidden="false" customHeight="false" outlineLevel="0" collapsed="false">
      <c r="A14" s="5" t="s">
        <v>1142</v>
      </c>
      <c r="B14" s="26" t="n">
        <f aca="false">IF(COUNT(B6:B13)=0,"",AVERAGE(B6:B13))</f>
        <v>74.75</v>
      </c>
      <c r="D14" s="26" t="n">
        <f aca="false">IF(COUNT(D6:D13)=0,"",AVERAGE(D6:D13))</f>
        <v>76.25</v>
      </c>
      <c r="F14" s="26" t="str">
        <f aca="false">IF(COUNT(F6:F13)=0,"",AVERAGE(F6:F13))</f>
        <v/>
      </c>
      <c r="H14" s="26" t="str">
        <f aca="false">IF(COUNT(H6:H13)=0,"",AVERAGE(H6:H13))</f>
        <v/>
      </c>
      <c r="J14" s="26" t="str">
        <f aca="false">IF(COUNT(J6:J13)=0,"",AVERAGE(J6:J13))</f>
        <v/>
      </c>
    </row>
    <row r="15" customFormat="false" ht="15" hidden="false" customHeight="false" outlineLevel="0" collapsed="false">
      <c r="A15" s="20" t="s">
        <v>1143</v>
      </c>
      <c r="B15" s="57" t="n">
        <f aca="false">IF(ISNUMBER(B8),RANK(B8,B6:B13,0),"")</f>
        <v>3</v>
      </c>
      <c r="D15" s="57" t="n">
        <f aca="false">IF(ISNUMBER(D8),RANK(D8,D6:D13,0),"")</f>
        <v>2</v>
      </c>
      <c r="E15" s="68" t="n">
        <f aca="false">IF(AND(ISNUMBER(D15),ISNUMBER(B15)),D15-B15,"")</f>
        <v>-1</v>
      </c>
      <c r="F15" s="57" t="str">
        <f aca="false">IF(ISNUMBER(F8),RANK(F8,F6:F13,0),"")</f>
        <v/>
      </c>
      <c r="G15" s="68" t="str">
        <f aca="false">IF(AND(ISNUMBER(F15),ISNUMBER(D15)),F15-D15,"")</f>
        <v/>
      </c>
      <c r="H15" s="57" t="str">
        <f aca="false">IF(ISNUMBER(H8),RANK(H8,H6:H13,0),"")</f>
        <v/>
      </c>
      <c r="I15" s="68" t="str">
        <f aca="false">IF(AND(ISNUMBER(H15),ISNUMBER(F15)),H15-F15,"")</f>
        <v/>
      </c>
      <c r="J15" s="57" t="str">
        <f aca="false">IF(ISNUMBER(J8),RANK(J8,J6:J13,0),"")</f>
        <v/>
      </c>
      <c r="K15" s="68" t="str">
        <f aca="false">IF(AND(ISNUMBER(J15),ISNUMBER(H15)),J15-H15,"")</f>
        <v/>
      </c>
    </row>
    <row r="17" customFormat="false" ht="30" hidden="false" customHeight="true" outlineLevel="0" collapsed="false">
      <c r="A17" s="12" t="s">
        <v>389</v>
      </c>
      <c r="B17" s="12" t="s">
        <v>894</v>
      </c>
      <c r="C17" s="12" t="s">
        <v>1063</v>
      </c>
      <c r="D17" s="12" t="s">
        <v>895</v>
      </c>
      <c r="E17" s="12" t="s">
        <v>1063</v>
      </c>
      <c r="F17" s="12" t="s">
        <v>896</v>
      </c>
      <c r="G17" s="12" t="s">
        <v>1063</v>
      </c>
      <c r="H17" s="12" t="s">
        <v>897</v>
      </c>
      <c r="I17" s="12" t="s">
        <v>1063</v>
      </c>
      <c r="J17" s="12" t="s">
        <v>898</v>
      </c>
      <c r="K17" s="12" t="s">
        <v>1063</v>
      </c>
    </row>
    <row r="18" customFormat="false" ht="15" hidden="false" customHeight="false" outlineLevel="0" collapsed="false">
      <c r="A18" s="78" t="s">
        <v>1134</v>
      </c>
      <c r="B18" s="19" t="n">
        <v>2</v>
      </c>
      <c r="D18" s="19" t="n">
        <v>3</v>
      </c>
      <c r="E18" s="68" t="n">
        <f aca="false">IF(AND(ISNUMBER(D18),ISNUMBER(B18)),D18-B18,"")</f>
        <v>1</v>
      </c>
      <c r="F18" s="19"/>
      <c r="G18" s="68" t="str">
        <f aca="false">IF(AND(ISNUMBER(F18),ISNUMBER(D18)),F18-D18,"")</f>
        <v/>
      </c>
      <c r="H18" s="19"/>
      <c r="I18" s="68" t="str">
        <f aca="false">IF(AND(ISNUMBER(H18),ISNUMBER(F18)),H18-F18,"")</f>
        <v/>
      </c>
      <c r="J18" s="19"/>
      <c r="K18" s="68" t="str">
        <f aca="false">IF(AND(ISNUMBER(J18),ISNUMBER(H18)),J18-H18,"")</f>
        <v/>
      </c>
    </row>
    <row r="19" customFormat="false" ht="15" hidden="false" customHeight="false" outlineLevel="0" collapsed="false">
      <c r="A19" s="78" t="s">
        <v>1135</v>
      </c>
      <c r="B19" s="19" t="n">
        <v>6</v>
      </c>
      <c r="D19" s="19" t="n">
        <v>6</v>
      </c>
      <c r="E19" s="68" t="n">
        <f aca="false">IF(AND(ISNUMBER(D19),ISNUMBER(B19)),D19-B19,"")</f>
        <v>0</v>
      </c>
      <c r="F19" s="19"/>
      <c r="G19" s="68" t="str">
        <f aca="false">IF(AND(ISNUMBER(F19),ISNUMBER(D19)),F19-D19,"")</f>
        <v/>
      </c>
      <c r="H19" s="19"/>
      <c r="I19" s="68" t="str">
        <f aca="false">IF(AND(ISNUMBER(H19),ISNUMBER(F19)),H19-F19,"")</f>
        <v/>
      </c>
      <c r="J19" s="19"/>
      <c r="K19" s="68" t="str">
        <f aca="false">IF(AND(ISNUMBER(J19),ISNUMBER(H19)),J19-H19,"")</f>
        <v/>
      </c>
    </row>
    <row r="20" customFormat="false" ht="15" hidden="false" customHeight="false" outlineLevel="0" collapsed="false">
      <c r="A20" s="4" t="s">
        <v>1136</v>
      </c>
      <c r="B20" s="79" t="n">
        <v>3</v>
      </c>
      <c r="D20" s="79" t="n">
        <v>2</v>
      </c>
      <c r="E20" s="68" t="n">
        <f aca="false">IF(AND(ISNUMBER(D20),ISNUMBER(B20)),D20-B20,"")</f>
        <v>-1</v>
      </c>
      <c r="F20" s="79"/>
      <c r="G20" s="68" t="str">
        <f aca="false">IF(AND(ISNUMBER(F20),ISNUMBER(D20)),F20-D20,"")</f>
        <v/>
      </c>
      <c r="H20" s="79"/>
      <c r="I20" s="68" t="str">
        <f aca="false">IF(AND(ISNUMBER(H20),ISNUMBER(F20)),H20-F20,"")</f>
        <v/>
      </c>
      <c r="J20" s="79"/>
      <c r="K20" s="68" t="str">
        <f aca="false">IF(AND(ISNUMBER(J20),ISNUMBER(H20)),J20-H20,"")</f>
        <v/>
      </c>
    </row>
    <row r="21" customFormat="false" ht="15" hidden="false" customHeight="false" outlineLevel="0" collapsed="false">
      <c r="A21" s="78" t="s">
        <v>1137</v>
      </c>
      <c r="B21" s="19" t="n">
        <v>1</v>
      </c>
      <c r="D21" s="19" t="n">
        <v>1</v>
      </c>
      <c r="E21" s="68" t="n">
        <f aca="false">IF(AND(ISNUMBER(D21),ISNUMBER(B21)),D21-B21,"")</f>
        <v>0</v>
      </c>
      <c r="F21" s="19"/>
      <c r="G21" s="68" t="str">
        <f aca="false">IF(AND(ISNUMBER(F21),ISNUMBER(D21)),F21-D21,"")</f>
        <v/>
      </c>
      <c r="H21" s="19"/>
      <c r="I21" s="68" t="str">
        <f aca="false">IF(AND(ISNUMBER(H21),ISNUMBER(F21)),H21-F21,"")</f>
        <v/>
      </c>
      <c r="J21" s="19"/>
      <c r="K21" s="68" t="str">
        <f aca="false">IF(AND(ISNUMBER(J21),ISNUMBER(H21)),J21-H21,"")</f>
        <v/>
      </c>
    </row>
    <row r="22" customFormat="false" ht="15" hidden="false" customHeight="false" outlineLevel="0" collapsed="false">
      <c r="A22" s="78" t="s">
        <v>1138</v>
      </c>
      <c r="B22" s="19" t="n">
        <v>8</v>
      </c>
      <c r="D22" s="19" t="n">
        <v>8</v>
      </c>
      <c r="E22" s="68" t="n">
        <f aca="false">IF(AND(ISNUMBER(D22),ISNUMBER(B22)),D22-B22,"")</f>
        <v>0</v>
      </c>
      <c r="F22" s="19"/>
      <c r="G22" s="68" t="str">
        <f aca="false">IF(AND(ISNUMBER(F22),ISNUMBER(D22)),F22-D22,"")</f>
        <v/>
      </c>
      <c r="H22" s="19"/>
      <c r="I22" s="68" t="str">
        <f aca="false">IF(AND(ISNUMBER(H22),ISNUMBER(F22)),H22-F22,"")</f>
        <v/>
      </c>
      <c r="J22" s="19"/>
      <c r="K22" s="68" t="str">
        <f aca="false">IF(AND(ISNUMBER(J22),ISNUMBER(H22)),J22-H22,"")</f>
        <v/>
      </c>
    </row>
    <row r="23" customFormat="false" ht="15" hidden="false" customHeight="false" outlineLevel="0" collapsed="false">
      <c r="A23" s="78" t="s">
        <v>1139</v>
      </c>
      <c r="B23" s="19" t="n">
        <v>5</v>
      </c>
      <c r="D23" s="19" t="n">
        <v>5</v>
      </c>
      <c r="E23" s="68" t="n">
        <f aca="false">IF(AND(ISNUMBER(D23),ISNUMBER(B23)),D23-B23,"")</f>
        <v>0</v>
      </c>
      <c r="F23" s="19"/>
      <c r="G23" s="68" t="str">
        <f aca="false">IF(AND(ISNUMBER(F23),ISNUMBER(D23)),F23-D23,"")</f>
        <v/>
      </c>
      <c r="H23" s="19"/>
      <c r="I23" s="68" t="str">
        <f aca="false">IF(AND(ISNUMBER(H23),ISNUMBER(F23)),H23-F23,"")</f>
        <v/>
      </c>
      <c r="J23" s="19"/>
      <c r="K23" s="68" t="str">
        <f aca="false">IF(AND(ISNUMBER(J23),ISNUMBER(H23)),J23-H23,"")</f>
        <v/>
      </c>
    </row>
    <row r="24" customFormat="false" ht="15" hidden="false" customHeight="false" outlineLevel="0" collapsed="false">
      <c r="A24" s="78" t="s">
        <v>1140</v>
      </c>
      <c r="B24" s="19" t="n">
        <v>4</v>
      </c>
      <c r="D24" s="19" t="n">
        <v>4</v>
      </c>
      <c r="E24" s="68" t="n">
        <f aca="false">IF(AND(ISNUMBER(D24),ISNUMBER(B24)),D24-B24,"")</f>
        <v>0</v>
      </c>
      <c r="F24" s="19"/>
      <c r="G24" s="68" t="str">
        <f aca="false">IF(AND(ISNUMBER(F24),ISNUMBER(D24)),F24-D24,"")</f>
        <v/>
      </c>
      <c r="H24" s="19"/>
      <c r="I24" s="68" t="str">
        <f aca="false">IF(AND(ISNUMBER(H24),ISNUMBER(F24)),H24-F24,"")</f>
        <v/>
      </c>
      <c r="J24" s="19"/>
      <c r="K24" s="68" t="str">
        <f aca="false">IF(AND(ISNUMBER(J24),ISNUMBER(H24)),J24-H24,"")</f>
        <v/>
      </c>
    </row>
    <row r="25" customFormat="false" ht="15" hidden="false" customHeight="false" outlineLevel="0" collapsed="false">
      <c r="A25" s="78" t="s">
        <v>1141</v>
      </c>
      <c r="B25" s="19" t="n">
        <v>7</v>
      </c>
      <c r="D25" s="19" t="n">
        <v>7</v>
      </c>
      <c r="E25" s="68" t="n">
        <f aca="false">IF(AND(ISNUMBER(D25),ISNUMBER(B25)),D25-B25,"")</f>
        <v>0</v>
      </c>
      <c r="F25" s="19"/>
      <c r="G25" s="68" t="str">
        <f aca="false">IF(AND(ISNUMBER(F25),ISNUMBER(D25)),F25-D25,"")</f>
        <v/>
      </c>
      <c r="H25" s="19"/>
      <c r="I25" s="68" t="str">
        <f aca="false">IF(AND(ISNUMBER(H25),ISNUMBER(F25)),H25-F25,"")</f>
        <v/>
      </c>
      <c r="J25" s="19"/>
      <c r="K25" s="68" t="str">
        <f aca="false">IF(AND(ISNUMBER(J25),ISNUMBER(H25)),J25-H25,"")</f>
        <v/>
      </c>
    </row>
    <row r="26" customFormat="false" ht="15" hidden="false" customHeight="false" outlineLevel="0" collapsed="false">
      <c r="A26" s="5" t="s">
        <v>1142</v>
      </c>
      <c r="B26" s="26" t="n">
        <f aca="false">IF(COUNT(B18:B25)=0,"",AVERAGE(B18:B25))</f>
        <v>4.5</v>
      </c>
      <c r="D26" s="26" t="n">
        <f aca="false">IF(COUNT(D18:D25)=0,"",AVERAGE(D18:D25))</f>
        <v>4.5</v>
      </c>
      <c r="F26" s="26" t="str">
        <f aca="false">IF(COUNT(F18:F25)=0,"",AVERAGE(F18:F25))</f>
        <v/>
      </c>
      <c r="H26" s="26" t="str">
        <f aca="false">IF(COUNT(H18:H25)=0,"",AVERAGE(H18:H25))</f>
        <v/>
      </c>
      <c r="J26" s="26" t="str">
        <f aca="false">IF(COUNT(J18:J25)=0,"",AVERAGE(J18:J25))</f>
        <v/>
      </c>
    </row>
    <row r="28" customFormat="false" ht="30" hidden="false" customHeight="true" outlineLevel="0" collapsed="false">
      <c r="A28" s="12" t="s">
        <v>1144</v>
      </c>
      <c r="B28" s="12" t="s">
        <v>894</v>
      </c>
      <c r="C28" s="12" t="s">
        <v>1063</v>
      </c>
      <c r="D28" s="12" t="s">
        <v>895</v>
      </c>
      <c r="E28" s="12" t="s">
        <v>1063</v>
      </c>
      <c r="F28" s="12" t="s">
        <v>896</v>
      </c>
      <c r="G28" s="12" t="s">
        <v>1063</v>
      </c>
      <c r="H28" s="12" t="s">
        <v>897</v>
      </c>
      <c r="I28" s="12" t="s">
        <v>1063</v>
      </c>
      <c r="J28" s="12" t="s">
        <v>898</v>
      </c>
      <c r="K28" s="12" t="s">
        <v>1063</v>
      </c>
    </row>
    <row r="29" customFormat="false" ht="15" hidden="false" customHeight="false" outlineLevel="0" collapsed="false">
      <c r="A29" s="78" t="s">
        <v>1134</v>
      </c>
      <c r="B29" s="76" t="n">
        <v>2.05</v>
      </c>
      <c r="D29" s="76" t="n">
        <v>2.18</v>
      </c>
      <c r="E29" s="77" t="n">
        <f aca="false">IF(AND(ISNUMBER(D29),ISNUMBER(B29)),D29-B29,"")</f>
        <v>0.13</v>
      </c>
      <c r="F29" s="76"/>
      <c r="G29" s="77" t="str">
        <f aca="false">IF(AND(ISNUMBER(F29),ISNUMBER(D29)),F29-D29,"")</f>
        <v/>
      </c>
      <c r="H29" s="76"/>
      <c r="I29" s="77" t="str">
        <f aca="false">IF(AND(ISNUMBER(H29),ISNUMBER(F29)),H29-F29,"")</f>
        <v/>
      </c>
      <c r="J29" s="76"/>
      <c r="K29" s="77" t="str">
        <f aca="false">IF(AND(ISNUMBER(J29),ISNUMBER(H29)),J29-H29,"")</f>
        <v/>
      </c>
    </row>
    <row r="30" customFormat="false" ht="15" hidden="false" customHeight="false" outlineLevel="0" collapsed="false">
      <c r="A30" s="78" t="s">
        <v>1135</v>
      </c>
      <c r="B30" s="76" t="n">
        <v>1.52</v>
      </c>
      <c r="D30" s="76" t="n">
        <v>1.6</v>
      </c>
      <c r="E30" s="77" t="n">
        <f aca="false">IF(AND(ISNUMBER(D30),ISNUMBER(B30)),D30-B30,"")</f>
        <v>0.0800000000000001</v>
      </c>
      <c r="F30" s="76"/>
      <c r="G30" s="77" t="str">
        <f aca="false">IF(AND(ISNUMBER(F30),ISNUMBER(D30)),F30-D30,"")</f>
        <v/>
      </c>
      <c r="H30" s="76"/>
      <c r="I30" s="77" t="str">
        <f aca="false">IF(AND(ISNUMBER(H30),ISNUMBER(F30)),H30-F30,"")</f>
        <v/>
      </c>
      <c r="J30" s="76"/>
      <c r="K30" s="77" t="str">
        <f aca="false">IF(AND(ISNUMBER(J30),ISNUMBER(H30)),J30-H30,"")</f>
        <v/>
      </c>
    </row>
    <row r="31" customFormat="false" ht="15" hidden="false" customHeight="false" outlineLevel="0" collapsed="false">
      <c r="A31" s="4" t="s">
        <v>1136</v>
      </c>
      <c r="B31" s="80" t="n">
        <v>1.85</v>
      </c>
      <c r="D31" s="80" t="n">
        <v>2.1</v>
      </c>
      <c r="E31" s="77" t="n">
        <f aca="false">IF(AND(ISNUMBER(D31),ISNUMBER(B31)),D31-B31,"")</f>
        <v>0.25</v>
      </c>
      <c r="F31" s="80"/>
      <c r="G31" s="77" t="str">
        <f aca="false">IF(AND(ISNUMBER(F31),ISNUMBER(D31)),F31-D31,"")</f>
        <v/>
      </c>
      <c r="H31" s="80"/>
      <c r="I31" s="77" t="str">
        <f aca="false">IF(AND(ISNUMBER(H31),ISNUMBER(F31)),H31-F31,"")</f>
        <v/>
      </c>
      <c r="J31" s="80"/>
      <c r="K31" s="77" t="str">
        <f aca="false">IF(AND(ISNUMBER(J31),ISNUMBER(H31)),J31-H31,"")</f>
        <v/>
      </c>
    </row>
    <row r="32" customFormat="false" ht="15" hidden="false" customHeight="false" outlineLevel="0" collapsed="false">
      <c r="A32" s="78" t="s">
        <v>1137</v>
      </c>
      <c r="B32" s="76" t="n">
        <v>2.15</v>
      </c>
      <c r="D32" s="76" t="n">
        <v>2.31</v>
      </c>
      <c r="E32" s="77" t="n">
        <f aca="false">IF(AND(ISNUMBER(D32),ISNUMBER(B32)),D32-B32,"")</f>
        <v>0.16</v>
      </c>
      <c r="F32" s="76"/>
      <c r="G32" s="77" t="str">
        <f aca="false">IF(AND(ISNUMBER(F32),ISNUMBER(D32)),F32-D32,"")</f>
        <v/>
      </c>
      <c r="H32" s="76"/>
      <c r="I32" s="77" t="str">
        <f aca="false">IF(AND(ISNUMBER(H32),ISNUMBER(F32)),H32-F32,"")</f>
        <v/>
      </c>
      <c r="J32" s="76"/>
      <c r="K32" s="77" t="str">
        <f aca="false">IF(AND(ISNUMBER(J32),ISNUMBER(H32)),J32-H32,"")</f>
        <v/>
      </c>
    </row>
    <row r="33" customFormat="false" ht="15" hidden="false" customHeight="false" outlineLevel="0" collapsed="false">
      <c r="A33" s="78" t="s">
        <v>1138</v>
      </c>
      <c r="B33" s="76" t="n">
        <v>1.31</v>
      </c>
      <c r="D33" s="76" t="n">
        <v>1.2</v>
      </c>
      <c r="E33" s="77" t="n">
        <f aca="false">IF(AND(ISNUMBER(D33),ISNUMBER(B33)),D33-B33,"")</f>
        <v>-0.11</v>
      </c>
      <c r="F33" s="76"/>
      <c r="G33" s="77" t="str">
        <f aca="false">IF(AND(ISNUMBER(F33),ISNUMBER(D33)),F33-D33,"")</f>
        <v/>
      </c>
      <c r="H33" s="76"/>
      <c r="I33" s="77" t="str">
        <f aca="false">IF(AND(ISNUMBER(H33),ISNUMBER(F33)),H33-F33,"")</f>
        <v/>
      </c>
      <c r="J33" s="76"/>
      <c r="K33" s="77" t="str">
        <f aca="false">IF(AND(ISNUMBER(J33),ISNUMBER(H33)),J33-H33,"")</f>
        <v/>
      </c>
    </row>
    <row r="34" customFormat="false" ht="15" hidden="false" customHeight="false" outlineLevel="0" collapsed="false">
      <c r="A34" s="78" t="s">
        <v>1139</v>
      </c>
      <c r="B34" s="76" t="n">
        <v>1.7</v>
      </c>
      <c r="D34" s="76" t="n">
        <v>1.76</v>
      </c>
      <c r="E34" s="77" t="n">
        <f aca="false">IF(AND(ISNUMBER(D34),ISNUMBER(B34)),D34-B34,"")</f>
        <v>0.0600000000000001</v>
      </c>
      <c r="F34" s="76"/>
      <c r="G34" s="77" t="str">
        <f aca="false">IF(AND(ISNUMBER(F34),ISNUMBER(D34)),F34-D34,"")</f>
        <v/>
      </c>
      <c r="H34" s="76"/>
      <c r="I34" s="77" t="str">
        <f aca="false">IF(AND(ISNUMBER(H34),ISNUMBER(F34)),H34-F34,"")</f>
        <v/>
      </c>
      <c r="J34" s="76"/>
      <c r="K34" s="77" t="str">
        <f aca="false">IF(AND(ISNUMBER(J34),ISNUMBER(H34)),J34-H34,"")</f>
        <v/>
      </c>
    </row>
    <row r="35" customFormat="false" ht="15" hidden="false" customHeight="false" outlineLevel="0" collapsed="false">
      <c r="A35" s="78" t="s">
        <v>1140</v>
      </c>
      <c r="B35" s="76" t="n">
        <v>1.92</v>
      </c>
      <c r="D35" s="76" t="n">
        <v>2.02</v>
      </c>
      <c r="E35" s="77" t="n">
        <f aca="false">IF(AND(ISNUMBER(D35),ISNUMBER(B35)),D35-B35,"")</f>
        <v>0.1</v>
      </c>
      <c r="F35" s="76"/>
      <c r="G35" s="77" t="str">
        <f aca="false">IF(AND(ISNUMBER(F35),ISNUMBER(D35)),F35-D35,"")</f>
        <v/>
      </c>
      <c r="H35" s="76"/>
      <c r="I35" s="77" t="str">
        <f aca="false">IF(AND(ISNUMBER(H35),ISNUMBER(F35)),H35-F35,"")</f>
        <v/>
      </c>
      <c r="J35" s="76"/>
      <c r="K35" s="77" t="str">
        <f aca="false">IF(AND(ISNUMBER(J35),ISNUMBER(H35)),J35-H35,"")</f>
        <v/>
      </c>
    </row>
    <row r="36" customFormat="false" ht="15" hidden="false" customHeight="false" outlineLevel="0" collapsed="false">
      <c r="A36" s="78" t="s">
        <v>1141</v>
      </c>
      <c r="B36" s="76" t="n">
        <v>1.45</v>
      </c>
      <c r="D36" s="76" t="n">
        <v>1.4</v>
      </c>
      <c r="E36" s="77" t="n">
        <f aca="false">IF(AND(ISNUMBER(D36),ISNUMBER(B36)),D36-B36,"")</f>
        <v>-0.05</v>
      </c>
      <c r="F36" s="76"/>
      <c r="G36" s="77" t="str">
        <f aca="false">IF(AND(ISNUMBER(F36),ISNUMBER(D36)),F36-D36,"")</f>
        <v/>
      </c>
      <c r="H36" s="76"/>
      <c r="I36" s="77" t="str">
        <f aca="false">IF(AND(ISNUMBER(H36),ISNUMBER(F36)),H36-F36,"")</f>
        <v/>
      </c>
      <c r="J36" s="76"/>
      <c r="K36" s="77" t="str">
        <f aca="false">IF(AND(ISNUMBER(J36),ISNUMBER(H36)),J36-H36,"")</f>
        <v/>
      </c>
    </row>
    <row r="37" customFormat="false" ht="15" hidden="false" customHeight="false" outlineLevel="0" collapsed="false">
      <c r="A37" s="5" t="s">
        <v>1142</v>
      </c>
      <c r="B37" s="81" t="n">
        <f aca="false">IF(COUNT(B29:B36)=0,"",AVERAGE(B29:B36))</f>
        <v>1.74375</v>
      </c>
      <c r="D37" s="81" t="n">
        <f aca="false">IF(COUNT(D29:D36)=0,"",AVERAGE(D29:D36))</f>
        <v>1.82125</v>
      </c>
      <c r="F37" s="81" t="str">
        <f aca="false">IF(COUNT(F29:F36)=0,"",AVERAGE(F29:F36))</f>
        <v/>
      </c>
      <c r="H37" s="81" t="str">
        <f aca="false">IF(COUNT(H29:H36)=0,"",AVERAGE(H29:H36))</f>
        <v/>
      </c>
      <c r="J37" s="81" t="str">
        <f aca="false">IF(COUNT(J29:J36)=0,"",AVERAGE(J29:J36))</f>
        <v/>
      </c>
    </row>
    <row r="38" customFormat="false" ht="15" hidden="false" customHeight="false" outlineLevel="0" collapsed="false">
      <c r="A38" s="20" t="s">
        <v>1143</v>
      </c>
      <c r="B38" s="57" t="n">
        <f aca="false">IF(ISNUMBER(B31),RANK(B31,B29:B36,0),"")</f>
        <v>4</v>
      </c>
      <c r="D38" s="57" t="n">
        <f aca="false">IF(ISNUMBER(D31),RANK(D31,D29:D36,0),"")</f>
        <v>3</v>
      </c>
      <c r="E38" s="68" t="n">
        <f aca="false">IF(AND(ISNUMBER(D38),ISNUMBER(B38)),D38-B38,"")</f>
        <v>-1</v>
      </c>
      <c r="F38" s="57" t="str">
        <f aca="false">IF(ISNUMBER(F31),RANK(F31,F29:F36,0),"")</f>
        <v/>
      </c>
      <c r="G38" s="68" t="str">
        <f aca="false">IF(AND(ISNUMBER(F38),ISNUMBER(D38)),F38-D38,"")</f>
        <v/>
      </c>
      <c r="H38" s="57" t="str">
        <f aca="false">IF(ISNUMBER(H31),RANK(H31,H29:H36,0),"")</f>
        <v/>
      </c>
      <c r="I38" s="68" t="str">
        <f aca="false">IF(AND(ISNUMBER(H38),ISNUMBER(F38)),H38-F38,"")</f>
        <v/>
      </c>
      <c r="J38" s="57" t="str">
        <f aca="false">IF(ISNUMBER(J31),RANK(J31,J29:J36,0),"")</f>
        <v/>
      </c>
      <c r="K38" s="68" t="str">
        <f aca="false">IF(AND(ISNUMBER(J38),ISNUMBER(H38)),J38-H38,"")</f>
        <v/>
      </c>
    </row>
    <row r="40" customFormat="false" ht="30" hidden="false" customHeight="true" outlineLevel="0" collapsed="false">
      <c r="A40" s="12" t="s">
        <v>1088</v>
      </c>
      <c r="B40" s="12" t="s">
        <v>894</v>
      </c>
      <c r="C40" s="12" t="s">
        <v>1063</v>
      </c>
      <c r="D40" s="12" t="s">
        <v>895</v>
      </c>
      <c r="E40" s="12" t="s">
        <v>1063</v>
      </c>
      <c r="F40" s="12" t="s">
        <v>896</v>
      </c>
      <c r="G40" s="12" t="s">
        <v>1063</v>
      </c>
      <c r="H40" s="12" t="s">
        <v>897</v>
      </c>
      <c r="I40" s="12" t="s">
        <v>1063</v>
      </c>
      <c r="J40" s="12" t="s">
        <v>898</v>
      </c>
      <c r="K40" s="12" t="s">
        <v>1063</v>
      </c>
    </row>
    <row r="41" customFormat="false" ht="15" hidden="false" customHeight="false" outlineLevel="0" collapsed="false">
      <c r="A41" s="78" t="s">
        <v>1134</v>
      </c>
      <c r="B41" s="22" t="n">
        <v>0.152</v>
      </c>
      <c r="D41" s="22" t="n">
        <v>0.16</v>
      </c>
      <c r="E41" s="73" t="n">
        <f aca="false">IF(AND(ISNUMBER(D41),ISNUMBER(B41)),D41-B41,"")</f>
        <v>0.00800000000000001</v>
      </c>
      <c r="F41" s="22"/>
      <c r="G41" s="73" t="str">
        <f aca="false">IF(AND(ISNUMBER(F41),ISNUMBER(D41)),F41-D41,"")</f>
        <v/>
      </c>
      <c r="H41" s="22"/>
      <c r="I41" s="73" t="str">
        <f aca="false">IF(AND(ISNUMBER(H41),ISNUMBER(F41)),H41-F41,"")</f>
        <v/>
      </c>
      <c r="J41" s="22"/>
      <c r="K41" s="73" t="str">
        <f aca="false">IF(AND(ISNUMBER(J41),ISNUMBER(H41)),J41-H41,"")</f>
        <v/>
      </c>
    </row>
    <row r="42" customFormat="false" ht="15" hidden="false" customHeight="false" outlineLevel="0" collapsed="false">
      <c r="A42" s="78" t="s">
        <v>1135</v>
      </c>
      <c r="B42" s="22" t="n">
        <v>0.121</v>
      </c>
      <c r="D42" s="22" t="n">
        <v>0.126</v>
      </c>
      <c r="E42" s="73" t="n">
        <f aca="false">IF(AND(ISNUMBER(D42),ISNUMBER(B42)),D42-B42,"")</f>
        <v>0.005</v>
      </c>
      <c r="F42" s="22"/>
      <c r="G42" s="73" t="str">
        <f aca="false">IF(AND(ISNUMBER(F42),ISNUMBER(D42)),F42-D42,"")</f>
        <v/>
      </c>
      <c r="H42" s="22"/>
      <c r="I42" s="73" t="str">
        <f aca="false">IF(AND(ISNUMBER(H42),ISNUMBER(F42)),H42-F42,"")</f>
        <v/>
      </c>
      <c r="J42" s="22"/>
      <c r="K42" s="73" t="str">
        <f aca="false">IF(AND(ISNUMBER(J42),ISNUMBER(H42)),J42-H42,"")</f>
        <v/>
      </c>
    </row>
    <row r="43" customFormat="false" ht="15" hidden="false" customHeight="false" outlineLevel="0" collapsed="false">
      <c r="A43" s="4" t="s">
        <v>1136</v>
      </c>
      <c r="B43" s="82" t="n">
        <v>0.142</v>
      </c>
      <c r="D43" s="82" t="n">
        <v>0.155</v>
      </c>
      <c r="E43" s="73" t="n">
        <f aca="false">IF(AND(ISNUMBER(D43),ISNUMBER(B43)),D43-B43,"")</f>
        <v>0.013</v>
      </c>
      <c r="F43" s="82"/>
      <c r="G43" s="73" t="str">
        <f aca="false">IF(AND(ISNUMBER(F43),ISNUMBER(D43)),F43-D43,"")</f>
        <v/>
      </c>
      <c r="H43" s="82"/>
      <c r="I43" s="73" t="str">
        <f aca="false">IF(AND(ISNUMBER(H43),ISNUMBER(F43)),H43-F43,"")</f>
        <v/>
      </c>
      <c r="J43" s="82"/>
      <c r="K43" s="73" t="str">
        <f aca="false">IF(AND(ISNUMBER(J43),ISNUMBER(H43)),J43-H43,"")</f>
        <v/>
      </c>
    </row>
    <row r="44" customFormat="false" ht="15" hidden="false" customHeight="false" outlineLevel="0" collapsed="false">
      <c r="A44" s="78" t="s">
        <v>1137</v>
      </c>
      <c r="B44" s="22" t="n">
        <v>0.158</v>
      </c>
      <c r="D44" s="22" t="n">
        <v>0.166</v>
      </c>
      <c r="E44" s="73" t="n">
        <f aca="false">IF(AND(ISNUMBER(D44),ISNUMBER(B44)),D44-B44,"")</f>
        <v>0.00800000000000001</v>
      </c>
      <c r="F44" s="22"/>
      <c r="G44" s="73" t="str">
        <f aca="false">IF(AND(ISNUMBER(F44),ISNUMBER(D44)),F44-D44,"")</f>
        <v/>
      </c>
      <c r="H44" s="22"/>
      <c r="I44" s="73" t="str">
        <f aca="false">IF(AND(ISNUMBER(H44),ISNUMBER(F44)),H44-F44,"")</f>
        <v/>
      </c>
      <c r="J44" s="22"/>
      <c r="K44" s="73" t="str">
        <f aca="false">IF(AND(ISNUMBER(J44),ISNUMBER(H44)),J44-H44,"")</f>
        <v/>
      </c>
    </row>
    <row r="45" customFormat="false" ht="15" hidden="false" customHeight="false" outlineLevel="0" collapsed="false">
      <c r="A45" s="78" t="s">
        <v>1138</v>
      </c>
      <c r="B45" s="22" t="n">
        <v>0.11</v>
      </c>
      <c r="D45" s="22" t="n">
        <v>0.101</v>
      </c>
      <c r="E45" s="73" t="n">
        <f aca="false">IF(AND(ISNUMBER(D45),ISNUMBER(B45)),D45-B45,"")</f>
        <v>-0.00899999999999999</v>
      </c>
      <c r="F45" s="22"/>
      <c r="G45" s="73" t="str">
        <f aca="false">IF(AND(ISNUMBER(F45),ISNUMBER(D45)),F45-D45,"")</f>
        <v/>
      </c>
      <c r="H45" s="22"/>
      <c r="I45" s="73" t="str">
        <f aca="false">IF(AND(ISNUMBER(H45),ISNUMBER(F45)),H45-F45,"")</f>
        <v/>
      </c>
      <c r="J45" s="22"/>
      <c r="K45" s="73" t="str">
        <f aca="false">IF(AND(ISNUMBER(J45),ISNUMBER(H45)),J45-H45,"")</f>
        <v/>
      </c>
    </row>
    <row r="46" customFormat="false" ht="15" hidden="false" customHeight="false" outlineLevel="0" collapsed="false">
      <c r="A46" s="78" t="s">
        <v>1139</v>
      </c>
      <c r="B46" s="22" t="n">
        <v>0.133</v>
      </c>
      <c r="D46" s="22" t="n">
        <v>0.137</v>
      </c>
      <c r="E46" s="73" t="n">
        <f aca="false">IF(AND(ISNUMBER(D46),ISNUMBER(B46)),D46-B46,"")</f>
        <v>0.004</v>
      </c>
      <c r="F46" s="22"/>
      <c r="G46" s="73" t="str">
        <f aca="false">IF(AND(ISNUMBER(F46),ISNUMBER(D46)),F46-D46,"")</f>
        <v/>
      </c>
      <c r="H46" s="22"/>
      <c r="I46" s="73" t="str">
        <f aca="false">IF(AND(ISNUMBER(H46),ISNUMBER(F46)),H46-F46,"")</f>
        <v/>
      </c>
      <c r="J46" s="22"/>
      <c r="K46" s="73" t="str">
        <f aca="false">IF(AND(ISNUMBER(J46),ISNUMBER(H46)),J46-H46,"")</f>
        <v/>
      </c>
    </row>
    <row r="47" customFormat="false" ht="15" hidden="false" customHeight="false" outlineLevel="0" collapsed="false">
      <c r="A47" s="78" t="s">
        <v>1140</v>
      </c>
      <c r="B47" s="22" t="n">
        <v>0.141</v>
      </c>
      <c r="D47" s="22" t="n">
        <v>0.147</v>
      </c>
      <c r="E47" s="73" t="n">
        <f aca="false">IF(AND(ISNUMBER(D47),ISNUMBER(B47)),D47-B47,"")</f>
        <v>0.00600000000000001</v>
      </c>
      <c r="F47" s="22"/>
      <c r="G47" s="73" t="str">
        <f aca="false">IF(AND(ISNUMBER(F47),ISNUMBER(D47)),F47-D47,"")</f>
        <v/>
      </c>
      <c r="H47" s="22"/>
      <c r="I47" s="73" t="str">
        <f aca="false">IF(AND(ISNUMBER(H47),ISNUMBER(F47)),H47-F47,"")</f>
        <v/>
      </c>
      <c r="J47" s="22"/>
      <c r="K47" s="73" t="str">
        <f aca="false">IF(AND(ISNUMBER(J47),ISNUMBER(H47)),J47-H47,"")</f>
        <v/>
      </c>
    </row>
    <row r="48" customFormat="false" ht="15" hidden="false" customHeight="false" outlineLevel="0" collapsed="false">
      <c r="A48" s="78" t="s">
        <v>1141</v>
      </c>
      <c r="B48" s="22" t="n">
        <v>0.118</v>
      </c>
      <c r="D48" s="22" t="n">
        <v>0.114</v>
      </c>
      <c r="E48" s="73" t="n">
        <f aca="false">IF(AND(ISNUMBER(D48),ISNUMBER(B48)),D48-B48,"")</f>
        <v>-0.00399999999999999</v>
      </c>
      <c r="F48" s="22"/>
      <c r="G48" s="73" t="str">
        <f aca="false">IF(AND(ISNUMBER(F48),ISNUMBER(D48)),F48-D48,"")</f>
        <v/>
      </c>
      <c r="H48" s="22"/>
      <c r="I48" s="73" t="str">
        <f aca="false">IF(AND(ISNUMBER(H48),ISNUMBER(F48)),H48-F48,"")</f>
        <v/>
      </c>
      <c r="J48" s="22"/>
      <c r="K48" s="73" t="str">
        <f aca="false">IF(AND(ISNUMBER(J48),ISNUMBER(H48)),J48-H48,"")</f>
        <v/>
      </c>
    </row>
    <row r="49" customFormat="false" ht="15" hidden="false" customHeight="false" outlineLevel="0" collapsed="false">
      <c r="A49" s="5" t="s">
        <v>1142</v>
      </c>
      <c r="B49" s="39" t="n">
        <f aca="false">IF(COUNT(B41:B48)=0,"",AVERAGE(B41:B48))</f>
        <v>0.134375</v>
      </c>
      <c r="D49" s="39" t="n">
        <f aca="false">IF(COUNT(D41:D48)=0,"",AVERAGE(D41:D48))</f>
        <v>0.13825</v>
      </c>
      <c r="F49" s="39" t="str">
        <f aca="false">IF(COUNT(F41:F48)=0,"",AVERAGE(F41:F48))</f>
        <v/>
      </c>
      <c r="H49" s="39" t="str">
        <f aca="false">IF(COUNT(H41:H48)=0,"",AVERAGE(H41:H48))</f>
        <v/>
      </c>
      <c r="J49" s="39" t="str">
        <f aca="false">IF(COUNT(J41:J48)=0,"",AVERAGE(J41:J48))</f>
        <v/>
      </c>
    </row>
    <row r="50" customFormat="false" ht="15" hidden="false" customHeight="false" outlineLevel="0" collapsed="false">
      <c r="A50" s="20" t="s">
        <v>1143</v>
      </c>
      <c r="B50" s="57" t="n">
        <f aca="false">IF(ISNUMBER(B43),RANK(B43,B41:B48,0),"")</f>
        <v>3</v>
      </c>
      <c r="D50" s="57" t="n">
        <f aca="false">IF(ISNUMBER(D43),RANK(D43,D41:D48,0),"")</f>
        <v>3</v>
      </c>
      <c r="E50" s="68" t="n">
        <f aca="false">IF(AND(ISNUMBER(D50),ISNUMBER(B50)),D50-B50,"")</f>
        <v>0</v>
      </c>
      <c r="F50" s="57" t="str">
        <f aca="false">IF(ISNUMBER(F43),RANK(F43,F41:F48,0),"")</f>
        <v/>
      </c>
      <c r="G50" s="68" t="str">
        <f aca="false">IF(AND(ISNUMBER(F50),ISNUMBER(D50)),F50-D50,"")</f>
        <v/>
      </c>
      <c r="H50" s="57" t="str">
        <f aca="false">IF(ISNUMBER(H43),RANK(H43,H41:H48,0),"")</f>
        <v/>
      </c>
      <c r="I50" s="68" t="str">
        <f aca="false">IF(AND(ISNUMBER(H50),ISNUMBER(F50)),H50-F50,"")</f>
        <v/>
      </c>
      <c r="J50" s="57" t="str">
        <f aca="false">IF(ISNUMBER(J43),RANK(J43,J41:J48,0),"")</f>
        <v/>
      </c>
      <c r="K50" s="68" t="str">
        <f aca="false">IF(AND(ISNUMBER(J50),ISNUMBER(H50)),J50-H50,"")</f>
        <v/>
      </c>
    </row>
    <row r="52" customFormat="false" ht="30" hidden="false" customHeight="true" outlineLevel="0" collapsed="false">
      <c r="A52" s="12" t="s">
        <v>1145</v>
      </c>
      <c r="B52" s="12" t="s">
        <v>894</v>
      </c>
      <c r="C52" s="12" t="s">
        <v>1063</v>
      </c>
      <c r="D52" s="12" t="s">
        <v>895</v>
      </c>
      <c r="E52" s="12" t="s">
        <v>1063</v>
      </c>
      <c r="F52" s="12" t="s">
        <v>896</v>
      </c>
      <c r="G52" s="12" t="s">
        <v>1063</v>
      </c>
      <c r="H52" s="12" t="s">
        <v>897</v>
      </c>
      <c r="I52" s="12" t="s">
        <v>1063</v>
      </c>
      <c r="J52" s="12" t="s">
        <v>898</v>
      </c>
      <c r="K52" s="12" t="s">
        <v>1063</v>
      </c>
    </row>
    <row r="53" customFormat="false" ht="15" hidden="false" customHeight="false" outlineLevel="0" collapsed="false">
      <c r="A53" s="78" t="s">
        <v>1134</v>
      </c>
      <c r="B53" s="76" t="n">
        <v>24.9</v>
      </c>
      <c r="D53" s="76" t="n">
        <v>26.8</v>
      </c>
      <c r="E53" s="77" t="n">
        <f aca="false">IF(AND(ISNUMBER(D53),ISNUMBER(B53)),D53-B53,"")</f>
        <v>1.9</v>
      </c>
      <c r="F53" s="76"/>
      <c r="G53" s="77" t="str">
        <f aca="false">IF(AND(ISNUMBER(F53),ISNUMBER(D53)),F53-D53,"")</f>
        <v/>
      </c>
      <c r="H53" s="76"/>
      <c r="I53" s="77" t="str">
        <f aca="false">IF(AND(ISNUMBER(H53),ISNUMBER(F53)),H53-F53,"")</f>
        <v/>
      </c>
      <c r="J53" s="76"/>
      <c r="K53" s="77" t="str">
        <f aca="false">IF(AND(ISNUMBER(J53),ISNUMBER(H53)),J53-H53,"")</f>
        <v/>
      </c>
    </row>
    <row r="54" customFormat="false" ht="15" hidden="false" customHeight="false" outlineLevel="0" collapsed="false">
      <c r="A54" s="78" t="s">
        <v>1135</v>
      </c>
      <c r="B54" s="76" t="n">
        <v>19</v>
      </c>
      <c r="D54" s="76" t="n">
        <v>20.1</v>
      </c>
      <c r="E54" s="77" t="n">
        <f aca="false">IF(AND(ISNUMBER(D54),ISNUMBER(B54)),D54-B54,"")</f>
        <v>1.1</v>
      </c>
      <c r="F54" s="76"/>
      <c r="G54" s="77" t="str">
        <f aca="false">IF(AND(ISNUMBER(F54),ISNUMBER(D54)),F54-D54,"")</f>
        <v/>
      </c>
      <c r="H54" s="76"/>
      <c r="I54" s="77" t="str">
        <f aca="false">IF(AND(ISNUMBER(H54),ISNUMBER(F54)),H54-F54,"")</f>
        <v/>
      </c>
      <c r="J54" s="76"/>
      <c r="K54" s="77" t="str">
        <f aca="false">IF(AND(ISNUMBER(J54),ISNUMBER(H54)),J54-H54,"")</f>
        <v/>
      </c>
    </row>
    <row r="55" customFormat="false" ht="15" hidden="false" customHeight="false" outlineLevel="0" collapsed="false">
      <c r="A55" s="4" t="s">
        <v>1136</v>
      </c>
      <c r="B55" s="80" t="n">
        <v>22.4</v>
      </c>
      <c r="D55" s="80" t="n">
        <v>26.1</v>
      </c>
      <c r="E55" s="77" t="n">
        <f aca="false">IF(AND(ISNUMBER(D55),ISNUMBER(B55)),D55-B55,"")</f>
        <v>3.7</v>
      </c>
      <c r="F55" s="80"/>
      <c r="G55" s="77" t="str">
        <f aca="false">IF(AND(ISNUMBER(F55),ISNUMBER(D55)),F55-D55,"")</f>
        <v/>
      </c>
      <c r="H55" s="80"/>
      <c r="I55" s="77" t="str">
        <f aca="false">IF(AND(ISNUMBER(H55),ISNUMBER(F55)),H55-F55,"")</f>
        <v/>
      </c>
      <c r="J55" s="80"/>
      <c r="K55" s="77" t="str">
        <f aca="false">IF(AND(ISNUMBER(J55),ISNUMBER(H55)),J55-H55,"")</f>
        <v/>
      </c>
    </row>
    <row r="56" customFormat="false" ht="15" hidden="false" customHeight="false" outlineLevel="0" collapsed="false">
      <c r="A56" s="78" t="s">
        <v>1137</v>
      </c>
      <c r="B56" s="76" t="n">
        <v>26</v>
      </c>
      <c r="D56" s="76" t="n">
        <v>28.3</v>
      </c>
      <c r="E56" s="77" t="n">
        <f aca="false">IF(AND(ISNUMBER(D56),ISNUMBER(B56)),D56-B56,"")</f>
        <v>2.3</v>
      </c>
      <c r="F56" s="76"/>
      <c r="G56" s="77" t="str">
        <f aca="false">IF(AND(ISNUMBER(F56),ISNUMBER(D56)),F56-D56,"")</f>
        <v/>
      </c>
      <c r="H56" s="76"/>
      <c r="I56" s="77" t="str">
        <f aca="false">IF(AND(ISNUMBER(H56),ISNUMBER(F56)),H56-F56,"")</f>
        <v/>
      </c>
      <c r="J56" s="76"/>
      <c r="K56" s="77" t="str">
        <f aca="false">IF(AND(ISNUMBER(J56),ISNUMBER(H56)),J56-H56,"")</f>
        <v/>
      </c>
    </row>
    <row r="57" customFormat="false" ht="15" hidden="false" customHeight="false" outlineLevel="0" collapsed="false">
      <c r="A57" s="78" t="s">
        <v>1138</v>
      </c>
      <c r="B57" s="76" t="n">
        <v>17.2</v>
      </c>
      <c r="D57" s="76" t="n">
        <v>16</v>
      </c>
      <c r="E57" s="77" t="n">
        <f aca="false">IF(AND(ISNUMBER(D57),ISNUMBER(B57)),D57-B57,"")</f>
        <v>-1.2</v>
      </c>
      <c r="F57" s="76"/>
      <c r="G57" s="77" t="str">
        <f aca="false">IF(AND(ISNUMBER(F57),ISNUMBER(D57)),F57-D57,"")</f>
        <v/>
      </c>
      <c r="H57" s="76"/>
      <c r="I57" s="77" t="str">
        <f aca="false">IF(AND(ISNUMBER(H57),ISNUMBER(F57)),H57-F57,"")</f>
        <v/>
      </c>
      <c r="J57" s="76"/>
      <c r="K57" s="77" t="str">
        <f aca="false">IF(AND(ISNUMBER(J57),ISNUMBER(H57)),J57-H57,"")</f>
        <v/>
      </c>
    </row>
    <row r="58" customFormat="false" ht="15" hidden="false" customHeight="false" outlineLevel="0" collapsed="false">
      <c r="A58" s="78" t="s">
        <v>1139</v>
      </c>
      <c r="B58" s="76" t="n">
        <v>21</v>
      </c>
      <c r="D58" s="76" t="n">
        <v>21.9</v>
      </c>
      <c r="E58" s="77" t="n">
        <f aca="false">IF(AND(ISNUMBER(D58),ISNUMBER(B58)),D58-B58,"")</f>
        <v>0.899999999999999</v>
      </c>
      <c r="F58" s="76"/>
      <c r="G58" s="77" t="str">
        <f aca="false">IF(AND(ISNUMBER(F58),ISNUMBER(D58)),F58-D58,"")</f>
        <v/>
      </c>
      <c r="H58" s="76"/>
      <c r="I58" s="77" t="str">
        <f aca="false">IF(AND(ISNUMBER(H58),ISNUMBER(F58)),H58-F58,"")</f>
        <v/>
      </c>
      <c r="J58" s="76"/>
      <c r="K58" s="77" t="str">
        <f aca="false">IF(AND(ISNUMBER(J58),ISNUMBER(H58)),J58-H58,"")</f>
        <v/>
      </c>
    </row>
    <row r="59" customFormat="false" ht="15" hidden="false" customHeight="false" outlineLevel="0" collapsed="false">
      <c r="A59" s="78" t="s">
        <v>1140</v>
      </c>
      <c r="B59" s="76" t="n">
        <v>23.1</v>
      </c>
      <c r="D59" s="76" t="n">
        <v>24.6</v>
      </c>
      <c r="E59" s="77" t="n">
        <f aca="false">IF(AND(ISNUMBER(D59),ISNUMBER(B59)),D59-B59,"")</f>
        <v>1.5</v>
      </c>
      <c r="F59" s="76"/>
      <c r="G59" s="77" t="str">
        <f aca="false">IF(AND(ISNUMBER(F59),ISNUMBER(D59)),F59-D59,"")</f>
        <v/>
      </c>
      <c r="H59" s="76"/>
      <c r="I59" s="77" t="str">
        <f aca="false">IF(AND(ISNUMBER(H59),ISNUMBER(F59)),H59-F59,"")</f>
        <v/>
      </c>
      <c r="J59" s="76"/>
      <c r="K59" s="77" t="str">
        <f aca="false">IF(AND(ISNUMBER(J59),ISNUMBER(H59)),J59-H59,"")</f>
        <v/>
      </c>
    </row>
    <row r="60" customFormat="false" ht="15" hidden="false" customHeight="false" outlineLevel="0" collapsed="false">
      <c r="A60" s="78" t="s">
        <v>1141</v>
      </c>
      <c r="B60" s="76" t="n">
        <v>18.4</v>
      </c>
      <c r="D60" s="76" t="n">
        <v>17.7</v>
      </c>
      <c r="E60" s="77" t="n">
        <f aca="false">IF(AND(ISNUMBER(D60),ISNUMBER(B60)),D60-B60,"")</f>
        <v>-0.699999999999999</v>
      </c>
      <c r="F60" s="76"/>
      <c r="G60" s="77" t="str">
        <f aca="false">IF(AND(ISNUMBER(F60),ISNUMBER(D60)),F60-D60,"")</f>
        <v/>
      </c>
      <c r="H60" s="76"/>
      <c r="I60" s="77" t="str">
        <f aca="false">IF(AND(ISNUMBER(H60),ISNUMBER(F60)),H60-F60,"")</f>
        <v/>
      </c>
      <c r="J60" s="76"/>
      <c r="K60" s="77" t="str">
        <f aca="false">IF(AND(ISNUMBER(J60),ISNUMBER(H60)),J60-H60,"")</f>
        <v/>
      </c>
    </row>
    <row r="61" customFormat="false" ht="15" hidden="false" customHeight="false" outlineLevel="0" collapsed="false">
      <c r="A61" s="5" t="s">
        <v>1142</v>
      </c>
      <c r="B61" s="81" t="n">
        <f aca="false">IF(COUNT(B53:B60)=0,"",AVERAGE(B53:B60))</f>
        <v>21.5</v>
      </c>
      <c r="D61" s="81" t="n">
        <f aca="false">IF(COUNT(D53:D60)=0,"",AVERAGE(D53:D60))</f>
        <v>22.6875</v>
      </c>
      <c r="F61" s="81" t="str">
        <f aca="false">IF(COUNT(F53:F60)=0,"",AVERAGE(F53:F60))</f>
        <v/>
      </c>
      <c r="H61" s="81" t="str">
        <f aca="false">IF(COUNT(H53:H60)=0,"",AVERAGE(H53:H60))</f>
        <v/>
      </c>
      <c r="J61" s="81" t="str">
        <f aca="false">IF(COUNT(J53:J60)=0,"",AVERAGE(J53:J60))</f>
        <v/>
      </c>
    </row>
    <row r="62" customFormat="false" ht="15" hidden="false" customHeight="false" outlineLevel="0" collapsed="false">
      <c r="A62" s="20" t="s">
        <v>1143</v>
      </c>
      <c r="B62" s="57" t="n">
        <f aca="false">IF(ISNUMBER(B55),RANK(B55,B53:B60,0),"")</f>
        <v>4</v>
      </c>
      <c r="D62" s="57" t="n">
        <f aca="false">IF(ISNUMBER(D55),RANK(D55,D53:D60,0),"")</f>
        <v>3</v>
      </c>
      <c r="E62" s="68" t="n">
        <f aca="false">IF(AND(ISNUMBER(D62),ISNUMBER(B62)),D62-B62,"")</f>
        <v>-1</v>
      </c>
      <c r="F62" s="57" t="str">
        <f aca="false">IF(ISNUMBER(F55),RANK(F55,F53:F60,0),"")</f>
        <v/>
      </c>
      <c r="G62" s="68" t="str">
        <f aca="false">IF(AND(ISNUMBER(F62),ISNUMBER(D62)),F62-D62,"")</f>
        <v/>
      </c>
      <c r="H62" s="57" t="str">
        <f aca="false">IF(ISNUMBER(H55),RANK(H55,H53:H60,0),"")</f>
        <v/>
      </c>
      <c r="I62" s="68" t="str">
        <f aca="false">IF(AND(ISNUMBER(H62),ISNUMBER(F62)),H62-F62,"")</f>
        <v/>
      </c>
      <c r="J62" s="57" t="str">
        <f aca="false">IF(ISNUMBER(J55),RANK(J55,J53:J60,0),"")</f>
        <v/>
      </c>
      <c r="K62" s="68" t="str">
        <f aca="false">IF(AND(ISNUMBER(J62),ISNUMBER(H62)),J62-H62,"")</f>
        <v/>
      </c>
    </row>
    <row r="64" customFormat="false" ht="30" hidden="false" customHeight="true" outlineLevel="0" collapsed="false">
      <c r="A64" s="12" t="s">
        <v>115</v>
      </c>
      <c r="B64" s="12" t="s">
        <v>894</v>
      </c>
      <c r="C64" s="12" t="s">
        <v>1063</v>
      </c>
      <c r="D64" s="12" t="s">
        <v>895</v>
      </c>
      <c r="E64" s="12" t="s">
        <v>1063</v>
      </c>
      <c r="F64" s="12" t="s">
        <v>896</v>
      </c>
      <c r="G64" s="12" t="s">
        <v>1063</v>
      </c>
      <c r="H64" s="12" t="s">
        <v>897</v>
      </c>
      <c r="I64" s="12" t="s">
        <v>1063</v>
      </c>
      <c r="J64" s="12" t="s">
        <v>898</v>
      </c>
      <c r="K64" s="12" t="s">
        <v>1063</v>
      </c>
    </row>
    <row r="65" customFormat="false" ht="15" hidden="false" customHeight="false" outlineLevel="0" collapsed="false">
      <c r="A65" s="78" t="s">
        <v>1134</v>
      </c>
      <c r="B65" s="19" t="n">
        <v>71</v>
      </c>
      <c r="D65" s="19" t="n">
        <v>72</v>
      </c>
      <c r="E65" s="68" t="n">
        <f aca="false">IF(AND(ISNUMBER(D65),ISNUMBER(B65)),D65-B65,"")</f>
        <v>1</v>
      </c>
      <c r="F65" s="19"/>
      <c r="G65" s="68" t="str">
        <f aca="false">IF(AND(ISNUMBER(F65),ISNUMBER(D65)),F65-D65,"")</f>
        <v/>
      </c>
      <c r="H65" s="19"/>
      <c r="I65" s="68" t="str">
        <f aca="false">IF(AND(ISNUMBER(H65),ISNUMBER(F65)),H65-F65,"")</f>
        <v/>
      </c>
      <c r="J65" s="19"/>
      <c r="K65" s="68" t="str">
        <f aca="false">IF(AND(ISNUMBER(J65),ISNUMBER(H65)),J65-H65,"")</f>
        <v/>
      </c>
    </row>
    <row r="66" customFormat="false" ht="15" hidden="false" customHeight="false" outlineLevel="0" collapsed="false">
      <c r="A66" s="78" t="s">
        <v>1135</v>
      </c>
      <c r="B66" s="19" t="n">
        <v>60</v>
      </c>
      <c r="D66" s="19" t="n">
        <v>61</v>
      </c>
      <c r="E66" s="68" t="n">
        <f aca="false">IF(AND(ISNUMBER(D66),ISNUMBER(B66)),D66-B66,"")</f>
        <v>1</v>
      </c>
      <c r="F66" s="19"/>
      <c r="G66" s="68" t="str">
        <f aca="false">IF(AND(ISNUMBER(F66),ISNUMBER(D66)),F66-D66,"")</f>
        <v/>
      </c>
      <c r="H66" s="19"/>
      <c r="I66" s="68" t="str">
        <f aca="false">IF(AND(ISNUMBER(H66),ISNUMBER(F66)),H66-F66,"")</f>
        <v/>
      </c>
      <c r="J66" s="19"/>
      <c r="K66" s="68" t="str">
        <f aca="false">IF(AND(ISNUMBER(J66),ISNUMBER(H66)),J66-H66,"")</f>
        <v/>
      </c>
    </row>
    <row r="67" customFormat="false" ht="15" hidden="false" customHeight="false" outlineLevel="0" collapsed="false">
      <c r="A67" s="4" t="s">
        <v>1136</v>
      </c>
      <c r="B67" s="79" t="n">
        <v>68</v>
      </c>
      <c r="D67" s="79" t="n">
        <v>71</v>
      </c>
      <c r="E67" s="68" t="n">
        <f aca="false">IF(AND(ISNUMBER(D67),ISNUMBER(B67)),D67-B67,"")</f>
        <v>3</v>
      </c>
      <c r="F67" s="79"/>
      <c r="G67" s="68" t="str">
        <f aca="false">IF(AND(ISNUMBER(F67),ISNUMBER(D67)),F67-D67,"")</f>
        <v/>
      </c>
      <c r="H67" s="79"/>
      <c r="I67" s="68" t="str">
        <f aca="false">IF(AND(ISNUMBER(H67),ISNUMBER(F67)),H67-F67,"")</f>
        <v/>
      </c>
      <c r="J67" s="79"/>
      <c r="K67" s="68" t="str">
        <f aca="false">IF(AND(ISNUMBER(J67),ISNUMBER(H67)),J67-H67,"")</f>
        <v/>
      </c>
    </row>
    <row r="68" customFormat="false" ht="15" hidden="false" customHeight="false" outlineLevel="0" collapsed="false">
      <c r="A68" s="78" t="s">
        <v>1137</v>
      </c>
      <c r="B68" s="19" t="n">
        <v>74</v>
      </c>
      <c r="D68" s="19" t="n">
        <v>75</v>
      </c>
      <c r="E68" s="68" t="n">
        <f aca="false">IF(AND(ISNUMBER(D68),ISNUMBER(B68)),D68-B68,"")</f>
        <v>1</v>
      </c>
      <c r="F68" s="19"/>
      <c r="G68" s="68" t="str">
        <f aca="false">IF(AND(ISNUMBER(F68),ISNUMBER(D68)),F68-D68,"")</f>
        <v/>
      </c>
      <c r="H68" s="19"/>
      <c r="I68" s="68" t="str">
        <f aca="false">IF(AND(ISNUMBER(H68),ISNUMBER(F68)),H68-F68,"")</f>
        <v/>
      </c>
      <c r="J68" s="19"/>
      <c r="K68" s="68" t="str">
        <f aca="false">IF(AND(ISNUMBER(J68),ISNUMBER(H68)),J68-H68,"")</f>
        <v/>
      </c>
    </row>
    <row r="69" customFormat="false" ht="15" hidden="false" customHeight="false" outlineLevel="0" collapsed="false">
      <c r="A69" s="78" t="s">
        <v>1138</v>
      </c>
      <c r="B69" s="19" t="n">
        <v>58</v>
      </c>
      <c r="D69" s="19" t="n">
        <v>57</v>
      </c>
      <c r="E69" s="68" t="n">
        <f aca="false">IF(AND(ISNUMBER(D69),ISNUMBER(B69)),D69-B69,"")</f>
        <v>-1</v>
      </c>
      <c r="F69" s="19"/>
      <c r="G69" s="68" t="str">
        <f aca="false">IF(AND(ISNUMBER(F69),ISNUMBER(D69)),F69-D69,"")</f>
        <v/>
      </c>
      <c r="H69" s="19"/>
      <c r="I69" s="68" t="str">
        <f aca="false">IF(AND(ISNUMBER(H69),ISNUMBER(F69)),H69-F69,"")</f>
        <v/>
      </c>
      <c r="J69" s="19"/>
      <c r="K69" s="68" t="str">
        <f aca="false">IF(AND(ISNUMBER(J69),ISNUMBER(H69)),J69-H69,"")</f>
        <v/>
      </c>
    </row>
    <row r="70" customFormat="false" ht="15" hidden="false" customHeight="false" outlineLevel="0" collapsed="false">
      <c r="A70" s="78" t="s">
        <v>1139</v>
      </c>
      <c r="B70" s="19" t="n">
        <v>64</v>
      </c>
      <c r="D70" s="19" t="n">
        <v>65</v>
      </c>
      <c r="E70" s="68" t="n">
        <f aca="false">IF(AND(ISNUMBER(D70),ISNUMBER(B70)),D70-B70,"")</f>
        <v>1</v>
      </c>
      <c r="F70" s="19"/>
      <c r="G70" s="68" t="str">
        <f aca="false">IF(AND(ISNUMBER(F70),ISNUMBER(D70)),F70-D70,"")</f>
        <v/>
      </c>
      <c r="H70" s="19"/>
      <c r="I70" s="68" t="str">
        <f aca="false">IF(AND(ISNUMBER(H70),ISNUMBER(F70)),H70-F70,"")</f>
        <v/>
      </c>
      <c r="J70" s="19"/>
      <c r="K70" s="68" t="str">
        <f aca="false">IF(AND(ISNUMBER(J70),ISNUMBER(H70)),J70-H70,"")</f>
        <v/>
      </c>
    </row>
    <row r="71" customFormat="false" ht="15" hidden="false" customHeight="false" outlineLevel="0" collapsed="false">
      <c r="A71" s="78" t="s">
        <v>1140</v>
      </c>
      <c r="B71" s="19" t="n">
        <v>72</v>
      </c>
      <c r="D71" s="19" t="n">
        <v>73</v>
      </c>
      <c r="E71" s="68" t="n">
        <f aca="false">IF(AND(ISNUMBER(D71),ISNUMBER(B71)),D71-B71,"")</f>
        <v>1</v>
      </c>
      <c r="F71" s="19"/>
      <c r="G71" s="68" t="str">
        <f aca="false">IF(AND(ISNUMBER(F71),ISNUMBER(D71)),F71-D71,"")</f>
        <v/>
      </c>
      <c r="H71" s="19"/>
      <c r="I71" s="68" t="str">
        <f aca="false">IF(AND(ISNUMBER(H71),ISNUMBER(F71)),H71-F71,"")</f>
        <v/>
      </c>
      <c r="J71" s="19"/>
      <c r="K71" s="68" t="str">
        <f aca="false">IF(AND(ISNUMBER(J71),ISNUMBER(H71)),J71-H71,"")</f>
        <v/>
      </c>
    </row>
    <row r="72" customFormat="false" ht="15" hidden="false" customHeight="false" outlineLevel="0" collapsed="false">
      <c r="A72" s="78" t="s">
        <v>1141</v>
      </c>
      <c r="B72" s="19" t="n">
        <v>62</v>
      </c>
      <c r="D72" s="19" t="n">
        <v>61</v>
      </c>
      <c r="E72" s="68" t="n">
        <f aca="false">IF(AND(ISNUMBER(D72),ISNUMBER(B72)),D72-B72,"")</f>
        <v>-1</v>
      </c>
      <c r="F72" s="19"/>
      <c r="G72" s="68" t="str">
        <f aca="false">IF(AND(ISNUMBER(F72),ISNUMBER(D72)),F72-D72,"")</f>
        <v/>
      </c>
      <c r="H72" s="19"/>
      <c r="I72" s="68" t="str">
        <f aca="false">IF(AND(ISNUMBER(H72),ISNUMBER(F72)),H72-F72,"")</f>
        <v/>
      </c>
      <c r="J72" s="19"/>
      <c r="K72" s="68" t="str">
        <f aca="false">IF(AND(ISNUMBER(J72),ISNUMBER(H72)),J72-H72,"")</f>
        <v/>
      </c>
    </row>
    <row r="73" customFormat="false" ht="15" hidden="false" customHeight="false" outlineLevel="0" collapsed="false">
      <c r="A73" s="5" t="s">
        <v>1142</v>
      </c>
      <c r="B73" s="26" t="n">
        <f aca="false">IF(COUNT(B65:B72)=0,"",AVERAGE(B65:B72))</f>
        <v>66.125</v>
      </c>
      <c r="D73" s="26" t="n">
        <f aca="false">IF(COUNT(D65:D72)=0,"",AVERAGE(D65:D72))</f>
        <v>66.875</v>
      </c>
      <c r="F73" s="26" t="str">
        <f aca="false">IF(COUNT(F65:F72)=0,"",AVERAGE(F65:F72))</f>
        <v/>
      </c>
      <c r="H73" s="26" t="str">
        <f aca="false">IF(COUNT(H65:H72)=0,"",AVERAGE(H65:H72))</f>
        <v/>
      </c>
      <c r="J73" s="26" t="str">
        <f aca="false">IF(COUNT(J65:J72)=0,"",AVERAGE(J65:J72))</f>
        <v/>
      </c>
    </row>
    <row r="74" customFormat="false" ht="15" hidden="false" customHeight="false" outlineLevel="0" collapsed="false">
      <c r="A74" s="20" t="s">
        <v>1143</v>
      </c>
      <c r="B74" s="57" t="n">
        <f aca="false">IF(ISNUMBER(B67),RANK(B67,B65:B72,0),"")</f>
        <v>4</v>
      </c>
      <c r="D74" s="57" t="n">
        <f aca="false">IF(ISNUMBER(D67),RANK(D67,D65:D72,0),"")</f>
        <v>4</v>
      </c>
      <c r="E74" s="68" t="n">
        <f aca="false">IF(AND(ISNUMBER(D74),ISNUMBER(B74)),D74-B74,"")</f>
        <v>0</v>
      </c>
      <c r="F74" s="57" t="str">
        <f aca="false">IF(ISNUMBER(F67),RANK(F67,F65:F72,0),"")</f>
        <v/>
      </c>
      <c r="G74" s="68" t="str">
        <f aca="false">IF(AND(ISNUMBER(F74),ISNUMBER(D74)),F74-D74,"")</f>
        <v/>
      </c>
      <c r="H74" s="57" t="str">
        <f aca="false">IF(ISNUMBER(H67),RANK(H67,H65:H72,0),"")</f>
        <v/>
      </c>
      <c r="I74" s="68" t="str">
        <f aca="false">IF(AND(ISNUMBER(H74),ISNUMBER(F74)),H74-F74,"")</f>
        <v/>
      </c>
      <c r="J74" s="57" t="str">
        <f aca="false">IF(ISNUMBER(J67),RANK(J67,J65:J72,0),"")</f>
        <v/>
      </c>
      <c r="K74" s="68" t="str">
        <f aca="false">IF(AND(ISNUMBER(J74),ISNUMBER(H74)),J74-H74,"")</f>
        <v/>
      </c>
    </row>
    <row r="76" customFormat="false" ht="30" hidden="false" customHeight="true" outlineLevel="0" collapsed="false">
      <c r="A76" s="12" t="s">
        <v>111</v>
      </c>
      <c r="B76" s="12" t="s">
        <v>894</v>
      </c>
      <c r="C76" s="12" t="s">
        <v>1063</v>
      </c>
      <c r="D76" s="12" t="s">
        <v>895</v>
      </c>
      <c r="E76" s="12" t="s">
        <v>1063</v>
      </c>
      <c r="F76" s="12" t="s">
        <v>896</v>
      </c>
      <c r="G76" s="12" t="s">
        <v>1063</v>
      </c>
      <c r="H76" s="12" t="s">
        <v>897</v>
      </c>
      <c r="I76" s="12" t="s">
        <v>1063</v>
      </c>
      <c r="J76" s="12" t="s">
        <v>898</v>
      </c>
      <c r="K76" s="12" t="s">
        <v>1063</v>
      </c>
    </row>
    <row r="77" customFormat="false" ht="15" hidden="false" customHeight="false" outlineLevel="0" collapsed="false">
      <c r="A77" s="78" t="s">
        <v>1134</v>
      </c>
      <c r="B77" s="11" t="s">
        <v>112</v>
      </c>
      <c r="D77" s="11" t="s">
        <v>112</v>
      </c>
      <c r="F77" s="11"/>
      <c r="H77" s="11"/>
      <c r="J77" s="11"/>
    </row>
    <row r="78" customFormat="false" ht="15" hidden="false" customHeight="false" outlineLevel="0" collapsed="false">
      <c r="A78" s="78" t="s">
        <v>1135</v>
      </c>
      <c r="B78" s="11" t="s">
        <v>1078</v>
      </c>
      <c r="D78" s="11" t="s">
        <v>1077</v>
      </c>
      <c r="F78" s="11"/>
      <c r="H78" s="11"/>
      <c r="J78" s="11"/>
    </row>
    <row r="79" customFormat="false" ht="15" hidden="false" customHeight="false" outlineLevel="0" collapsed="false">
      <c r="A79" s="4" t="s">
        <v>1136</v>
      </c>
      <c r="B79" s="83" t="s">
        <v>1077</v>
      </c>
      <c r="D79" s="83" t="s">
        <v>1076</v>
      </c>
      <c r="F79" s="83"/>
      <c r="H79" s="83"/>
      <c r="J79" s="83"/>
    </row>
    <row r="80" customFormat="false" ht="15" hidden="false" customHeight="false" outlineLevel="0" collapsed="false">
      <c r="A80" s="78" t="s">
        <v>1137</v>
      </c>
      <c r="B80" s="11" t="s">
        <v>112</v>
      </c>
      <c r="D80" s="11" t="s">
        <v>1075</v>
      </c>
      <c r="F80" s="11"/>
      <c r="H80" s="11"/>
      <c r="J80" s="11"/>
    </row>
    <row r="81" customFormat="false" ht="15" hidden="false" customHeight="false" outlineLevel="0" collapsed="false">
      <c r="A81" s="78" t="s">
        <v>1138</v>
      </c>
      <c r="B81" s="11" t="s">
        <v>1079</v>
      </c>
      <c r="D81" s="11" t="s">
        <v>1079</v>
      </c>
      <c r="F81" s="11"/>
      <c r="H81" s="11"/>
      <c r="J81" s="11"/>
    </row>
    <row r="82" customFormat="false" ht="15" hidden="false" customHeight="false" outlineLevel="0" collapsed="false">
      <c r="A82" s="78" t="s">
        <v>1139</v>
      </c>
      <c r="B82" s="11" t="s">
        <v>1077</v>
      </c>
      <c r="D82" s="11" t="s">
        <v>1077</v>
      </c>
      <c r="F82" s="11"/>
      <c r="H82" s="11"/>
      <c r="J82" s="11"/>
    </row>
    <row r="83" customFormat="false" ht="15" hidden="false" customHeight="false" outlineLevel="0" collapsed="false">
      <c r="A83" s="78" t="s">
        <v>1140</v>
      </c>
      <c r="B83" s="11" t="s">
        <v>1076</v>
      </c>
      <c r="D83" s="11" t="s">
        <v>1076</v>
      </c>
      <c r="F83" s="11"/>
      <c r="H83" s="11"/>
      <c r="J83" s="11"/>
    </row>
    <row r="84" customFormat="false" ht="15" hidden="false" customHeight="false" outlineLevel="0" collapsed="false">
      <c r="A84" s="78" t="s">
        <v>1141</v>
      </c>
      <c r="B84" s="11" t="s">
        <v>1078</v>
      </c>
      <c r="D84" s="11" t="s">
        <v>1078</v>
      </c>
      <c r="F84" s="11"/>
      <c r="H84" s="11"/>
      <c r="J84" s="11"/>
    </row>
    <row r="86" customFormat="false" ht="30" hidden="false" customHeight="true" outlineLevel="0" collapsed="false">
      <c r="A86" s="12" t="s">
        <v>1146</v>
      </c>
      <c r="B86" s="12" t="s">
        <v>894</v>
      </c>
      <c r="C86" s="12" t="s">
        <v>1063</v>
      </c>
      <c r="D86" s="12" t="s">
        <v>895</v>
      </c>
      <c r="E86" s="12" t="s">
        <v>1063</v>
      </c>
      <c r="F86" s="12" t="s">
        <v>896</v>
      </c>
      <c r="G86" s="12" t="s">
        <v>1063</v>
      </c>
      <c r="H86" s="12" t="s">
        <v>897</v>
      </c>
      <c r="I86" s="12" t="s">
        <v>1063</v>
      </c>
      <c r="J86" s="12" t="s">
        <v>898</v>
      </c>
      <c r="K86" s="12" t="s">
        <v>1063</v>
      </c>
    </row>
    <row r="87" customFormat="false" ht="15" hidden="false" customHeight="false" outlineLevel="0" collapsed="false">
      <c r="A87" s="78" t="s">
        <v>1134</v>
      </c>
      <c r="B87" s="38" t="n">
        <v>288</v>
      </c>
      <c r="D87" s="38" t="n">
        <v>291.25</v>
      </c>
      <c r="E87" s="74" t="n">
        <f aca="false">IF(AND(ISNUMBER(D87),ISNUMBER(B87)),D87-B87,"")</f>
        <v>3.25</v>
      </c>
      <c r="F87" s="38"/>
      <c r="G87" s="74" t="str">
        <f aca="false">IF(AND(ISNUMBER(F87),ISNUMBER(D87)),F87-D87,"")</f>
        <v/>
      </c>
      <c r="H87" s="38"/>
      <c r="I87" s="74" t="str">
        <f aca="false">IF(AND(ISNUMBER(H87),ISNUMBER(F87)),H87-F87,"")</f>
        <v/>
      </c>
      <c r="J87" s="38"/>
      <c r="K87" s="74" t="str">
        <f aca="false">IF(AND(ISNUMBER(J87),ISNUMBER(H87)),J87-H87,"")</f>
        <v/>
      </c>
    </row>
    <row r="88" customFormat="false" ht="15" hidden="false" customHeight="false" outlineLevel="0" collapsed="false">
      <c r="A88" s="78" t="s">
        <v>1135</v>
      </c>
      <c r="B88" s="38" t="n">
        <v>233.25</v>
      </c>
      <c r="D88" s="38" t="n">
        <v>230.75</v>
      </c>
      <c r="E88" s="74" t="n">
        <f aca="false">IF(AND(ISNUMBER(D88),ISNUMBER(B88)),D88-B88,"")</f>
        <v>-2.5</v>
      </c>
      <c r="F88" s="38"/>
      <c r="G88" s="74" t="str">
        <f aca="false">IF(AND(ISNUMBER(F88),ISNUMBER(D88)),F88-D88,"")</f>
        <v/>
      </c>
      <c r="H88" s="38"/>
      <c r="I88" s="74" t="str">
        <f aca="false">IF(AND(ISNUMBER(H88),ISNUMBER(F88)),H88-F88,"")</f>
        <v/>
      </c>
      <c r="J88" s="38"/>
      <c r="K88" s="74" t="str">
        <f aca="false">IF(AND(ISNUMBER(J88),ISNUMBER(H88)),J88-H88,"")</f>
        <v/>
      </c>
    </row>
    <row r="89" customFormat="false" ht="15" hidden="false" customHeight="false" outlineLevel="0" collapsed="false">
      <c r="A89" s="4" t="s">
        <v>1136</v>
      </c>
      <c r="B89" s="84" t="n">
        <v>262</v>
      </c>
      <c r="D89" s="84" t="n">
        <v>257.25</v>
      </c>
      <c r="E89" s="74" t="n">
        <f aca="false">IF(AND(ISNUMBER(D89),ISNUMBER(B89)),D89-B89,"")</f>
        <v>-4.75</v>
      </c>
      <c r="F89" s="84"/>
      <c r="G89" s="74" t="str">
        <f aca="false">IF(AND(ISNUMBER(F89),ISNUMBER(D89)),F89-D89,"")</f>
        <v/>
      </c>
      <c r="H89" s="84"/>
      <c r="I89" s="74" t="str">
        <f aca="false">IF(AND(ISNUMBER(H89),ISNUMBER(F89)),H89-F89,"")</f>
        <v/>
      </c>
      <c r="J89" s="84"/>
      <c r="K89" s="74" t="str">
        <f aca="false">IF(AND(ISNUMBER(J89),ISNUMBER(H89)),J89-H89,"")</f>
        <v/>
      </c>
    </row>
    <row r="90" customFormat="false" ht="15" hidden="false" customHeight="false" outlineLevel="0" collapsed="false">
      <c r="A90" s="78" t="s">
        <v>1137</v>
      </c>
      <c r="B90" s="38" t="n">
        <v>308.75</v>
      </c>
      <c r="D90" s="38" t="n">
        <v>299.75</v>
      </c>
      <c r="E90" s="74" t="n">
        <f aca="false">IF(AND(ISNUMBER(D90),ISNUMBER(B90)),D90-B90,"")</f>
        <v>-9</v>
      </c>
      <c r="F90" s="38"/>
      <c r="G90" s="74" t="str">
        <f aca="false">IF(AND(ISNUMBER(F90),ISNUMBER(D90)),F90-D90,"")</f>
        <v/>
      </c>
      <c r="H90" s="38"/>
      <c r="I90" s="74" t="str">
        <f aca="false">IF(AND(ISNUMBER(H90),ISNUMBER(F90)),H90-F90,"")</f>
        <v/>
      </c>
      <c r="J90" s="38"/>
      <c r="K90" s="74" t="str">
        <f aca="false">IF(AND(ISNUMBER(J90),ISNUMBER(H90)),J90-H90,"")</f>
        <v/>
      </c>
    </row>
    <row r="91" customFormat="false" ht="15" hidden="false" customHeight="false" outlineLevel="0" collapsed="false">
      <c r="A91" s="78" t="s">
        <v>1138</v>
      </c>
      <c r="B91" s="38" t="n">
        <v>243</v>
      </c>
      <c r="D91" s="38" t="n">
        <v>242.25</v>
      </c>
      <c r="E91" s="74" t="n">
        <f aca="false">IF(AND(ISNUMBER(D91),ISNUMBER(B91)),D91-B91,"")</f>
        <v>-0.75</v>
      </c>
      <c r="F91" s="38"/>
      <c r="G91" s="74" t="str">
        <f aca="false">IF(AND(ISNUMBER(F91),ISNUMBER(D91)),F91-D91,"")</f>
        <v/>
      </c>
      <c r="H91" s="38"/>
      <c r="I91" s="74" t="str">
        <f aca="false">IF(AND(ISNUMBER(H91),ISNUMBER(F91)),H91-F91,"")</f>
        <v/>
      </c>
      <c r="J91" s="38"/>
      <c r="K91" s="74" t="str">
        <f aca="false">IF(AND(ISNUMBER(J91),ISNUMBER(H91)),J91-H91,"")</f>
        <v/>
      </c>
    </row>
    <row r="92" customFormat="false" ht="15" hidden="false" customHeight="false" outlineLevel="0" collapsed="false">
      <c r="A92" s="78" t="s">
        <v>1139</v>
      </c>
      <c r="B92" s="38" t="n">
        <v>259.75</v>
      </c>
      <c r="D92" s="38" t="n">
        <v>269</v>
      </c>
      <c r="E92" s="74" t="n">
        <f aca="false">IF(AND(ISNUMBER(D92),ISNUMBER(B92)),D92-B92,"")</f>
        <v>9.25</v>
      </c>
      <c r="F92" s="38"/>
      <c r="G92" s="74" t="str">
        <f aca="false">IF(AND(ISNUMBER(F92),ISNUMBER(D92)),F92-D92,"")</f>
        <v/>
      </c>
      <c r="H92" s="38"/>
      <c r="I92" s="74" t="str">
        <f aca="false">IF(AND(ISNUMBER(H92),ISNUMBER(F92)),H92-F92,"")</f>
        <v/>
      </c>
      <c r="J92" s="38"/>
      <c r="K92" s="74" t="str">
        <f aca="false">IF(AND(ISNUMBER(J92),ISNUMBER(H92)),J92-H92,"")</f>
        <v/>
      </c>
    </row>
    <row r="93" customFormat="false" ht="15" hidden="false" customHeight="false" outlineLevel="0" collapsed="false">
      <c r="A93" s="78" t="s">
        <v>1140</v>
      </c>
      <c r="B93" s="38" t="n">
        <v>317.25</v>
      </c>
      <c r="D93" s="38" t="n">
        <v>317.5</v>
      </c>
      <c r="E93" s="74" t="n">
        <f aca="false">IF(AND(ISNUMBER(D93),ISNUMBER(B93)),D93-B93,"")</f>
        <v>0.25</v>
      </c>
      <c r="F93" s="38"/>
      <c r="G93" s="74" t="str">
        <f aca="false">IF(AND(ISNUMBER(F93),ISNUMBER(D93)),F93-D93,"")</f>
        <v/>
      </c>
      <c r="H93" s="38"/>
      <c r="I93" s="74" t="str">
        <f aca="false">IF(AND(ISNUMBER(H93),ISNUMBER(F93)),H93-F93,"")</f>
        <v/>
      </c>
      <c r="J93" s="38"/>
      <c r="K93" s="74" t="str">
        <f aca="false">IF(AND(ISNUMBER(J93),ISNUMBER(H93)),J93-H93,"")</f>
        <v/>
      </c>
    </row>
    <row r="94" customFormat="false" ht="15" hidden="false" customHeight="false" outlineLevel="0" collapsed="false">
      <c r="A94" s="78" t="s">
        <v>1141</v>
      </c>
      <c r="B94" s="38" t="n">
        <v>272</v>
      </c>
      <c r="D94" s="38" t="n">
        <v>273.5</v>
      </c>
      <c r="E94" s="74" t="n">
        <f aca="false">IF(AND(ISNUMBER(D94),ISNUMBER(B94)),D94-B94,"")</f>
        <v>1.5</v>
      </c>
      <c r="F94" s="38"/>
      <c r="G94" s="74" t="str">
        <f aca="false">IF(AND(ISNUMBER(F94),ISNUMBER(D94)),F94-D94,"")</f>
        <v/>
      </c>
      <c r="H94" s="38"/>
      <c r="I94" s="74" t="str">
        <f aca="false">IF(AND(ISNUMBER(H94),ISNUMBER(F94)),H94-F94,"")</f>
        <v/>
      </c>
      <c r="J94" s="38"/>
      <c r="K94" s="74" t="str">
        <f aca="false">IF(AND(ISNUMBER(J94),ISNUMBER(H94)),J94-H94,"")</f>
        <v/>
      </c>
    </row>
    <row r="95" customFormat="false" ht="15" hidden="false" customHeight="false" outlineLevel="0" collapsed="false">
      <c r="A95" s="5" t="s">
        <v>1142</v>
      </c>
      <c r="B95" s="35" t="n">
        <f aca="false">IF(COUNT(B87:B94)=0,"",AVERAGE(B87:B94))</f>
        <v>273</v>
      </c>
      <c r="D95" s="35" t="n">
        <f aca="false">IF(COUNT(D87:D94)=0,"",AVERAGE(D87:D94))</f>
        <v>272.65625</v>
      </c>
      <c r="F95" s="35" t="str">
        <f aca="false">IF(COUNT(F87:F94)=0,"",AVERAGE(F87:F94))</f>
        <v/>
      </c>
      <c r="H95" s="35" t="str">
        <f aca="false">IF(COUNT(H87:H94)=0,"",AVERAGE(H87:H94))</f>
        <v/>
      </c>
      <c r="J95" s="35" t="str">
        <f aca="false">IF(COUNT(J87:J94)=0,"",AVERAGE(J87:J94))</f>
        <v/>
      </c>
    </row>
    <row r="97" customFormat="false" ht="30" hidden="false" customHeight="true" outlineLevel="0" collapsed="false">
      <c r="A97" s="12" t="s">
        <v>1147</v>
      </c>
      <c r="B97" s="12" t="s">
        <v>894</v>
      </c>
      <c r="C97" s="12" t="s">
        <v>1063</v>
      </c>
      <c r="D97" s="12" t="s">
        <v>895</v>
      </c>
      <c r="E97" s="12" t="s">
        <v>1063</v>
      </c>
      <c r="F97" s="12" t="s">
        <v>896</v>
      </c>
      <c r="G97" s="12" t="s">
        <v>1063</v>
      </c>
      <c r="H97" s="12" t="s">
        <v>897</v>
      </c>
      <c r="I97" s="12" t="s">
        <v>1063</v>
      </c>
      <c r="J97" s="12" t="s">
        <v>898</v>
      </c>
      <c r="K97" s="12" t="s">
        <v>1063</v>
      </c>
    </row>
    <row r="98" customFormat="false" ht="15" hidden="false" customHeight="false" outlineLevel="0" collapsed="false">
      <c r="A98" s="78" t="s">
        <v>1134</v>
      </c>
      <c r="B98" s="28" t="n">
        <v>4.35</v>
      </c>
      <c r="D98" s="28" t="n">
        <v>4.375</v>
      </c>
      <c r="E98" s="67" t="n">
        <f aca="false">IF(AND(ISNUMBER(D98),ISNUMBER(B98)),D98-B98,"")</f>
        <v>0.0250000000000004</v>
      </c>
      <c r="F98" s="28"/>
      <c r="G98" s="67" t="str">
        <f aca="false">IF(AND(ISNUMBER(F98),ISNUMBER(D98)),F98-D98,"")</f>
        <v/>
      </c>
      <c r="H98" s="28"/>
      <c r="I98" s="67" t="str">
        <f aca="false">IF(AND(ISNUMBER(H98),ISNUMBER(F98)),H98-F98,"")</f>
        <v/>
      </c>
      <c r="J98" s="28"/>
      <c r="K98" s="67" t="str">
        <f aca="false">IF(AND(ISNUMBER(J98),ISNUMBER(H98)),J98-H98,"")</f>
        <v/>
      </c>
    </row>
    <row r="99" customFormat="false" ht="15" hidden="false" customHeight="false" outlineLevel="0" collapsed="false">
      <c r="A99" s="78" t="s">
        <v>1135</v>
      </c>
      <c r="B99" s="28" t="n">
        <v>3.4</v>
      </c>
      <c r="D99" s="28" t="n">
        <v>3.425</v>
      </c>
      <c r="E99" s="67" t="n">
        <f aca="false">IF(AND(ISNUMBER(D99),ISNUMBER(B99)),D99-B99,"")</f>
        <v>0.0249999999999999</v>
      </c>
      <c r="F99" s="28"/>
      <c r="G99" s="67" t="str">
        <f aca="false">IF(AND(ISNUMBER(F99),ISNUMBER(D99)),F99-D99,"")</f>
        <v/>
      </c>
      <c r="H99" s="28"/>
      <c r="I99" s="67" t="str">
        <f aca="false">IF(AND(ISNUMBER(H99),ISNUMBER(F99)),H99-F99,"")</f>
        <v/>
      </c>
      <c r="J99" s="28"/>
      <c r="K99" s="67" t="str">
        <f aca="false">IF(AND(ISNUMBER(J99),ISNUMBER(H99)),J99-H99,"")</f>
        <v/>
      </c>
    </row>
    <row r="100" customFormat="false" ht="15" hidden="false" customHeight="false" outlineLevel="0" collapsed="false">
      <c r="A100" s="4" t="s">
        <v>1136</v>
      </c>
      <c r="B100" s="85" t="n">
        <v>3.9</v>
      </c>
      <c r="D100" s="85" t="n">
        <v>4.05</v>
      </c>
      <c r="E100" s="67" t="n">
        <f aca="false">IF(AND(ISNUMBER(D100),ISNUMBER(B100)),D100-B100,"")</f>
        <v>0.15</v>
      </c>
      <c r="F100" s="85"/>
      <c r="G100" s="67" t="str">
        <f aca="false">IF(AND(ISNUMBER(F100),ISNUMBER(D100)),F100-D100,"")</f>
        <v/>
      </c>
      <c r="H100" s="85"/>
      <c r="I100" s="67" t="str">
        <f aca="false">IF(AND(ISNUMBER(H100),ISNUMBER(F100)),H100-F100,"")</f>
        <v/>
      </c>
      <c r="J100" s="85"/>
      <c r="K100" s="67" t="str">
        <f aca="false">IF(AND(ISNUMBER(J100),ISNUMBER(H100)),J100-H100,"")</f>
        <v/>
      </c>
    </row>
    <row r="101" customFormat="false" ht="15" hidden="false" customHeight="false" outlineLevel="0" collapsed="false">
      <c r="A101" s="78" t="s">
        <v>1137</v>
      </c>
      <c r="B101" s="28" t="n">
        <v>4.2</v>
      </c>
      <c r="D101" s="28" t="n">
        <v>4.175</v>
      </c>
      <c r="E101" s="67" t="n">
        <f aca="false">IF(AND(ISNUMBER(D101),ISNUMBER(B101)),D101-B101,"")</f>
        <v>-0.0250000000000004</v>
      </c>
      <c r="F101" s="28"/>
      <c r="G101" s="67" t="str">
        <f aca="false">IF(AND(ISNUMBER(F101),ISNUMBER(D101)),F101-D101,"")</f>
        <v/>
      </c>
      <c r="H101" s="28"/>
      <c r="I101" s="67" t="str">
        <f aca="false">IF(AND(ISNUMBER(H101),ISNUMBER(F101)),H101-F101,"")</f>
        <v/>
      </c>
      <c r="J101" s="28"/>
      <c r="K101" s="67" t="str">
        <f aca="false">IF(AND(ISNUMBER(J101),ISNUMBER(H101)),J101-H101,"")</f>
        <v/>
      </c>
    </row>
    <row r="102" customFormat="false" ht="15" hidden="false" customHeight="false" outlineLevel="0" collapsed="false">
      <c r="A102" s="78" t="s">
        <v>1138</v>
      </c>
      <c r="B102" s="28" t="n">
        <v>3.5</v>
      </c>
      <c r="D102" s="28" t="n">
        <v>3.55</v>
      </c>
      <c r="E102" s="67" t="n">
        <f aca="false">IF(AND(ISNUMBER(D102),ISNUMBER(B102)),D102-B102,"")</f>
        <v>0.0499999999999998</v>
      </c>
      <c r="F102" s="28"/>
      <c r="G102" s="67" t="str">
        <f aca="false">IF(AND(ISNUMBER(F102),ISNUMBER(D102)),F102-D102,"")</f>
        <v/>
      </c>
      <c r="H102" s="28"/>
      <c r="I102" s="67" t="str">
        <f aca="false">IF(AND(ISNUMBER(H102),ISNUMBER(F102)),H102-F102,"")</f>
        <v/>
      </c>
      <c r="J102" s="28"/>
      <c r="K102" s="67" t="str">
        <f aca="false">IF(AND(ISNUMBER(J102),ISNUMBER(H102)),J102-H102,"")</f>
        <v/>
      </c>
    </row>
    <row r="103" customFormat="false" ht="15" hidden="false" customHeight="false" outlineLevel="0" collapsed="false">
      <c r="A103" s="78" t="s">
        <v>1139</v>
      </c>
      <c r="B103" s="28" t="n">
        <v>3.9</v>
      </c>
      <c r="D103" s="28" t="n">
        <v>3.925</v>
      </c>
      <c r="E103" s="67" t="n">
        <f aca="false">IF(AND(ISNUMBER(D103),ISNUMBER(B103)),D103-B103,"")</f>
        <v>0.0249999999999999</v>
      </c>
      <c r="F103" s="28"/>
      <c r="G103" s="67" t="str">
        <f aca="false">IF(AND(ISNUMBER(F103),ISNUMBER(D103)),F103-D103,"")</f>
        <v/>
      </c>
      <c r="H103" s="28"/>
      <c r="I103" s="67" t="str">
        <f aca="false">IF(AND(ISNUMBER(H103),ISNUMBER(F103)),H103-F103,"")</f>
        <v/>
      </c>
      <c r="J103" s="28"/>
      <c r="K103" s="67" t="str">
        <f aca="false">IF(AND(ISNUMBER(J103),ISNUMBER(H103)),J103-H103,"")</f>
        <v/>
      </c>
    </row>
    <row r="104" customFormat="false" ht="15" hidden="false" customHeight="false" outlineLevel="0" collapsed="false">
      <c r="A104" s="78" t="s">
        <v>1140</v>
      </c>
      <c r="B104" s="28" t="n">
        <v>4.75</v>
      </c>
      <c r="D104" s="28" t="n">
        <v>4.675</v>
      </c>
      <c r="E104" s="67" t="n">
        <f aca="false">IF(AND(ISNUMBER(D104),ISNUMBER(B104)),D104-B104,"")</f>
        <v>-0.0750000000000002</v>
      </c>
      <c r="F104" s="28"/>
      <c r="G104" s="67" t="str">
        <f aca="false">IF(AND(ISNUMBER(F104),ISNUMBER(D104)),F104-D104,"")</f>
        <v/>
      </c>
      <c r="H104" s="28"/>
      <c r="I104" s="67" t="str">
        <f aca="false">IF(AND(ISNUMBER(H104),ISNUMBER(F104)),H104-F104,"")</f>
        <v/>
      </c>
      <c r="J104" s="28"/>
      <c r="K104" s="67" t="str">
        <f aca="false">IF(AND(ISNUMBER(J104),ISNUMBER(H104)),J104-H104,"")</f>
        <v/>
      </c>
    </row>
    <row r="105" customFormat="false" ht="15" hidden="false" customHeight="false" outlineLevel="0" collapsed="false">
      <c r="A105" s="78" t="s">
        <v>1141</v>
      </c>
      <c r="B105" s="28" t="n">
        <v>3.875</v>
      </c>
      <c r="D105" s="28" t="n">
        <v>3.8</v>
      </c>
      <c r="E105" s="67" t="n">
        <f aca="false">IF(AND(ISNUMBER(D105),ISNUMBER(B105)),D105-B105,"")</f>
        <v>-0.0750000000000002</v>
      </c>
      <c r="F105" s="28"/>
      <c r="G105" s="67" t="str">
        <f aca="false">IF(AND(ISNUMBER(F105),ISNUMBER(D105)),F105-D105,"")</f>
        <v/>
      </c>
      <c r="H105" s="28"/>
      <c r="I105" s="67" t="str">
        <f aca="false">IF(AND(ISNUMBER(H105),ISNUMBER(F105)),H105-F105,"")</f>
        <v/>
      </c>
      <c r="J105" s="28"/>
      <c r="K105" s="67" t="str">
        <f aca="false">IF(AND(ISNUMBER(J105),ISNUMBER(H105)),J105-H105,"")</f>
        <v/>
      </c>
    </row>
    <row r="106" customFormat="false" ht="15" hidden="false" customHeight="false" outlineLevel="0" collapsed="false">
      <c r="A106" s="5" t="s">
        <v>1142</v>
      </c>
      <c r="B106" s="27" t="n">
        <f aca="false">IF(COUNT(B98:B105)=0,"",AVERAGE(B98:B105))</f>
        <v>3.984375</v>
      </c>
      <c r="D106" s="27" t="n">
        <f aca="false">IF(COUNT(D98:D105)=0,"",AVERAGE(D98:D105))</f>
        <v>3.996875</v>
      </c>
      <c r="F106" s="27" t="str">
        <f aca="false">IF(COUNT(F98:F105)=0,"",AVERAGE(F98:F105))</f>
        <v/>
      </c>
      <c r="H106" s="27" t="str">
        <f aca="false">IF(COUNT(H98:H105)=0,"",AVERAGE(H98:H105))</f>
        <v/>
      </c>
      <c r="J106" s="27" t="str">
        <f aca="false">IF(COUNT(J98:J105)=0,"",AVERAGE(J98:J105))</f>
        <v/>
      </c>
    </row>
    <row r="107" customFormat="false" ht="15" hidden="false" customHeight="false" outlineLevel="0" collapsed="false">
      <c r="A107" s="20" t="s">
        <v>1143</v>
      </c>
      <c r="B107" s="57" t="n">
        <f aca="false">IF(ISNUMBER(B100),RANK(B100,B98:B105,0),"")</f>
        <v>4</v>
      </c>
      <c r="D107" s="57" t="n">
        <f aca="false">IF(ISNUMBER(D100),RANK(D100,D98:D105,0),"")</f>
        <v>4</v>
      </c>
      <c r="E107" s="68" t="n">
        <f aca="false">IF(AND(ISNUMBER(D107),ISNUMBER(B107)),D107-B107,"")</f>
        <v>0</v>
      </c>
      <c r="F107" s="57" t="str">
        <f aca="false">IF(ISNUMBER(F100),RANK(F100,F98:F105,0),"")</f>
        <v/>
      </c>
      <c r="G107" s="68" t="str">
        <f aca="false">IF(AND(ISNUMBER(F107),ISNUMBER(D107)),F107-D107,"")</f>
        <v/>
      </c>
      <c r="H107" s="57" t="str">
        <f aca="false">IF(ISNUMBER(H100),RANK(H100,H98:H105,0),"")</f>
        <v/>
      </c>
      <c r="I107" s="68" t="str">
        <f aca="false">IF(AND(ISNUMBER(H107),ISNUMBER(F107)),H107-F107,"")</f>
        <v/>
      </c>
      <c r="J107" s="57" t="str">
        <f aca="false">IF(ISNUMBER(J100),RANK(J100,J98:J105,0),"")</f>
        <v/>
      </c>
      <c r="K107" s="68" t="str">
        <f aca="false">IF(AND(ISNUMBER(J107),ISNUMBER(H107)),J107-H107,"")</f>
        <v/>
      </c>
    </row>
    <row r="109" customFormat="false" ht="30" hidden="false" customHeight="true" outlineLevel="0" collapsed="false">
      <c r="A109" s="12" t="s">
        <v>1148</v>
      </c>
      <c r="B109" s="12" t="s">
        <v>894</v>
      </c>
      <c r="C109" s="12" t="s">
        <v>1063</v>
      </c>
      <c r="D109" s="12" t="s">
        <v>895</v>
      </c>
      <c r="E109" s="12" t="s">
        <v>1063</v>
      </c>
      <c r="F109" s="12" t="s">
        <v>896</v>
      </c>
      <c r="G109" s="12" t="s">
        <v>1063</v>
      </c>
      <c r="H109" s="12" t="s">
        <v>897</v>
      </c>
      <c r="I109" s="12" t="s">
        <v>1063</v>
      </c>
      <c r="J109" s="12" t="s">
        <v>898</v>
      </c>
      <c r="K109" s="12" t="s">
        <v>1063</v>
      </c>
    </row>
    <row r="110" customFormat="false" ht="15" hidden="false" customHeight="false" outlineLevel="0" collapsed="false">
      <c r="A110" s="78" t="s">
        <v>1134</v>
      </c>
      <c r="B110" s="28" t="n">
        <v>13.6</v>
      </c>
      <c r="D110" s="28" t="n">
        <v>12.875</v>
      </c>
      <c r="E110" s="67" t="n">
        <f aca="false">IF(AND(ISNUMBER(D110),ISNUMBER(B110)),D110-B110,"")</f>
        <v>-0.725</v>
      </c>
      <c r="F110" s="28"/>
      <c r="G110" s="67" t="str">
        <f aca="false">IF(AND(ISNUMBER(F110),ISNUMBER(D110)),F110-D110,"")</f>
        <v/>
      </c>
      <c r="H110" s="28"/>
      <c r="I110" s="67" t="str">
        <f aca="false">IF(AND(ISNUMBER(H110),ISNUMBER(F110)),H110-F110,"")</f>
        <v/>
      </c>
      <c r="J110" s="28"/>
      <c r="K110" s="67" t="str">
        <f aca="false">IF(AND(ISNUMBER(J110),ISNUMBER(H110)),J110-H110,"")</f>
        <v/>
      </c>
    </row>
    <row r="111" customFormat="false" ht="15" hidden="false" customHeight="false" outlineLevel="0" collapsed="false">
      <c r="A111" s="78" t="s">
        <v>1135</v>
      </c>
      <c r="B111" s="28" t="n">
        <v>13.525</v>
      </c>
      <c r="D111" s="28" t="n">
        <v>13.025</v>
      </c>
      <c r="E111" s="67" t="n">
        <f aca="false">IF(AND(ISNUMBER(D111),ISNUMBER(B111)),D111-B111,"")</f>
        <v>-0.5</v>
      </c>
      <c r="F111" s="28"/>
      <c r="G111" s="67" t="str">
        <f aca="false">IF(AND(ISNUMBER(F111),ISNUMBER(D111)),F111-D111,"")</f>
        <v/>
      </c>
      <c r="H111" s="28"/>
      <c r="I111" s="67" t="str">
        <f aca="false">IF(AND(ISNUMBER(H111),ISNUMBER(F111)),H111-F111,"")</f>
        <v/>
      </c>
      <c r="J111" s="28"/>
      <c r="K111" s="67" t="str">
        <f aca="false">IF(AND(ISNUMBER(J111),ISNUMBER(H111)),J111-H111,"")</f>
        <v/>
      </c>
    </row>
    <row r="112" customFormat="false" ht="15" hidden="false" customHeight="false" outlineLevel="0" collapsed="false">
      <c r="A112" s="4" t="s">
        <v>1136</v>
      </c>
      <c r="B112" s="85" t="n">
        <v>14.675</v>
      </c>
      <c r="D112" s="85" t="n">
        <v>15.35</v>
      </c>
      <c r="E112" s="67" t="n">
        <f aca="false">IF(AND(ISNUMBER(D112),ISNUMBER(B112)),D112-B112,"")</f>
        <v>0.674999999999999</v>
      </c>
      <c r="F112" s="85"/>
      <c r="G112" s="67" t="str">
        <f aca="false">IF(AND(ISNUMBER(F112),ISNUMBER(D112)),F112-D112,"")</f>
        <v/>
      </c>
      <c r="H112" s="85"/>
      <c r="I112" s="67" t="str">
        <f aca="false">IF(AND(ISNUMBER(H112),ISNUMBER(F112)),H112-F112,"")</f>
        <v/>
      </c>
      <c r="J112" s="85"/>
      <c r="K112" s="67" t="str">
        <f aca="false">IF(AND(ISNUMBER(J112),ISNUMBER(H112)),J112-H112,"")</f>
        <v/>
      </c>
    </row>
    <row r="113" customFormat="false" ht="15" hidden="false" customHeight="false" outlineLevel="0" collapsed="false">
      <c r="A113" s="78" t="s">
        <v>1137</v>
      </c>
      <c r="B113" s="28" t="n">
        <v>9.9</v>
      </c>
      <c r="D113" s="28" t="n">
        <v>10.175</v>
      </c>
      <c r="E113" s="67" t="n">
        <f aca="false">IF(AND(ISNUMBER(D113),ISNUMBER(B113)),D113-B113,"")</f>
        <v>0.275</v>
      </c>
      <c r="F113" s="28"/>
      <c r="G113" s="67" t="str">
        <f aca="false">IF(AND(ISNUMBER(F113),ISNUMBER(D113)),F113-D113,"")</f>
        <v/>
      </c>
      <c r="H113" s="28"/>
      <c r="I113" s="67" t="str">
        <f aca="false">IF(AND(ISNUMBER(H113),ISNUMBER(F113)),H113-F113,"")</f>
        <v/>
      </c>
      <c r="J113" s="28"/>
      <c r="K113" s="67" t="str">
        <f aca="false">IF(AND(ISNUMBER(J113),ISNUMBER(H113)),J113-H113,"")</f>
        <v/>
      </c>
    </row>
    <row r="114" customFormat="false" ht="15" hidden="false" customHeight="false" outlineLevel="0" collapsed="false">
      <c r="A114" s="78" t="s">
        <v>1138</v>
      </c>
      <c r="B114" s="28" t="n">
        <v>12.65</v>
      </c>
      <c r="D114" s="28" t="n">
        <v>11.95</v>
      </c>
      <c r="E114" s="67" t="n">
        <f aca="false">IF(AND(ISNUMBER(D114),ISNUMBER(B114)),D114-B114,"")</f>
        <v>-0.700000000000001</v>
      </c>
      <c r="F114" s="28"/>
      <c r="G114" s="67" t="str">
        <f aca="false">IF(AND(ISNUMBER(F114),ISNUMBER(D114)),F114-D114,"")</f>
        <v/>
      </c>
      <c r="H114" s="28"/>
      <c r="I114" s="67" t="str">
        <f aca="false">IF(AND(ISNUMBER(H114),ISNUMBER(F114)),H114-F114,"")</f>
        <v/>
      </c>
      <c r="J114" s="28"/>
      <c r="K114" s="67" t="str">
        <f aca="false">IF(AND(ISNUMBER(J114),ISNUMBER(H114)),J114-H114,"")</f>
        <v/>
      </c>
    </row>
    <row r="115" customFormat="false" ht="15" hidden="false" customHeight="false" outlineLevel="0" collapsed="false">
      <c r="A115" s="78" t="s">
        <v>1139</v>
      </c>
      <c r="B115" s="28" t="n">
        <v>12.325</v>
      </c>
      <c r="D115" s="28" t="n">
        <v>12.675</v>
      </c>
      <c r="E115" s="67" t="n">
        <f aca="false">IF(AND(ISNUMBER(D115),ISNUMBER(B115)),D115-B115,"")</f>
        <v>0.350000000000001</v>
      </c>
      <c r="F115" s="28"/>
      <c r="G115" s="67" t="str">
        <f aca="false">IF(AND(ISNUMBER(F115),ISNUMBER(D115)),F115-D115,"")</f>
        <v/>
      </c>
      <c r="H115" s="28"/>
      <c r="I115" s="67" t="str">
        <f aca="false">IF(AND(ISNUMBER(H115),ISNUMBER(F115)),H115-F115,"")</f>
        <v/>
      </c>
      <c r="J115" s="28"/>
      <c r="K115" s="67" t="str">
        <f aca="false">IF(AND(ISNUMBER(J115),ISNUMBER(H115)),J115-H115,"")</f>
        <v/>
      </c>
    </row>
    <row r="116" customFormat="false" ht="15" hidden="false" customHeight="false" outlineLevel="0" collapsed="false">
      <c r="A116" s="78" t="s">
        <v>1140</v>
      </c>
      <c r="B116" s="28" t="n">
        <v>12.35</v>
      </c>
      <c r="D116" s="28" t="n">
        <v>12.975</v>
      </c>
      <c r="E116" s="67" t="n">
        <f aca="false">IF(AND(ISNUMBER(D116),ISNUMBER(B116)),D116-B116,"")</f>
        <v>0.625</v>
      </c>
      <c r="F116" s="28"/>
      <c r="G116" s="67" t="str">
        <f aca="false">IF(AND(ISNUMBER(F116),ISNUMBER(D116)),F116-D116,"")</f>
        <v/>
      </c>
      <c r="H116" s="28"/>
      <c r="I116" s="67" t="str">
        <f aca="false">IF(AND(ISNUMBER(H116),ISNUMBER(F116)),H116-F116,"")</f>
        <v/>
      </c>
      <c r="J116" s="28"/>
      <c r="K116" s="67" t="str">
        <f aca="false">IF(AND(ISNUMBER(J116),ISNUMBER(H116)),J116-H116,"")</f>
        <v/>
      </c>
    </row>
    <row r="117" customFormat="false" ht="15" hidden="false" customHeight="false" outlineLevel="0" collapsed="false">
      <c r="A117" s="78" t="s">
        <v>1141</v>
      </c>
      <c r="B117" s="28" t="n">
        <v>11.025</v>
      </c>
      <c r="D117" s="28" t="n">
        <v>10.95</v>
      </c>
      <c r="E117" s="67" t="n">
        <f aca="false">IF(AND(ISNUMBER(D117),ISNUMBER(B117)),D117-B117,"")</f>
        <v>-0.0750000000000011</v>
      </c>
      <c r="F117" s="28"/>
      <c r="G117" s="67" t="str">
        <f aca="false">IF(AND(ISNUMBER(F117),ISNUMBER(D117)),F117-D117,"")</f>
        <v/>
      </c>
      <c r="H117" s="28"/>
      <c r="I117" s="67" t="str">
        <f aca="false">IF(AND(ISNUMBER(H117),ISNUMBER(F117)),H117-F117,"")</f>
        <v/>
      </c>
      <c r="J117" s="28"/>
      <c r="K117" s="67" t="str">
        <f aca="false">IF(AND(ISNUMBER(J117),ISNUMBER(H117)),J117-H117,"")</f>
        <v/>
      </c>
    </row>
    <row r="118" customFormat="false" ht="15" hidden="false" customHeight="false" outlineLevel="0" collapsed="false">
      <c r="A118" s="5" t="s">
        <v>1142</v>
      </c>
      <c r="B118" s="27" t="n">
        <f aca="false">IF(COUNT(B110:B117)=0,"",AVERAGE(B110:B117))</f>
        <v>12.50625</v>
      </c>
      <c r="D118" s="27" t="n">
        <f aca="false">IF(COUNT(D110:D117)=0,"",AVERAGE(D110:D117))</f>
        <v>12.496875</v>
      </c>
      <c r="F118" s="27" t="str">
        <f aca="false">IF(COUNT(F110:F117)=0,"",AVERAGE(F110:F117))</f>
        <v/>
      </c>
      <c r="H118" s="27" t="str">
        <f aca="false">IF(COUNT(H110:H117)=0,"",AVERAGE(H110:H117))</f>
        <v/>
      </c>
      <c r="J118" s="27" t="str">
        <f aca="false">IF(COUNT(J110:J117)=0,"",AVERAGE(J110:J117))</f>
        <v/>
      </c>
    </row>
    <row r="119" customFormat="false" ht="15" hidden="false" customHeight="false" outlineLevel="0" collapsed="false">
      <c r="A119" s="20" t="s">
        <v>1143</v>
      </c>
      <c r="B119" s="57" t="n">
        <f aca="false">IF(ISNUMBER(B112),RANK(B112,B110:B117,0),"")</f>
        <v>1</v>
      </c>
      <c r="D119" s="57" t="n">
        <f aca="false">IF(ISNUMBER(D112),RANK(D112,D110:D117,0),"")</f>
        <v>1</v>
      </c>
      <c r="E119" s="68" t="n">
        <f aca="false">IF(AND(ISNUMBER(D119),ISNUMBER(B119)),D119-B119,"")</f>
        <v>0</v>
      </c>
      <c r="F119" s="57" t="str">
        <f aca="false">IF(ISNUMBER(F112),RANK(F112,F110:F117,0),"")</f>
        <v/>
      </c>
      <c r="G119" s="68" t="str">
        <f aca="false">IF(AND(ISNUMBER(F119),ISNUMBER(D119)),F119-D119,"")</f>
        <v/>
      </c>
      <c r="H119" s="57" t="str">
        <f aca="false">IF(ISNUMBER(H112),RANK(H112,H110:H117,0),"")</f>
        <v/>
      </c>
      <c r="I119" s="68" t="str">
        <f aca="false">IF(AND(ISNUMBER(H119),ISNUMBER(F119)),H119-F119,"")</f>
        <v/>
      </c>
      <c r="J119" s="57" t="str">
        <f aca="false">IF(ISNUMBER(J112),RANK(J112,J110:J117,0),"")</f>
        <v/>
      </c>
      <c r="K119" s="68" t="str">
        <f aca="false">IF(AND(ISNUMBER(J119),ISNUMBER(H119)),J119-H119,"")</f>
        <v/>
      </c>
    </row>
    <row r="121" customFormat="false" ht="30" hidden="false" customHeight="true" outlineLevel="0" collapsed="false">
      <c r="A121" s="12" t="s">
        <v>1149</v>
      </c>
      <c r="B121" s="12" t="s">
        <v>894</v>
      </c>
      <c r="C121" s="12" t="s">
        <v>1063</v>
      </c>
      <c r="D121" s="12" t="s">
        <v>895</v>
      </c>
      <c r="E121" s="12" t="s">
        <v>1063</v>
      </c>
      <c r="F121" s="12" t="s">
        <v>896</v>
      </c>
      <c r="G121" s="12" t="s">
        <v>1063</v>
      </c>
      <c r="H121" s="12" t="s">
        <v>897</v>
      </c>
      <c r="I121" s="12" t="s">
        <v>1063</v>
      </c>
      <c r="J121" s="12" t="s">
        <v>898</v>
      </c>
      <c r="K121" s="12" t="s">
        <v>1063</v>
      </c>
    </row>
    <row r="122" customFormat="false" ht="15" hidden="false" customHeight="false" outlineLevel="0" collapsed="false">
      <c r="A122" s="78" t="s">
        <v>1134</v>
      </c>
      <c r="B122" s="38" t="n">
        <v>1268.25</v>
      </c>
      <c r="D122" s="38" t="n">
        <v>1271.5</v>
      </c>
      <c r="E122" s="74" t="n">
        <f aca="false">IF(AND(ISNUMBER(D122),ISNUMBER(B122)),D122-B122,"")</f>
        <v>3.25</v>
      </c>
      <c r="F122" s="38"/>
      <c r="G122" s="74" t="str">
        <f aca="false">IF(AND(ISNUMBER(F122),ISNUMBER(D122)),F122-D122,"")</f>
        <v/>
      </c>
      <c r="H122" s="38"/>
      <c r="I122" s="74" t="str">
        <f aca="false">IF(AND(ISNUMBER(H122),ISNUMBER(F122)),H122-F122,"")</f>
        <v/>
      </c>
      <c r="J122" s="38"/>
      <c r="K122" s="74" t="str">
        <f aca="false">IF(AND(ISNUMBER(J122),ISNUMBER(H122)),J122-H122,"")</f>
        <v/>
      </c>
    </row>
    <row r="123" customFormat="false" ht="15" hidden="false" customHeight="false" outlineLevel="0" collapsed="false">
      <c r="A123" s="78" t="s">
        <v>1135</v>
      </c>
      <c r="B123" s="38" t="n">
        <v>1016.5</v>
      </c>
      <c r="D123" s="38" t="n">
        <v>1016.75</v>
      </c>
      <c r="E123" s="74" t="n">
        <f aca="false">IF(AND(ISNUMBER(D123),ISNUMBER(B123)),D123-B123,"")</f>
        <v>0.25</v>
      </c>
      <c r="F123" s="38"/>
      <c r="G123" s="74" t="str">
        <f aca="false">IF(AND(ISNUMBER(F123),ISNUMBER(D123)),F123-D123,"")</f>
        <v/>
      </c>
      <c r="H123" s="38"/>
      <c r="I123" s="74" t="str">
        <f aca="false">IF(AND(ISNUMBER(H123),ISNUMBER(F123)),H123-F123,"")</f>
        <v/>
      </c>
      <c r="J123" s="38"/>
      <c r="K123" s="74" t="str">
        <f aca="false">IF(AND(ISNUMBER(J123),ISNUMBER(H123)),J123-H123,"")</f>
        <v/>
      </c>
    </row>
    <row r="124" customFormat="false" ht="15" hidden="false" customHeight="false" outlineLevel="0" collapsed="false">
      <c r="A124" s="4" t="s">
        <v>1136</v>
      </c>
      <c r="B124" s="84" t="n">
        <v>1282.75</v>
      </c>
      <c r="D124" s="84" t="n">
        <v>1288.75</v>
      </c>
      <c r="E124" s="74" t="n">
        <f aca="false">IF(AND(ISNUMBER(D124),ISNUMBER(B124)),D124-B124,"")</f>
        <v>6</v>
      </c>
      <c r="F124" s="84"/>
      <c r="G124" s="74" t="str">
        <f aca="false">IF(AND(ISNUMBER(F124),ISNUMBER(D124)),F124-D124,"")</f>
        <v/>
      </c>
      <c r="H124" s="84"/>
      <c r="I124" s="74" t="str">
        <f aca="false">IF(AND(ISNUMBER(H124),ISNUMBER(F124)),H124-F124,"")</f>
        <v/>
      </c>
      <c r="J124" s="84"/>
      <c r="K124" s="74" t="str">
        <f aca="false">IF(AND(ISNUMBER(J124),ISNUMBER(H124)),J124-H124,"")</f>
        <v/>
      </c>
    </row>
    <row r="125" customFormat="false" ht="15" hidden="false" customHeight="false" outlineLevel="0" collapsed="false">
      <c r="A125" s="78" t="s">
        <v>1137</v>
      </c>
      <c r="B125" s="38" t="n">
        <v>1365.5</v>
      </c>
      <c r="D125" s="38" t="n">
        <v>1328.5</v>
      </c>
      <c r="E125" s="74" t="n">
        <f aca="false">IF(AND(ISNUMBER(D125),ISNUMBER(B125)),D125-B125,"")</f>
        <v>-37</v>
      </c>
      <c r="F125" s="38"/>
      <c r="G125" s="74" t="str">
        <f aca="false">IF(AND(ISNUMBER(F125),ISNUMBER(D125)),F125-D125,"")</f>
        <v/>
      </c>
      <c r="H125" s="38"/>
      <c r="I125" s="74" t="str">
        <f aca="false">IF(AND(ISNUMBER(H125),ISNUMBER(F125)),H125-F125,"")</f>
        <v/>
      </c>
      <c r="J125" s="38"/>
      <c r="K125" s="74" t="str">
        <f aca="false">IF(AND(ISNUMBER(J125),ISNUMBER(H125)),J125-H125,"")</f>
        <v/>
      </c>
    </row>
    <row r="126" customFormat="false" ht="15" hidden="false" customHeight="false" outlineLevel="0" collapsed="false">
      <c r="A126" s="78" t="s">
        <v>1138</v>
      </c>
      <c r="B126" s="38" t="n">
        <v>1073.75</v>
      </c>
      <c r="D126" s="38" t="n">
        <v>1055</v>
      </c>
      <c r="E126" s="74" t="n">
        <f aca="false">IF(AND(ISNUMBER(D126),ISNUMBER(B126)),D126-B126,"")</f>
        <v>-18.75</v>
      </c>
      <c r="F126" s="38"/>
      <c r="G126" s="74" t="str">
        <f aca="false">IF(AND(ISNUMBER(F126),ISNUMBER(D126)),F126-D126,"")</f>
        <v/>
      </c>
      <c r="H126" s="38"/>
      <c r="I126" s="74" t="str">
        <f aca="false">IF(AND(ISNUMBER(H126),ISNUMBER(F126)),H126-F126,"")</f>
        <v/>
      </c>
      <c r="J126" s="38"/>
      <c r="K126" s="74" t="str">
        <f aca="false">IF(AND(ISNUMBER(J126),ISNUMBER(H126)),J126-H126,"")</f>
        <v/>
      </c>
    </row>
    <row r="127" customFormat="false" ht="15" hidden="false" customHeight="false" outlineLevel="0" collapsed="false">
      <c r="A127" s="78" t="s">
        <v>1139</v>
      </c>
      <c r="B127" s="38" t="n">
        <v>1141</v>
      </c>
      <c r="D127" s="38" t="n">
        <v>1181</v>
      </c>
      <c r="E127" s="74" t="n">
        <f aca="false">IF(AND(ISNUMBER(D127),ISNUMBER(B127)),D127-B127,"")</f>
        <v>40</v>
      </c>
      <c r="F127" s="38"/>
      <c r="G127" s="74" t="str">
        <f aca="false">IF(AND(ISNUMBER(F127),ISNUMBER(D127)),F127-D127,"")</f>
        <v/>
      </c>
      <c r="H127" s="38"/>
      <c r="I127" s="74" t="str">
        <f aca="false">IF(AND(ISNUMBER(H127),ISNUMBER(F127)),H127-F127,"")</f>
        <v/>
      </c>
      <c r="J127" s="38"/>
      <c r="K127" s="74" t="str">
        <f aca="false">IF(AND(ISNUMBER(J127),ISNUMBER(H127)),J127-H127,"")</f>
        <v/>
      </c>
    </row>
    <row r="128" customFormat="false" ht="15" hidden="false" customHeight="false" outlineLevel="0" collapsed="false">
      <c r="A128" s="78" t="s">
        <v>1140</v>
      </c>
      <c r="B128" s="38" t="n">
        <v>1389.5</v>
      </c>
      <c r="D128" s="38" t="n">
        <v>1390</v>
      </c>
      <c r="E128" s="74" t="n">
        <f aca="false">IF(AND(ISNUMBER(D128),ISNUMBER(B128)),D128-B128,"")</f>
        <v>0.5</v>
      </c>
      <c r="F128" s="38"/>
      <c r="G128" s="74" t="str">
        <f aca="false">IF(AND(ISNUMBER(F128),ISNUMBER(D128)),F128-D128,"")</f>
        <v/>
      </c>
      <c r="H128" s="38"/>
      <c r="I128" s="74" t="str">
        <f aca="false">IF(AND(ISNUMBER(H128),ISNUMBER(F128)),H128-F128,"")</f>
        <v/>
      </c>
      <c r="J128" s="38"/>
      <c r="K128" s="74" t="str">
        <f aca="false">IF(AND(ISNUMBER(J128),ISNUMBER(H128)),J128-H128,"")</f>
        <v/>
      </c>
    </row>
    <row r="129" customFormat="false" ht="15" hidden="false" customHeight="false" outlineLevel="0" collapsed="false">
      <c r="A129" s="78" t="s">
        <v>1141</v>
      </c>
      <c r="B129" s="38" t="n">
        <v>1205.75</v>
      </c>
      <c r="D129" s="38" t="n">
        <v>1202.25</v>
      </c>
      <c r="E129" s="74" t="n">
        <f aca="false">IF(AND(ISNUMBER(D129),ISNUMBER(B129)),D129-B129,"")</f>
        <v>-3.5</v>
      </c>
      <c r="F129" s="38"/>
      <c r="G129" s="74" t="str">
        <f aca="false">IF(AND(ISNUMBER(F129),ISNUMBER(D129)),F129-D129,"")</f>
        <v/>
      </c>
      <c r="H129" s="38"/>
      <c r="I129" s="74" t="str">
        <f aca="false">IF(AND(ISNUMBER(H129),ISNUMBER(F129)),H129-F129,"")</f>
        <v/>
      </c>
      <c r="J129" s="38"/>
      <c r="K129" s="74" t="str">
        <f aca="false">IF(AND(ISNUMBER(J129),ISNUMBER(H129)),J129-H129,"")</f>
        <v/>
      </c>
    </row>
    <row r="130" customFormat="false" ht="15" hidden="false" customHeight="false" outlineLevel="0" collapsed="false">
      <c r="A130" s="5" t="s">
        <v>1142</v>
      </c>
      <c r="B130" s="35" t="n">
        <f aca="false">IF(COUNT(B122:B129)=0,"",AVERAGE(B122:B129))</f>
        <v>1217.875</v>
      </c>
      <c r="D130" s="35" t="n">
        <f aca="false">IF(COUNT(D122:D129)=0,"",AVERAGE(D122:D129))</f>
        <v>1216.71875</v>
      </c>
      <c r="F130" s="35" t="str">
        <f aca="false">IF(COUNT(F122:F129)=0,"",AVERAGE(F122:F129))</f>
        <v/>
      </c>
      <c r="H130" s="35" t="str">
        <f aca="false">IF(COUNT(H122:H129)=0,"",AVERAGE(H122:H129))</f>
        <v/>
      </c>
      <c r="J130" s="35" t="str">
        <f aca="false">IF(COUNT(J122:J129)=0,"",AVERAGE(J122:J129))</f>
        <v/>
      </c>
    </row>
    <row r="132" customFormat="false" ht="30" hidden="false" customHeight="true" outlineLevel="0" collapsed="false">
      <c r="A132" s="12" t="s">
        <v>1150</v>
      </c>
      <c r="B132" s="12" t="s">
        <v>894</v>
      </c>
      <c r="C132" s="12" t="s">
        <v>1063</v>
      </c>
      <c r="D132" s="12" t="s">
        <v>895</v>
      </c>
      <c r="E132" s="12" t="s">
        <v>1063</v>
      </c>
      <c r="F132" s="12" t="s">
        <v>896</v>
      </c>
      <c r="G132" s="12" t="s">
        <v>1063</v>
      </c>
      <c r="H132" s="12" t="s">
        <v>897</v>
      </c>
      <c r="I132" s="12" t="s">
        <v>1063</v>
      </c>
      <c r="J132" s="12" t="s">
        <v>898</v>
      </c>
      <c r="K132" s="12" t="s">
        <v>1063</v>
      </c>
    </row>
    <row r="133" customFormat="false" ht="15" hidden="false" customHeight="false" outlineLevel="0" collapsed="false">
      <c r="A133" s="78" t="s">
        <v>1134</v>
      </c>
      <c r="B133" s="28" t="n">
        <v>4.475</v>
      </c>
      <c r="D133" s="28" t="n">
        <v>4.475</v>
      </c>
      <c r="E133" s="67" t="n">
        <f aca="false">IF(AND(ISNUMBER(D133),ISNUMBER(B133)),D133-B133,"")</f>
        <v>0</v>
      </c>
      <c r="F133" s="28"/>
      <c r="G133" s="67" t="str">
        <f aca="false">IF(AND(ISNUMBER(F133),ISNUMBER(D133)),F133-D133,"")</f>
        <v/>
      </c>
      <c r="H133" s="28"/>
      <c r="I133" s="67" t="str">
        <f aca="false">IF(AND(ISNUMBER(H133),ISNUMBER(F133)),H133-F133,"")</f>
        <v/>
      </c>
      <c r="J133" s="28"/>
      <c r="K133" s="67" t="str">
        <f aca="false">IF(AND(ISNUMBER(J133),ISNUMBER(H133)),J133-H133,"")</f>
        <v/>
      </c>
    </row>
    <row r="134" customFormat="false" ht="15" hidden="false" customHeight="false" outlineLevel="0" collapsed="false">
      <c r="A134" s="78" t="s">
        <v>1135</v>
      </c>
      <c r="B134" s="28" t="n">
        <v>3.475</v>
      </c>
      <c r="D134" s="28" t="n">
        <v>3.55</v>
      </c>
      <c r="E134" s="67" t="n">
        <f aca="false">IF(AND(ISNUMBER(D134),ISNUMBER(B134)),D134-B134,"")</f>
        <v>0.0749999999999997</v>
      </c>
      <c r="F134" s="28"/>
      <c r="G134" s="67" t="str">
        <f aca="false">IF(AND(ISNUMBER(F134),ISNUMBER(D134)),F134-D134,"")</f>
        <v/>
      </c>
      <c r="H134" s="28"/>
      <c r="I134" s="67" t="str">
        <f aca="false">IF(AND(ISNUMBER(H134),ISNUMBER(F134)),H134-F134,"")</f>
        <v/>
      </c>
      <c r="J134" s="28"/>
      <c r="K134" s="67" t="str">
        <f aca="false">IF(AND(ISNUMBER(J134),ISNUMBER(H134)),J134-H134,"")</f>
        <v/>
      </c>
    </row>
    <row r="135" customFormat="false" ht="15" hidden="false" customHeight="false" outlineLevel="0" collapsed="false">
      <c r="A135" s="4" t="s">
        <v>1136</v>
      </c>
      <c r="B135" s="85" t="n">
        <v>4.65</v>
      </c>
      <c r="D135" s="85" t="n">
        <v>4.6</v>
      </c>
      <c r="E135" s="67" t="n">
        <f aca="false">IF(AND(ISNUMBER(D135),ISNUMBER(B135)),D135-B135,"")</f>
        <v>-0.0500000000000007</v>
      </c>
      <c r="F135" s="85"/>
      <c r="G135" s="67" t="str">
        <f aca="false">IF(AND(ISNUMBER(F135),ISNUMBER(D135)),F135-D135,"")</f>
        <v/>
      </c>
      <c r="H135" s="85"/>
      <c r="I135" s="67" t="str">
        <f aca="false">IF(AND(ISNUMBER(H135),ISNUMBER(F135)),H135-F135,"")</f>
        <v/>
      </c>
      <c r="J135" s="85"/>
      <c r="K135" s="67" t="str">
        <f aca="false">IF(AND(ISNUMBER(J135),ISNUMBER(H135)),J135-H135,"")</f>
        <v/>
      </c>
    </row>
    <row r="136" customFormat="false" ht="15" hidden="false" customHeight="false" outlineLevel="0" collapsed="false">
      <c r="A136" s="78" t="s">
        <v>1137</v>
      </c>
      <c r="B136" s="28" t="n">
        <v>4.3</v>
      </c>
      <c r="D136" s="28" t="n">
        <v>4.375</v>
      </c>
      <c r="E136" s="67" t="n">
        <f aca="false">IF(AND(ISNUMBER(D136),ISNUMBER(B136)),D136-B136,"")</f>
        <v>0.0749999999999993</v>
      </c>
      <c r="F136" s="28"/>
      <c r="G136" s="67" t="str">
        <f aca="false">IF(AND(ISNUMBER(F136),ISNUMBER(D136)),F136-D136,"")</f>
        <v/>
      </c>
      <c r="H136" s="28"/>
      <c r="I136" s="67" t="str">
        <f aca="false">IF(AND(ISNUMBER(H136),ISNUMBER(F136)),H136-F136,"")</f>
        <v/>
      </c>
      <c r="J136" s="28"/>
      <c r="K136" s="67" t="str">
        <f aca="false">IF(AND(ISNUMBER(J136),ISNUMBER(H136)),J136-H136,"")</f>
        <v/>
      </c>
    </row>
    <row r="137" customFormat="false" ht="15" hidden="false" customHeight="false" outlineLevel="0" collapsed="false">
      <c r="A137" s="78" t="s">
        <v>1138</v>
      </c>
      <c r="B137" s="28" t="n">
        <v>3.575</v>
      </c>
      <c r="D137" s="28" t="n">
        <v>3.625</v>
      </c>
      <c r="E137" s="67" t="n">
        <f aca="false">IF(AND(ISNUMBER(D137),ISNUMBER(B137)),D137-B137,"")</f>
        <v>0.0499999999999998</v>
      </c>
      <c r="F137" s="28"/>
      <c r="G137" s="67" t="str">
        <f aca="false">IF(AND(ISNUMBER(F137),ISNUMBER(D137)),F137-D137,"")</f>
        <v/>
      </c>
      <c r="H137" s="28"/>
      <c r="I137" s="67" t="str">
        <f aca="false">IF(AND(ISNUMBER(H137),ISNUMBER(F137)),H137-F137,"")</f>
        <v/>
      </c>
      <c r="J137" s="28"/>
      <c r="K137" s="67" t="str">
        <f aca="false">IF(AND(ISNUMBER(J137),ISNUMBER(H137)),J137-H137,"")</f>
        <v/>
      </c>
    </row>
    <row r="138" customFormat="false" ht="15" hidden="false" customHeight="false" outlineLevel="0" collapsed="false">
      <c r="A138" s="78" t="s">
        <v>1139</v>
      </c>
      <c r="B138" s="28" t="n">
        <v>4.05</v>
      </c>
      <c r="D138" s="28" t="n">
        <v>3.925</v>
      </c>
      <c r="E138" s="67" t="n">
        <f aca="false">IF(AND(ISNUMBER(D138),ISNUMBER(B138)),D138-B138,"")</f>
        <v>-0.125</v>
      </c>
      <c r="F138" s="28"/>
      <c r="G138" s="67" t="str">
        <f aca="false">IF(AND(ISNUMBER(F138),ISNUMBER(D138)),F138-D138,"")</f>
        <v/>
      </c>
      <c r="H138" s="28"/>
      <c r="I138" s="67" t="str">
        <f aca="false">IF(AND(ISNUMBER(H138),ISNUMBER(F138)),H138-F138,"")</f>
        <v/>
      </c>
      <c r="J138" s="28"/>
      <c r="K138" s="67" t="str">
        <f aca="false">IF(AND(ISNUMBER(J138),ISNUMBER(H138)),J138-H138,"")</f>
        <v/>
      </c>
    </row>
    <row r="139" customFormat="false" ht="15" hidden="false" customHeight="false" outlineLevel="0" collapsed="false">
      <c r="A139" s="78" t="s">
        <v>1140</v>
      </c>
      <c r="B139" s="28" t="n">
        <v>4.775</v>
      </c>
      <c r="D139" s="28" t="n">
        <v>4.775</v>
      </c>
      <c r="E139" s="67" t="n">
        <f aca="false">IF(AND(ISNUMBER(D139),ISNUMBER(B139)),D139-B139,"")</f>
        <v>0</v>
      </c>
      <c r="F139" s="28"/>
      <c r="G139" s="67" t="str">
        <f aca="false">IF(AND(ISNUMBER(F139),ISNUMBER(D139)),F139-D139,"")</f>
        <v/>
      </c>
      <c r="H139" s="28"/>
      <c r="I139" s="67" t="str">
        <f aca="false">IF(AND(ISNUMBER(H139),ISNUMBER(F139)),H139-F139,"")</f>
        <v/>
      </c>
      <c r="J139" s="28"/>
      <c r="K139" s="67" t="str">
        <f aca="false">IF(AND(ISNUMBER(J139),ISNUMBER(H139)),J139-H139,"")</f>
        <v/>
      </c>
    </row>
    <row r="140" customFormat="false" ht="15" hidden="false" customHeight="false" outlineLevel="0" collapsed="false">
      <c r="A140" s="78" t="s">
        <v>1141</v>
      </c>
      <c r="B140" s="28" t="n">
        <v>3.9</v>
      </c>
      <c r="D140" s="28" t="n">
        <v>3.925</v>
      </c>
      <c r="E140" s="67" t="n">
        <f aca="false">IF(AND(ISNUMBER(D140),ISNUMBER(B140)),D140-B140,"")</f>
        <v>0.0249999999999999</v>
      </c>
      <c r="F140" s="28"/>
      <c r="G140" s="67" t="str">
        <f aca="false">IF(AND(ISNUMBER(F140),ISNUMBER(D140)),F140-D140,"")</f>
        <v/>
      </c>
      <c r="H140" s="28"/>
      <c r="I140" s="67" t="str">
        <f aca="false">IF(AND(ISNUMBER(H140),ISNUMBER(F140)),H140-F140,"")</f>
        <v/>
      </c>
      <c r="J140" s="28"/>
      <c r="K140" s="67" t="str">
        <f aca="false">IF(AND(ISNUMBER(J140),ISNUMBER(H140)),J140-H140,"")</f>
        <v/>
      </c>
    </row>
    <row r="141" customFormat="false" ht="15" hidden="false" customHeight="false" outlineLevel="0" collapsed="false">
      <c r="A141" s="5" t="s">
        <v>1142</v>
      </c>
      <c r="B141" s="27" t="n">
        <f aca="false">IF(COUNT(B133:B140)=0,"",AVERAGE(B133:B140))</f>
        <v>4.15</v>
      </c>
      <c r="D141" s="27" t="n">
        <f aca="false">IF(COUNT(D133:D140)=0,"",AVERAGE(D133:D140))</f>
        <v>4.15625</v>
      </c>
      <c r="F141" s="27" t="str">
        <f aca="false">IF(COUNT(F133:F140)=0,"",AVERAGE(F133:F140))</f>
        <v/>
      </c>
      <c r="H141" s="27" t="str">
        <f aca="false">IF(COUNT(H133:H140)=0,"",AVERAGE(H133:H140))</f>
        <v/>
      </c>
      <c r="J141" s="27" t="str">
        <f aca="false">IF(COUNT(J133:J140)=0,"",AVERAGE(J133:J140))</f>
        <v/>
      </c>
    </row>
    <row r="142" customFormat="false" ht="15" hidden="false" customHeight="false" outlineLevel="0" collapsed="false">
      <c r="A142" s="20" t="s">
        <v>1143</v>
      </c>
      <c r="B142" s="57" t="n">
        <f aca="false">IF(ISNUMBER(B135),RANK(B135,B133:B140,0),"")</f>
        <v>2</v>
      </c>
      <c r="D142" s="57" t="n">
        <f aca="false">IF(ISNUMBER(D135),RANK(D135,D133:D140,0),"")</f>
        <v>2</v>
      </c>
      <c r="E142" s="68" t="n">
        <f aca="false">IF(AND(ISNUMBER(D142),ISNUMBER(B142)),D142-B142,"")</f>
        <v>0</v>
      </c>
      <c r="F142" s="57" t="str">
        <f aca="false">IF(ISNUMBER(F135),RANK(F135,F133:F140,0),"")</f>
        <v/>
      </c>
      <c r="G142" s="68" t="str">
        <f aca="false">IF(AND(ISNUMBER(F142),ISNUMBER(D142)),F142-D142,"")</f>
        <v/>
      </c>
      <c r="H142" s="57" t="str">
        <f aca="false">IF(ISNUMBER(H135),RANK(H135,H133:H140,0),"")</f>
        <v/>
      </c>
      <c r="I142" s="68" t="str">
        <f aca="false">IF(AND(ISNUMBER(H142),ISNUMBER(F142)),H142-F142,"")</f>
        <v/>
      </c>
      <c r="J142" s="57" t="str">
        <f aca="false">IF(ISNUMBER(J135),RANK(J135,J133:J140,0),"")</f>
        <v/>
      </c>
      <c r="K142" s="68" t="str">
        <f aca="false">IF(AND(ISNUMBER(J142),ISNUMBER(H142)),J142-H142,"")</f>
        <v/>
      </c>
    </row>
    <row r="144" customFormat="false" ht="30" hidden="false" customHeight="true" outlineLevel="0" collapsed="false">
      <c r="A144" s="12" t="s">
        <v>1151</v>
      </c>
      <c r="B144" s="12" t="s">
        <v>894</v>
      </c>
      <c r="C144" s="12" t="s">
        <v>1063</v>
      </c>
      <c r="D144" s="12" t="s">
        <v>895</v>
      </c>
      <c r="E144" s="12" t="s">
        <v>1063</v>
      </c>
      <c r="F144" s="12" t="s">
        <v>896</v>
      </c>
      <c r="G144" s="12" t="s">
        <v>1063</v>
      </c>
      <c r="H144" s="12" t="s">
        <v>897</v>
      </c>
      <c r="I144" s="12" t="s">
        <v>1063</v>
      </c>
      <c r="J144" s="12" t="s">
        <v>898</v>
      </c>
      <c r="K144" s="12" t="s">
        <v>1063</v>
      </c>
    </row>
    <row r="145" customFormat="false" ht="15" hidden="false" customHeight="false" outlineLevel="0" collapsed="false">
      <c r="A145" s="78" t="s">
        <v>1134</v>
      </c>
      <c r="B145" s="28" t="n">
        <v>13</v>
      </c>
      <c r="D145" s="28" t="n">
        <v>13.225</v>
      </c>
      <c r="E145" s="67" t="n">
        <f aca="false">IF(AND(ISNUMBER(D145),ISNUMBER(B145)),D145-B145,"")</f>
        <v>0.225</v>
      </c>
      <c r="F145" s="28"/>
      <c r="G145" s="67" t="str">
        <f aca="false">IF(AND(ISNUMBER(F145),ISNUMBER(D145)),F145-D145,"")</f>
        <v/>
      </c>
      <c r="H145" s="28"/>
      <c r="I145" s="67" t="str">
        <f aca="false">IF(AND(ISNUMBER(H145),ISNUMBER(F145)),H145-F145,"")</f>
        <v/>
      </c>
      <c r="J145" s="28"/>
      <c r="K145" s="67" t="str">
        <f aca="false">IF(AND(ISNUMBER(J145),ISNUMBER(H145)),J145-H145,"")</f>
        <v/>
      </c>
    </row>
    <row r="146" customFormat="false" ht="15" hidden="false" customHeight="false" outlineLevel="0" collapsed="false">
      <c r="A146" s="78" t="s">
        <v>1135</v>
      </c>
      <c r="B146" s="28" t="n">
        <v>12.925</v>
      </c>
      <c r="D146" s="28" t="n">
        <v>13.15</v>
      </c>
      <c r="E146" s="67" t="n">
        <f aca="false">IF(AND(ISNUMBER(D146),ISNUMBER(B146)),D146-B146,"")</f>
        <v>0.225</v>
      </c>
      <c r="F146" s="28"/>
      <c r="G146" s="67" t="str">
        <f aca="false">IF(AND(ISNUMBER(F146),ISNUMBER(D146)),F146-D146,"")</f>
        <v/>
      </c>
      <c r="H146" s="28"/>
      <c r="I146" s="67" t="str">
        <f aca="false">IF(AND(ISNUMBER(H146),ISNUMBER(F146)),H146-F146,"")</f>
        <v/>
      </c>
      <c r="J146" s="28"/>
      <c r="K146" s="67" t="str">
        <f aca="false">IF(AND(ISNUMBER(J146),ISNUMBER(H146)),J146-H146,"")</f>
        <v/>
      </c>
    </row>
    <row r="147" customFormat="false" ht="15" hidden="false" customHeight="false" outlineLevel="0" collapsed="false">
      <c r="A147" s="4" t="s">
        <v>1136</v>
      </c>
      <c r="B147" s="85" t="n">
        <v>14.725</v>
      </c>
      <c r="D147" s="85" t="n">
        <v>13.275</v>
      </c>
      <c r="E147" s="67" t="n">
        <f aca="false">IF(AND(ISNUMBER(D147),ISNUMBER(B147)),D147-B147,"")</f>
        <v>-1.45</v>
      </c>
      <c r="F147" s="85"/>
      <c r="G147" s="67" t="str">
        <f aca="false">IF(AND(ISNUMBER(F147),ISNUMBER(D147)),F147-D147,"")</f>
        <v/>
      </c>
      <c r="H147" s="85"/>
      <c r="I147" s="67" t="str">
        <f aca="false">IF(AND(ISNUMBER(H147),ISNUMBER(F147)),H147-F147,"")</f>
        <v/>
      </c>
      <c r="J147" s="85"/>
      <c r="K147" s="67" t="str">
        <f aca="false">IF(AND(ISNUMBER(J147),ISNUMBER(H147)),J147-H147,"")</f>
        <v/>
      </c>
    </row>
    <row r="148" customFormat="false" ht="15" hidden="false" customHeight="false" outlineLevel="0" collapsed="false">
      <c r="A148" s="78" t="s">
        <v>1137</v>
      </c>
      <c r="B148" s="28" t="n">
        <v>9.225</v>
      </c>
      <c r="D148" s="28" t="n">
        <v>10.55</v>
      </c>
      <c r="E148" s="67" t="n">
        <f aca="false">IF(AND(ISNUMBER(D148),ISNUMBER(B148)),D148-B148,"")</f>
        <v>1.325</v>
      </c>
      <c r="F148" s="28"/>
      <c r="G148" s="67" t="str">
        <f aca="false">IF(AND(ISNUMBER(F148),ISNUMBER(D148)),F148-D148,"")</f>
        <v/>
      </c>
      <c r="H148" s="28"/>
      <c r="I148" s="67" t="str">
        <f aca="false">IF(AND(ISNUMBER(H148),ISNUMBER(F148)),H148-F148,"")</f>
        <v/>
      </c>
      <c r="J148" s="28"/>
      <c r="K148" s="67" t="str">
        <f aca="false">IF(AND(ISNUMBER(J148),ISNUMBER(H148)),J148-H148,"")</f>
        <v/>
      </c>
    </row>
    <row r="149" customFormat="false" ht="15" hidden="false" customHeight="false" outlineLevel="0" collapsed="false">
      <c r="A149" s="78" t="s">
        <v>1138</v>
      </c>
      <c r="B149" s="28" t="n">
        <v>13.325</v>
      </c>
      <c r="D149" s="28" t="n">
        <v>12.425</v>
      </c>
      <c r="E149" s="67" t="n">
        <f aca="false">IF(AND(ISNUMBER(D149),ISNUMBER(B149)),D149-B149,"")</f>
        <v>-0.899999999999999</v>
      </c>
      <c r="F149" s="28"/>
      <c r="G149" s="67" t="str">
        <f aca="false">IF(AND(ISNUMBER(F149),ISNUMBER(D149)),F149-D149,"")</f>
        <v/>
      </c>
      <c r="H149" s="28"/>
      <c r="I149" s="67" t="str">
        <f aca="false">IF(AND(ISNUMBER(H149),ISNUMBER(F149)),H149-F149,"")</f>
        <v/>
      </c>
      <c r="J149" s="28"/>
      <c r="K149" s="67" t="str">
        <f aca="false">IF(AND(ISNUMBER(J149),ISNUMBER(H149)),J149-H149,"")</f>
        <v/>
      </c>
    </row>
    <row r="150" customFormat="false" ht="15" hidden="false" customHeight="false" outlineLevel="0" collapsed="false">
      <c r="A150" s="78" t="s">
        <v>1139</v>
      </c>
      <c r="B150" s="28" t="n">
        <v>12.775</v>
      </c>
      <c r="D150" s="28" t="n">
        <v>13.075</v>
      </c>
      <c r="E150" s="67" t="n">
        <f aca="false">IF(AND(ISNUMBER(D150),ISNUMBER(B150)),D150-B150,"")</f>
        <v>0.299999999999999</v>
      </c>
      <c r="F150" s="28"/>
      <c r="G150" s="67" t="str">
        <f aca="false">IF(AND(ISNUMBER(F150),ISNUMBER(D150)),F150-D150,"")</f>
        <v/>
      </c>
      <c r="H150" s="28"/>
      <c r="I150" s="67" t="str">
        <f aca="false">IF(AND(ISNUMBER(H150),ISNUMBER(F150)),H150-F150,"")</f>
        <v/>
      </c>
      <c r="J150" s="28"/>
      <c r="K150" s="67" t="str">
        <f aca="false">IF(AND(ISNUMBER(J150),ISNUMBER(H150)),J150-H150,"")</f>
        <v/>
      </c>
    </row>
    <row r="151" customFormat="false" ht="15" hidden="false" customHeight="false" outlineLevel="0" collapsed="false">
      <c r="A151" s="78" t="s">
        <v>1140</v>
      </c>
      <c r="B151" s="28" t="n">
        <v>13.725</v>
      </c>
      <c r="D151" s="28" t="n">
        <v>13.75</v>
      </c>
      <c r="E151" s="67" t="n">
        <f aca="false">IF(AND(ISNUMBER(D151),ISNUMBER(B151)),D151-B151,"")</f>
        <v>0.0250000000000004</v>
      </c>
      <c r="F151" s="28"/>
      <c r="G151" s="67" t="str">
        <f aca="false">IF(AND(ISNUMBER(F151),ISNUMBER(D151)),F151-D151,"")</f>
        <v/>
      </c>
      <c r="H151" s="28"/>
      <c r="I151" s="67" t="str">
        <f aca="false">IF(AND(ISNUMBER(H151),ISNUMBER(F151)),H151-F151,"")</f>
        <v/>
      </c>
      <c r="J151" s="28"/>
      <c r="K151" s="67" t="str">
        <f aca="false">IF(AND(ISNUMBER(J151),ISNUMBER(H151)),J151-H151,"")</f>
        <v/>
      </c>
    </row>
    <row r="152" customFormat="false" ht="15" hidden="false" customHeight="false" outlineLevel="0" collapsed="false">
      <c r="A152" s="78" t="s">
        <v>1141</v>
      </c>
      <c r="B152" s="28" t="n">
        <v>10.25</v>
      </c>
      <c r="D152" s="28" t="n">
        <v>10.45</v>
      </c>
      <c r="E152" s="67" t="n">
        <f aca="false">IF(AND(ISNUMBER(D152),ISNUMBER(B152)),D152-B152,"")</f>
        <v>0.199999999999999</v>
      </c>
      <c r="F152" s="28"/>
      <c r="G152" s="67" t="str">
        <f aca="false">IF(AND(ISNUMBER(F152),ISNUMBER(D152)),F152-D152,"")</f>
        <v/>
      </c>
      <c r="H152" s="28"/>
      <c r="I152" s="67" t="str">
        <f aca="false">IF(AND(ISNUMBER(H152),ISNUMBER(F152)),H152-F152,"")</f>
        <v/>
      </c>
      <c r="J152" s="28"/>
      <c r="K152" s="67" t="str">
        <f aca="false">IF(AND(ISNUMBER(J152),ISNUMBER(H152)),J152-H152,"")</f>
        <v/>
      </c>
    </row>
    <row r="153" customFormat="false" ht="15" hidden="false" customHeight="false" outlineLevel="0" collapsed="false">
      <c r="A153" s="5" t="s">
        <v>1142</v>
      </c>
      <c r="B153" s="27" t="n">
        <f aca="false">IF(COUNT(B145:B152)=0,"",AVERAGE(B145:B152))</f>
        <v>12.49375</v>
      </c>
      <c r="D153" s="27" t="n">
        <f aca="false">IF(COUNT(D145:D152)=0,"",AVERAGE(D145:D152))</f>
        <v>12.4875</v>
      </c>
      <c r="F153" s="27" t="str">
        <f aca="false">IF(COUNT(F145:F152)=0,"",AVERAGE(F145:F152))</f>
        <v/>
      </c>
      <c r="H153" s="27" t="str">
        <f aca="false">IF(COUNT(H145:H152)=0,"",AVERAGE(H145:H152))</f>
        <v/>
      </c>
      <c r="J153" s="27" t="str">
        <f aca="false">IF(COUNT(J145:J152)=0,"",AVERAGE(J145:J152))</f>
        <v/>
      </c>
    </row>
    <row r="154" customFormat="false" ht="15" hidden="false" customHeight="false" outlineLevel="0" collapsed="false">
      <c r="A154" s="20" t="s">
        <v>1143</v>
      </c>
      <c r="B154" s="57" t="n">
        <f aca="false">IF(ISNUMBER(B147),RANK(B147,B145:B152,0),"")</f>
        <v>1</v>
      </c>
      <c r="D154" s="57" t="n">
        <f aca="false">IF(ISNUMBER(D147),RANK(D147,D145:D152,0),"")</f>
        <v>2</v>
      </c>
      <c r="E154" s="68" t="n">
        <f aca="false">IF(AND(ISNUMBER(D154),ISNUMBER(B154)),D154-B154,"")</f>
        <v>1</v>
      </c>
      <c r="F154" s="57" t="str">
        <f aca="false">IF(ISNUMBER(F147),RANK(F147,F145:F152,0),"")</f>
        <v/>
      </c>
      <c r="G154" s="68" t="str">
        <f aca="false">IF(AND(ISNUMBER(F154),ISNUMBER(D154)),F154-D154,"")</f>
        <v/>
      </c>
      <c r="H154" s="57" t="str">
        <f aca="false">IF(ISNUMBER(H147),RANK(H147,H145:H152,0),"")</f>
        <v/>
      </c>
      <c r="I154" s="68" t="str">
        <f aca="false">IF(AND(ISNUMBER(H154),ISNUMBER(F154)),H154-F154,"")</f>
        <v/>
      </c>
      <c r="J154" s="57" t="str">
        <f aca="false">IF(ISNUMBER(J147),RANK(J147,J145:J152,0),"")</f>
        <v/>
      </c>
      <c r="K154" s="68" t="str">
        <f aca="false">IF(AND(ISNUMBER(J154),ISNUMBER(H154)),J154-H154,"")</f>
        <v/>
      </c>
    </row>
  </sheetData>
  <conditionalFormatting sqref="E6 G6 I6 K6">
    <cfRule type="expression" priority="2" aboveAverage="0" equalAverage="0" bottom="0" percent="0" rank="0" text="" dxfId="0">
      <formula>AND(ISNUMBER(E6),E6&gt;0)</formula>
    </cfRule>
    <cfRule type="expression" priority="3" aboveAverage="0" equalAverage="0" bottom="0" percent="0" rank="0" text="" dxfId="2">
      <formula>AND(ISNUMBER(E6),E6&lt;0)</formula>
    </cfRule>
  </conditionalFormatting>
  <conditionalFormatting sqref="E7 G7 I7 K7">
    <cfRule type="expression" priority="4" aboveAverage="0" equalAverage="0" bottom="0" percent="0" rank="0" text="" dxfId="0">
      <formula>AND(ISNUMBER(E7),E7&gt;0)</formula>
    </cfRule>
    <cfRule type="expression" priority="5" aboveAverage="0" equalAverage="0" bottom="0" percent="0" rank="0" text="" dxfId="2">
      <formula>AND(ISNUMBER(E7),E7&lt;0)</formula>
    </cfRule>
  </conditionalFormatting>
  <conditionalFormatting sqref="E8 G8 I8 K8">
    <cfRule type="expression" priority="6" aboveAverage="0" equalAverage="0" bottom="0" percent="0" rank="0" text="" dxfId="0">
      <formula>AND(ISNUMBER(E8),E8&gt;0)</formula>
    </cfRule>
    <cfRule type="expression" priority="7" aboveAverage="0" equalAverage="0" bottom="0" percent="0" rank="0" text="" dxfId="2">
      <formula>AND(ISNUMBER(E8),E8&lt;0)</formula>
    </cfRule>
  </conditionalFormatting>
  <conditionalFormatting sqref="E9 G9 I9 K9">
    <cfRule type="expression" priority="8" aboveAverage="0" equalAverage="0" bottom="0" percent="0" rank="0" text="" dxfId="0">
      <formula>AND(ISNUMBER(E9),E9&gt;0)</formula>
    </cfRule>
    <cfRule type="expression" priority="9" aboveAverage="0" equalAverage="0" bottom="0" percent="0" rank="0" text="" dxfId="2">
      <formula>AND(ISNUMBER(E9),E9&lt;0)</formula>
    </cfRule>
  </conditionalFormatting>
  <conditionalFormatting sqref="E10 G10 I10 K10">
    <cfRule type="expression" priority="10" aboveAverage="0" equalAverage="0" bottom="0" percent="0" rank="0" text="" dxfId="0">
      <formula>AND(ISNUMBER(E10),E10&gt;0)</formula>
    </cfRule>
    <cfRule type="expression" priority="11" aboveAverage="0" equalAverage="0" bottom="0" percent="0" rank="0" text="" dxfId="2">
      <formula>AND(ISNUMBER(E10),E10&lt;0)</formula>
    </cfRule>
  </conditionalFormatting>
  <conditionalFormatting sqref="E11 G11 I11 K11">
    <cfRule type="expression" priority="12" aboveAverage="0" equalAverage="0" bottom="0" percent="0" rank="0" text="" dxfId="0">
      <formula>AND(ISNUMBER(E11),E11&gt;0)</formula>
    </cfRule>
    <cfRule type="expression" priority="13" aboveAverage="0" equalAverage="0" bottom="0" percent="0" rank="0" text="" dxfId="2">
      <formula>AND(ISNUMBER(E11),E11&lt;0)</formula>
    </cfRule>
  </conditionalFormatting>
  <conditionalFormatting sqref="E12 G12 I12 K12">
    <cfRule type="expression" priority="14" aboveAverage="0" equalAverage="0" bottom="0" percent="0" rank="0" text="" dxfId="0">
      <formula>AND(ISNUMBER(E12),E12&gt;0)</formula>
    </cfRule>
    <cfRule type="expression" priority="15" aboveAverage="0" equalAverage="0" bottom="0" percent="0" rank="0" text="" dxfId="2">
      <formula>AND(ISNUMBER(E12),E12&lt;0)</formula>
    </cfRule>
  </conditionalFormatting>
  <conditionalFormatting sqref="E13 G13 I13 K13">
    <cfRule type="expression" priority="16" aboveAverage="0" equalAverage="0" bottom="0" percent="0" rank="0" text="" dxfId="0">
      <formula>AND(ISNUMBER(E13),E13&gt;0)</formula>
    </cfRule>
    <cfRule type="expression" priority="17" aboveAverage="0" equalAverage="0" bottom="0" percent="0" rank="0" text="" dxfId="2">
      <formula>AND(ISNUMBER(E13),E13&lt;0)</formula>
    </cfRule>
  </conditionalFormatting>
  <conditionalFormatting sqref="E15 G15 I15 K15">
    <cfRule type="expression" priority="18" aboveAverage="0" equalAverage="0" bottom="0" percent="0" rank="0" text="" dxfId="0">
      <formula>AND(ISNUMBER(E15),E15&lt;0)</formula>
    </cfRule>
    <cfRule type="expression" priority="19" aboveAverage="0" equalAverage="0" bottom="0" percent="0" rank="0" text="" dxfId="2">
      <formula>AND(ISNUMBER(E15),E15&gt;0)</formula>
    </cfRule>
  </conditionalFormatting>
  <conditionalFormatting sqref="E18 G18 I18 K18">
    <cfRule type="expression" priority="20" aboveAverage="0" equalAverage="0" bottom="0" percent="0" rank="0" text="" dxfId="0">
      <formula>AND(ISNUMBER(E18),E18&lt;0)</formula>
    </cfRule>
    <cfRule type="expression" priority="21" aboveAverage="0" equalAverage="0" bottom="0" percent="0" rank="0" text="" dxfId="2">
      <formula>AND(ISNUMBER(E18),E18&gt;0)</formula>
    </cfRule>
  </conditionalFormatting>
  <conditionalFormatting sqref="E19 G19 I19 K19">
    <cfRule type="expression" priority="22" aboveAverage="0" equalAverage="0" bottom="0" percent="0" rank="0" text="" dxfId="0">
      <formula>AND(ISNUMBER(E19),E19&lt;0)</formula>
    </cfRule>
    <cfRule type="expression" priority="23" aboveAverage="0" equalAverage="0" bottom="0" percent="0" rank="0" text="" dxfId="2">
      <formula>AND(ISNUMBER(E19),E19&gt;0)</formula>
    </cfRule>
  </conditionalFormatting>
  <conditionalFormatting sqref="E20 G20 I20 K20">
    <cfRule type="expression" priority="24" aboveAverage="0" equalAverage="0" bottom="0" percent="0" rank="0" text="" dxfId="0">
      <formula>AND(ISNUMBER(E20),E20&lt;0)</formula>
    </cfRule>
    <cfRule type="expression" priority="25" aboveAverage="0" equalAverage="0" bottom="0" percent="0" rank="0" text="" dxfId="2">
      <formula>AND(ISNUMBER(E20),E20&gt;0)</formula>
    </cfRule>
  </conditionalFormatting>
  <conditionalFormatting sqref="E21 G21 I21 K21">
    <cfRule type="expression" priority="26" aboveAverage="0" equalAverage="0" bottom="0" percent="0" rank="0" text="" dxfId="0">
      <formula>AND(ISNUMBER(E21),E21&lt;0)</formula>
    </cfRule>
    <cfRule type="expression" priority="27" aboveAverage="0" equalAverage="0" bottom="0" percent="0" rank="0" text="" dxfId="2">
      <formula>AND(ISNUMBER(E21),E21&gt;0)</formula>
    </cfRule>
  </conditionalFormatting>
  <conditionalFormatting sqref="E22 G22 I22 K22">
    <cfRule type="expression" priority="28" aboveAverage="0" equalAverage="0" bottom="0" percent="0" rank="0" text="" dxfId="0">
      <formula>AND(ISNUMBER(E22),E22&lt;0)</formula>
    </cfRule>
    <cfRule type="expression" priority="29" aboveAverage="0" equalAverage="0" bottom="0" percent="0" rank="0" text="" dxfId="2">
      <formula>AND(ISNUMBER(E22),E22&gt;0)</formula>
    </cfRule>
  </conditionalFormatting>
  <conditionalFormatting sqref="E23 G23 I23 K23">
    <cfRule type="expression" priority="30" aboveAverage="0" equalAverage="0" bottom="0" percent="0" rank="0" text="" dxfId="0">
      <formula>AND(ISNUMBER(E23),E23&lt;0)</formula>
    </cfRule>
    <cfRule type="expression" priority="31" aboveAverage="0" equalAverage="0" bottom="0" percent="0" rank="0" text="" dxfId="2">
      <formula>AND(ISNUMBER(E23),E23&gt;0)</formula>
    </cfRule>
  </conditionalFormatting>
  <conditionalFormatting sqref="E24 G24 I24 K24">
    <cfRule type="expression" priority="32" aboveAverage="0" equalAverage="0" bottom="0" percent="0" rank="0" text="" dxfId="0">
      <formula>AND(ISNUMBER(E24),E24&lt;0)</formula>
    </cfRule>
    <cfRule type="expression" priority="33" aboveAverage="0" equalAverage="0" bottom="0" percent="0" rank="0" text="" dxfId="2">
      <formula>AND(ISNUMBER(E24),E24&gt;0)</formula>
    </cfRule>
  </conditionalFormatting>
  <conditionalFormatting sqref="E25 G25 I25 K25">
    <cfRule type="expression" priority="34" aboveAverage="0" equalAverage="0" bottom="0" percent="0" rank="0" text="" dxfId="0">
      <formula>AND(ISNUMBER(E25),E25&lt;0)</formula>
    </cfRule>
    <cfRule type="expression" priority="35" aboveAverage="0" equalAverage="0" bottom="0" percent="0" rank="0" text="" dxfId="2">
      <formula>AND(ISNUMBER(E25),E25&gt;0)</formula>
    </cfRule>
  </conditionalFormatting>
  <conditionalFormatting sqref="E29 G29 I29 K29">
    <cfRule type="expression" priority="36" aboveAverage="0" equalAverage="0" bottom="0" percent="0" rank="0" text="" dxfId="0">
      <formula>AND(ISNUMBER(E29),E29&gt;0)</formula>
    </cfRule>
    <cfRule type="expression" priority="37" aboveAverage="0" equalAverage="0" bottom="0" percent="0" rank="0" text="" dxfId="2">
      <formula>AND(ISNUMBER(E29),E29&lt;0)</formula>
    </cfRule>
  </conditionalFormatting>
  <conditionalFormatting sqref="E30 G30 I30 K30">
    <cfRule type="expression" priority="38" aboveAverage="0" equalAverage="0" bottom="0" percent="0" rank="0" text="" dxfId="0">
      <formula>AND(ISNUMBER(E30),E30&gt;0)</formula>
    </cfRule>
    <cfRule type="expression" priority="39" aboveAverage="0" equalAverage="0" bottom="0" percent="0" rank="0" text="" dxfId="2">
      <formula>AND(ISNUMBER(E30),E30&lt;0)</formula>
    </cfRule>
  </conditionalFormatting>
  <conditionalFormatting sqref="E31 G31 I31 K31">
    <cfRule type="expression" priority="40" aboveAverage="0" equalAverage="0" bottom="0" percent="0" rank="0" text="" dxfId="0">
      <formula>AND(ISNUMBER(E31),E31&gt;0)</formula>
    </cfRule>
    <cfRule type="expression" priority="41" aboveAverage="0" equalAverage="0" bottom="0" percent="0" rank="0" text="" dxfId="2">
      <formula>AND(ISNUMBER(E31),E31&lt;0)</formula>
    </cfRule>
  </conditionalFormatting>
  <conditionalFormatting sqref="E32 G32 I32 K32">
    <cfRule type="expression" priority="42" aboveAverage="0" equalAverage="0" bottom="0" percent="0" rank="0" text="" dxfId="0">
      <formula>AND(ISNUMBER(E32),E32&gt;0)</formula>
    </cfRule>
    <cfRule type="expression" priority="43" aboveAverage="0" equalAverage="0" bottom="0" percent="0" rank="0" text="" dxfId="2">
      <formula>AND(ISNUMBER(E32),E32&lt;0)</formula>
    </cfRule>
  </conditionalFormatting>
  <conditionalFormatting sqref="E33 G33 I33 K33">
    <cfRule type="expression" priority="44" aboveAverage="0" equalAverage="0" bottom="0" percent="0" rank="0" text="" dxfId="0">
      <formula>AND(ISNUMBER(E33),E33&gt;0)</formula>
    </cfRule>
    <cfRule type="expression" priority="45" aboveAverage="0" equalAverage="0" bottom="0" percent="0" rank="0" text="" dxfId="2">
      <formula>AND(ISNUMBER(E33),E33&lt;0)</formula>
    </cfRule>
  </conditionalFormatting>
  <conditionalFormatting sqref="E34 G34 I34 K34">
    <cfRule type="expression" priority="46" aboveAverage="0" equalAverage="0" bottom="0" percent="0" rank="0" text="" dxfId="0">
      <formula>AND(ISNUMBER(E34),E34&gt;0)</formula>
    </cfRule>
    <cfRule type="expression" priority="47" aboveAverage="0" equalAverage="0" bottom="0" percent="0" rank="0" text="" dxfId="2">
      <formula>AND(ISNUMBER(E34),E34&lt;0)</formula>
    </cfRule>
  </conditionalFormatting>
  <conditionalFormatting sqref="E35 G35 I35 K35">
    <cfRule type="expression" priority="48" aboveAverage="0" equalAverage="0" bottom="0" percent="0" rank="0" text="" dxfId="0">
      <formula>AND(ISNUMBER(E35),E35&gt;0)</formula>
    </cfRule>
    <cfRule type="expression" priority="49" aboveAverage="0" equalAverage="0" bottom="0" percent="0" rank="0" text="" dxfId="2">
      <formula>AND(ISNUMBER(E35),E35&lt;0)</formula>
    </cfRule>
  </conditionalFormatting>
  <conditionalFormatting sqref="E36 G36 I36 K36">
    <cfRule type="expression" priority="50" aboveAverage="0" equalAverage="0" bottom="0" percent="0" rank="0" text="" dxfId="0">
      <formula>AND(ISNUMBER(E36),E36&gt;0)</formula>
    </cfRule>
    <cfRule type="expression" priority="51" aboveAverage="0" equalAverage="0" bottom="0" percent="0" rank="0" text="" dxfId="2">
      <formula>AND(ISNUMBER(E36),E36&lt;0)</formula>
    </cfRule>
  </conditionalFormatting>
  <conditionalFormatting sqref="E38 G38 I38 K38">
    <cfRule type="expression" priority="52" aboveAverage="0" equalAverage="0" bottom="0" percent="0" rank="0" text="" dxfId="0">
      <formula>AND(ISNUMBER(E38),E38&lt;0)</formula>
    </cfRule>
    <cfRule type="expression" priority="53" aboveAverage="0" equalAverage="0" bottom="0" percent="0" rank="0" text="" dxfId="2">
      <formula>AND(ISNUMBER(E38),E38&gt;0)</formula>
    </cfRule>
  </conditionalFormatting>
  <conditionalFormatting sqref="E41 G41 I41 K41">
    <cfRule type="expression" priority="54" aboveAverage="0" equalAverage="0" bottom="0" percent="0" rank="0" text="" dxfId="0">
      <formula>AND(ISNUMBER(E41),E41&gt;0)</formula>
    </cfRule>
    <cfRule type="expression" priority="55" aboveAverage="0" equalAverage="0" bottom="0" percent="0" rank="0" text="" dxfId="2">
      <formula>AND(ISNUMBER(E41),E41&lt;0)</formula>
    </cfRule>
  </conditionalFormatting>
  <conditionalFormatting sqref="E42 G42 I42 K42">
    <cfRule type="expression" priority="56" aboveAverage="0" equalAverage="0" bottom="0" percent="0" rank="0" text="" dxfId="0">
      <formula>AND(ISNUMBER(E42),E42&gt;0)</formula>
    </cfRule>
    <cfRule type="expression" priority="57" aboveAverage="0" equalAverage="0" bottom="0" percent="0" rank="0" text="" dxfId="2">
      <formula>AND(ISNUMBER(E42),E42&lt;0)</formula>
    </cfRule>
  </conditionalFormatting>
  <conditionalFormatting sqref="E43 G43 I43 K43">
    <cfRule type="expression" priority="58" aboveAverage="0" equalAverage="0" bottom="0" percent="0" rank="0" text="" dxfId="0">
      <formula>AND(ISNUMBER(E43),E43&gt;0)</formula>
    </cfRule>
    <cfRule type="expression" priority="59" aboveAverage="0" equalAverage="0" bottom="0" percent="0" rank="0" text="" dxfId="2">
      <formula>AND(ISNUMBER(E43),E43&lt;0)</formula>
    </cfRule>
  </conditionalFormatting>
  <conditionalFormatting sqref="E44 G44 I44 K44">
    <cfRule type="expression" priority="60" aboveAverage="0" equalAverage="0" bottom="0" percent="0" rank="0" text="" dxfId="0">
      <formula>AND(ISNUMBER(E44),E44&gt;0)</formula>
    </cfRule>
    <cfRule type="expression" priority="61" aboveAverage="0" equalAverage="0" bottom="0" percent="0" rank="0" text="" dxfId="2">
      <formula>AND(ISNUMBER(E44),E44&lt;0)</formula>
    </cfRule>
  </conditionalFormatting>
  <conditionalFormatting sqref="E45 G45 I45 K45">
    <cfRule type="expression" priority="62" aboveAverage="0" equalAverage="0" bottom="0" percent="0" rank="0" text="" dxfId="0">
      <formula>AND(ISNUMBER(E45),E45&gt;0)</formula>
    </cfRule>
    <cfRule type="expression" priority="63" aboveAverage="0" equalAverage="0" bottom="0" percent="0" rank="0" text="" dxfId="2">
      <formula>AND(ISNUMBER(E45),E45&lt;0)</formula>
    </cfRule>
  </conditionalFormatting>
  <conditionalFormatting sqref="E46 G46 I46 K46">
    <cfRule type="expression" priority="64" aboveAverage="0" equalAverage="0" bottom="0" percent="0" rank="0" text="" dxfId="0">
      <formula>AND(ISNUMBER(E46),E46&gt;0)</formula>
    </cfRule>
    <cfRule type="expression" priority="65" aboveAverage="0" equalAverage="0" bottom="0" percent="0" rank="0" text="" dxfId="2">
      <formula>AND(ISNUMBER(E46),E46&lt;0)</formula>
    </cfRule>
  </conditionalFormatting>
  <conditionalFormatting sqref="E47 G47 I47 K47">
    <cfRule type="expression" priority="66" aboveAverage="0" equalAverage="0" bottom="0" percent="0" rank="0" text="" dxfId="0">
      <formula>AND(ISNUMBER(E47),E47&gt;0)</formula>
    </cfRule>
    <cfRule type="expression" priority="67" aboveAverage="0" equalAverage="0" bottom="0" percent="0" rank="0" text="" dxfId="2">
      <formula>AND(ISNUMBER(E47),E47&lt;0)</formula>
    </cfRule>
  </conditionalFormatting>
  <conditionalFormatting sqref="E48 G48 I48 K48">
    <cfRule type="expression" priority="68" aboveAverage="0" equalAverage="0" bottom="0" percent="0" rank="0" text="" dxfId="0">
      <formula>AND(ISNUMBER(E48),E48&gt;0)</formula>
    </cfRule>
    <cfRule type="expression" priority="69" aboveAverage="0" equalAverage="0" bottom="0" percent="0" rank="0" text="" dxfId="2">
      <formula>AND(ISNUMBER(E48),E48&lt;0)</formula>
    </cfRule>
  </conditionalFormatting>
  <conditionalFormatting sqref="E50 G50 I50 K50">
    <cfRule type="expression" priority="70" aboveAverage="0" equalAverage="0" bottom="0" percent="0" rank="0" text="" dxfId="0">
      <formula>AND(ISNUMBER(E50),E50&lt;0)</formula>
    </cfRule>
    <cfRule type="expression" priority="71" aboveAverage="0" equalAverage="0" bottom="0" percent="0" rank="0" text="" dxfId="2">
      <formula>AND(ISNUMBER(E50),E50&gt;0)</formula>
    </cfRule>
  </conditionalFormatting>
  <conditionalFormatting sqref="E53 G53 I53 K53">
    <cfRule type="expression" priority="72" aboveAverage="0" equalAverage="0" bottom="0" percent="0" rank="0" text="" dxfId="0">
      <formula>AND(ISNUMBER(E53),E53&gt;0)</formula>
    </cfRule>
    <cfRule type="expression" priority="73" aboveAverage="0" equalAverage="0" bottom="0" percent="0" rank="0" text="" dxfId="2">
      <formula>AND(ISNUMBER(E53),E53&lt;0)</formula>
    </cfRule>
  </conditionalFormatting>
  <conditionalFormatting sqref="E54 G54 I54 K54">
    <cfRule type="expression" priority="74" aboveAverage="0" equalAverage="0" bottom="0" percent="0" rank="0" text="" dxfId="0">
      <formula>AND(ISNUMBER(E54),E54&gt;0)</formula>
    </cfRule>
    <cfRule type="expression" priority="75" aboveAverage="0" equalAverage="0" bottom="0" percent="0" rank="0" text="" dxfId="2">
      <formula>AND(ISNUMBER(E54),E54&lt;0)</formula>
    </cfRule>
  </conditionalFormatting>
  <conditionalFormatting sqref="E55 G55 I55 K55">
    <cfRule type="expression" priority="76" aboveAverage="0" equalAverage="0" bottom="0" percent="0" rank="0" text="" dxfId="0">
      <formula>AND(ISNUMBER(E55),E55&gt;0)</formula>
    </cfRule>
    <cfRule type="expression" priority="77" aboveAverage="0" equalAverage="0" bottom="0" percent="0" rank="0" text="" dxfId="2">
      <formula>AND(ISNUMBER(E55),E55&lt;0)</formula>
    </cfRule>
  </conditionalFormatting>
  <conditionalFormatting sqref="E56 G56 I56 K56">
    <cfRule type="expression" priority="78" aboveAverage="0" equalAverage="0" bottom="0" percent="0" rank="0" text="" dxfId="0">
      <formula>AND(ISNUMBER(E56),E56&gt;0)</formula>
    </cfRule>
    <cfRule type="expression" priority="79" aboveAverage="0" equalAverage="0" bottom="0" percent="0" rank="0" text="" dxfId="2">
      <formula>AND(ISNUMBER(E56),E56&lt;0)</formula>
    </cfRule>
  </conditionalFormatting>
  <conditionalFormatting sqref="E57 G57 I57 K57">
    <cfRule type="expression" priority="80" aboveAverage="0" equalAverage="0" bottom="0" percent="0" rank="0" text="" dxfId="0">
      <formula>AND(ISNUMBER(E57),E57&gt;0)</formula>
    </cfRule>
    <cfRule type="expression" priority="81" aboveAverage="0" equalAverage="0" bottom="0" percent="0" rank="0" text="" dxfId="2">
      <formula>AND(ISNUMBER(E57),E57&lt;0)</formula>
    </cfRule>
  </conditionalFormatting>
  <conditionalFormatting sqref="E58 G58 I58 K58">
    <cfRule type="expression" priority="82" aboveAverage="0" equalAverage="0" bottom="0" percent="0" rank="0" text="" dxfId="0">
      <formula>AND(ISNUMBER(E58),E58&gt;0)</formula>
    </cfRule>
    <cfRule type="expression" priority="83" aboveAverage="0" equalAverage="0" bottom="0" percent="0" rank="0" text="" dxfId="2">
      <formula>AND(ISNUMBER(E58),E58&lt;0)</formula>
    </cfRule>
  </conditionalFormatting>
  <conditionalFormatting sqref="E59 G59 I59 K59">
    <cfRule type="expression" priority="84" aboveAverage="0" equalAverage="0" bottom="0" percent="0" rank="0" text="" dxfId="0">
      <formula>AND(ISNUMBER(E59),E59&gt;0)</formula>
    </cfRule>
    <cfRule type="expression" priority="85" aboveAverage="0" equalAverage="0" bottom="0" percent="0" rank="0" text="" dxfId="2">
      <formula>AND(ISNUMBER(E59),E59&lt;0)</formula>
    </cfRule>
  </conditionalFormatting>
  <conditionalFormatting sqref="E60 G60 I60 K60">
    <cfRule type="expression" priority="86" aboveAverage="0" equalAverage="0" bottom="0" percent="0" rank="0" text="" dxfId="0">
      <formula>AND(ISNUMBER(E60),E60&gt;0)</formula>
    </cfRule>
    <cfRule type="expression" priority="87" aboveAverage="0" equalAverage="0" bottom="0" percent="0" rank="0" text="" dxfId="2">
      <formula>AND(ISNUMBER(E60),E60&lt;0)</formula>
    </cfRule>
  </conditionalFormatting>
  <conditionalFormatting sqref="E62 G62 I62 K62">
    <cfRule type="expression" priority="88" aboveAverage="0" equalAverage="0" bottom="0" percent="0" rank="0" text="" dxfId="0">
      <formula>AND(ISNUMBER(E62),E62&lt;0)</formula>
    </cfRule>
    <cfRule type="expression" priority="89" aboveAverage="0" equalAverage="0" bottom="0" percent="0" rank="0" text="" dxfId="2">
      <formula>AND(ISNUMBER(E62),E62&gt;0)</formula>
    </cfRule>
  </conditionalFormatting>
  <conditionalFormatting sqref="E65 G65 I65 K65">
    <cfRule type="expression" priority="90" aboveAverage="0" equalAverage="0" bottom="0" percent="0" rank="0" text="" dxfId="0">
      <formula>AND(ISNUMBER(E65),E65&gt;0)</formula>
    </cfRule>
    <cfRule type="expression" priority="91" aboveAverage="0" equalAverage="0" bottom="0" percent="0" rank="0" text="" dxfId="2">
      <formula>AND(ISNUMBER(E65),E65&lt;0)</formula>
    </cfRule>
  </conditionalFormatting>
  <conditionalFormatting sqref="E66 G66 I66 K66">
    <cfRule type="expression" priority="92" aboveAverage="0" equalAverage="0" bottom="0" percent="0" rank="0" text="" dxfId="0">
      <formula>AND(ISNUMBER(E66),E66&gt;0)</formula>
    </cfRule>
    <cfRule type="expression" priority="93" aboveAverage="0" equalAverage="0" bottom="0" percent="0" rank="0" text="" dxfId="2">
      <formula>AND(ISNUMBER(E66),E66&lt;0)</formula>
    </cfRule>
  </conditionalFormatting>
  <conditionalFormatting sqref="E67 G67 I67 K67">
    <cfRule type="expression" priority="94" aboveAverage="0" equalAverage="0" bottom="0" percent="0" rank="0" text="" dxfId="0">
      <formula>AND(ISNUMBER(E67),E67&gt;0)</formula>
    </cfRule>
    <cfRule type="expression" priority="95" aboveAverage="0" equalAverage="0" bottom="0" percent="0" rank="0" text="" dxfId="2">
      <formula>AND(ISNUMBER(E67),E67&lt;0)</formula>
    </cfRule>
  </conditionalFormatting>
  <conditionalFormatting sqref="E68 G68 I68 K68">
    <cfRule type="expression" priority="96" aboveAverage="0" equalAverage="0" bottom="0" percent="0" rank="0" text="" dxfId="0">
      <formula>AND(ISNUMBER(E68),E68&gt;0)</formula>
    </cfRule>
    <cfRule type="expression" priority="97" aboveAverage="0" equalAverage="0" bottom="0" percent="0" rank="0" text="" dxfId="2">
      <formula>AND(ISNUMBER(E68),E68&lt;0)</formula>
    </cfRule>
  </conditionalFormatting>
  <conditionalFormatting sqref="E69 G69 I69 K69">
    <cfRule type="expression" priority="98" aboveAverage="0" equalAverage="0" bottom="0" percent="0" rank="0" text="" dxfId="0">
      <formula>AND(ISNUMBER(E69),E69&gt;0)</formula>
    </cfRule>
    <cfRule type="expression" priority="99" aboveAverage="0" equalAverage="0" bottom="0" percent="0" rank="0" text="" dxfId="2">
      <formula>AND(ISNUMBER(E69),E69&lt;0)</formula>
    </cfRule>
  </conditionalFormatting>
  <conditionalFormatting sqref="E70 G70 I70 K70">
    <cfRule type="expression" priority="100" aboveAverage="0" equalAverage="0" bottom="0" percent="0" rank="0" text="" dxfId="0">
      <formula>AND(ISNUMBER(E70),E70&gt;0)</formula>
    </cfRule>
    <cfRule type="expression" priority="101" aboveAverage="0" equalAverage="0" bottom="0" percent="0" rank="0" text="" dxfId="2">
      <formula>AND(ISNUMBER(E70),E70&lt;0)</formula>
    </cfRule>
  </conditionalFormatting>
  <conditionalFormatting sqref="E71 G71 I71 K71">
    <cfRule type="expression" priority="102" aboveAverage="0" equalAverage="0" bottom="0" percent="0" rank="0" text="" dxfId="0">
      <formula>AND(ISNUMBER(E71),E71&gt;0)</formula>
    </cfRule>
    <cfRule type="expression" priority="103" aboveAverage="0" equalAverage="0" bottom="0" percent="0" rank="0" text="" dxfId="2">
      <formula>AND(ISNUMBER(E71),E71&lt;0)</formula>
    </cfRule>
  </conditionalFormatting>
  <conditionalFormatting sqref="E72 G72 I72 K72">
    <cfRule type="expression" priority="104" aboveAverage="0" equalAverage="0" bottom="0" percent="0" rank="0" text="" dxfId="0">
      <formula>AND(ISNUMBER(E72),E72&gt;0)</formula>
    </cfRule>
    <cfRule type="expression" priority="105" aboveAverage="0" equalAverage="0" bottom="0" percent="0" rank="0" text="" dxfId="2">
      <formula>AND(ISNUMBER(E72),E72&lt;0)</formula>
    </cfRule>
  </conditionalFormatting>
  <conditionalFormatting sqref="E74 G74 I74 K74">
    <cfRule type="expression" priority="106" aboveAverage="0" equalAverage="0" bottom="0" percent="0" rank="0" text="" dxfId="0">
      <formula>AND(ISNUMBER(E74),E74&lt;0)</formula>
    </cfRule>
    <cfRule type="expression" priority="107" aboveAverage="0" equalAverage="0" bottom="0" percent="0" rank="0" text="" dxfId="2">
      <formula>AND(ISNUMBER(E74),E74&gt;0)</formula>
    </cfRule>
  </conditionalFormatting>
  <conditionalFormatting sqref="E98 G98 I98 K98">
    <cfRule type="expression" priority="108" aboveAverage="0" equalAverage="0" bottom="0" percent="0" rank="0" text="" dxfId="0">
      <formula>AND(ISNUMBER(E98),E98&gt;0)</formula>
    </cfRule>
    <cfRule type="expression" priority="109" aboveAverage="0" equalAverage="0" bottom="0" percent="0" rank="0" text="" dxfId="2">
      <formula>AND(ISNUMBER(E98),E98&lt;0)</formula>
    </cfRule>
  </conditionalFormatting>
  <conditionalFormatting sqref="E99 G99 I99 K99">
    <cfRule type="expression" priority="110" aboveAverage="0" equalAverage="0" bottom="0" percent="0" rank="0" text="" dxfId="0">
      <formula>AND(ISNUMBER(E99),E99&gt;0)</formula>
    </cfRule>
    <cfRule type="expression" priority="111" aboveAverage="0" equalAverage="0" bottom="0" percent="0" rank="0" text="" dxfId="2">
      <formula>AND(ISNUMBER(E99),E99&lt;0)</formula>
    </cfRule>
  </conditionalFormatting>
  <conditionalFormatting sqref="E100 G100 I100 K100">
    <cfRule type="expression" priority="112" aboveAverage="0" equalAverage="0" bottom="0" percent="0" rank="0" text="" dxfId="0">
      <formula>AND(ISNUMBER(E100),E100&gt;0)</formula>
    </cfRule>
    <cfRule type="expression" priority="113" aboveAverage="0" equalAverage="0" bottom="0" percent="0" rank="0" text="" dxfId="2">
      <formula>AND(ISNUMBER(E100),E100&lt;0)</formula>
    </cfRule>
  </conditionalFormatting>
  <conditionalFormatting sqref="E101 G101 I101 K101">
    <cfRule type="expression" priority="114" aboveAverage="0" equalAverage="0" bottom="0" percent="0" rank="0" text="" dxfId="0">
      <formula>AND(ISNUMBER(E101),E101&gt;0)</formula>
    </cfRule>
    <cfRule type="expression" priority="115" aboveAverage="0" equalAverage="0" bottom="0" percent="0" rank="0" text="" dxfId="2">
      <formula>AND(ISNUMBER(E101),E101&lt;0)</formula>
    </cfRule>
  </conditionalFormatting>
  <conditionalFormatting sqref="E102 G102 I102 K102">
    <cfRule type="expression" priority="116" aboveAverage="0" equalAverage="0" bottom="0" percent="0" rank="0" text="" dxfId="0">
      <formula>AND(ISNUMBER(E102),E102&gt;0)</formula>
    </cfRule>
    <cfRule type="expression" priority="117" aboveAverage="0" equalAverage="0" bottom="0" percent="0" rank="0" text="" dxfId="2">
      <formula>AND(ISNUMBER(E102),E102&lt;0)</formula>
    </cfRule>
  </conditionalFormatting>
  <conditionalFormatting sqref="E103 G103 I103 K103">
    <cfRule type="expression" priority="118" aboveAverage="0" equalAverage="0" bottom="0" percent="0" rank="0" text="" dxfId="0">
      <formula>AND(ISNUMBER(E103),E103&gt;0)</formula>
    </cfRule>
    <cfRule type="expression" priority="119" aboveAverage="0" equalAverage="0" bottom="0" percent="0" rank="0" text="" dxfId="2">
      <formula>AND(ISNUMBER(E103),E103&lt;0)</formula>
    </cfRule>
  </conditionalFormatting>
  <conditionalFormatting sqref="E104 G104 I104 K104">
    <cfRule type="expression" priority="120" aboveAverage="0" equalAverage="0" bottom="0" percent="0" rank="0" text="" dxfId="0">
      <formula>AND(ISNUMBER(E104),E104&gt;0)</formula>
    </cfRule>
    <cfRule type="expression" priority="121" aboveAverage="0" equalAverage="0" bottom="0" percent="0" rank="0" text="" dxfId="2">
      <formula>AND(ISNUMBER(E104),E104&lt;0)</formula>
    </cfRule>
  </conditionalFormatting>
  <conditionalFormatting sqref="E105 G105 I105 K105">
    <cfRule type="expression" priority="122" aboveAverage="0" equalAverage="0" bottom="0" percent="0" rank="0" text="" dxfId="0">
      <formula>AND(ISNUMBER(E105),E105&gt;0)</formula>
    </cfRule>
    <cfRule type="expression" priority="123" aboveAverage="0" equalAverage="0" bottom="0" percent="0" rank="0" text="" dxfId="2">
      <formula>AND(ISNUMBER(E105),E105&lt;0)</formula>
    </cfRule>
  </conditionalFormatting>
  <conditionalFormatting sqref="E107 G107 I107 K107">
    <cfRule type="expression" priority="124" aboveAverage="0" equalAverage="0" bottom="0" percent="0" rank="0" text="" dxfId="0">
      <formula>AND(ISNUMBER(E107),E107&lt;0)</formula>
    </cfRule>
    <cfRule type="expression" priority="125" aboveAverage="0" equalAverage="0" bottom="0" percent="0" rank="0" text="" dxfId="2">
      <formula>AND(ISNUMBER(E107),E107&gt;0)</formula>
    </cfRule>
  </conditionalFormatting>
  <conditionalFormatting sqref="E110 G110 I110 K110">
    <cfRule type="expression" priority="126" aboveAverage="0" equalAverage="0" bottom="0" percent="0" rank="0" text="" dxfId="0">
      <formula>AND(ISNUMBER(E110),E110&gt;0)</formula>
    </cfRule>
    <cfRule type="expression" priority="127" aboveAverage="0" equalAverage="0" bottom="0" percent="0" rank="0" text="" dxfId="2">
      <formula>AND(ISNUMBER(E110),E110&lt;0)</formula>
    </cfRule>
  </conditionalFormatting>
  <conditionalFormatting sqref="E111 G111 I111 K111">
    <cfRule type="expression" priority="128" aboveAverage="0" equalAverage="0" bottom="0" percent="0" rank="0" text="" dxfId="0">
      <formula>AND(ISNUMBER(E111),E111&gt;0)</formula>
    </cfRule>
    <cfRule type="expression" priority="129" aboveAverage="0" equalAverage="0" bottom="0" percent="0" rank="0" text="" dxfId="2">
      <formula>AND(ISNUMBER(E111),E111&lt;0)</formula>
    </cfRule>
  </conditionalFormatting>
  <conditionalFormatting sqref="E112 G112 I112 K112">
    <cfRule type="expression" priority="130" aboveAverage="0" equalAverage="0" bottom="0" percent="0" rank="0" text="" dxfId="0">
      <formula>AND(ISNUMBER(E112),E112&gt;0)</formula>
    </cfRule>
    <cfRule type="expression" priority="131" aboveAverage="0" equalAverage="0" bottom="0" percent="0" rank="0" text="" dxfId="2">
      <formula>AND(ISNUMBER(E112),E112&lt;0)</formula>
    </cfRule>
  </conditionalFormatting>
  <conditionalFormatting sqref="E113 G113 I113 K113">
    <cfRule type="expression" priority="132" aboveAverage="0" equalAverage="0" bottom="0" percent="0" rank="0" text="" dxfId="0">
      <formula>AND(ISNUMBER(E113),E113&gt;0)</formula>
    </cfRule>
    <cfRule type="expression" priority="133" aboveAverage="0" equalAverage="0" bottom="0" percent="0" rank="0" text="" dxfId="2">
      <formula>AND(ISNUMBER(E113),E113&lt;0)</formula>
    </cfRule>
  </conditionalFormatting>
  <conditionalFormatting sqref="E114 G114 I114 K114">
    <cfRule type="expression" priority="134" aboveAverage="0" equalAverage="0" bottom="0" percent="0" rank="0" text="" dxfId="0">
      <formula>AND(ISNUMBER(E114),E114&gt;0)</formula>
    </cfRule>
    <cfRule type="expression" priority="135" aboveAverage="0" equalAverage="0" bottom="0" percent="0" rank="0" text="" dxfId="2">
      <formula>AND(ISNUMBER(E114),E114&lt;0)</formula>
    </cfRule>
  </conditionalFormatting>
  <conditionalFormatting sqref="E115 G115 I115 K115">
    <cfRule type="expression" priority="136" aboveAverage="0" equalAverage="0" bottom="0" percent="0" rank="0" text="" dxfId="0">
      <formula>AND(ISNUMBER(E115),E115&gt;0)</formula>
    </cfRule>
    <cfRule type="expression" priority="137" aboveAverage="0" equalAverage="0" bottom="0" percent="0" rank="0" text="" dxfId="2">
      <formula>AND(ISNUMBER(E115),E115&lt;0)</formula>
    </cfRule>
  </conditionalFormatting>
  <conditionalFormatting sqref="E116 G116 I116 K116">
    <cfRule type="expression" priority="138" aboveAverage="0" equalAverage="0" bottom="0" percent="0" rank="0" text="" dxfId="0">
      <formula>AND(ISNUMBER(E116),E116&gt;0)</formula>
    </cfRule>
    <cfRule type="expression" priority="139" aboveAverage="0" equalAverage="0" bottom="0" percent="0" rank="0" text="" dxfId="2">
      <formula>AND(ISNUMBER(E116),E116&lt;0)</formula>
    </cfRule>
  </conditionalFormatting>
  <conditionalFormatting sqref="E117 G117 I117 K117">
    <cfRule type="expression" priority="140" aboveAverage="0" equalAverage="0" bottom="0" percent="0" rank="0" text="" dxfId="0">
      <formula>AND(ISNUMBER(E117),E117&gt;0)</formula>
    </cfRule>
    <cfRule type="expression" priority="141" aboveAverage="0" equalAverage="0" bottom="0" percent="0" rank="0" text="" dxfId="2">
      <formula>AND(ISNUMBER(E117),E117&lt;0)</formula>
    </cfRule>
  </conditionalFormatting>
  <conditionalFormatting sqref="E119 G119 I119 K119">
    <cfRule type="expression" priority="142" aboveAverage="0" equalAverage="0" bottom="0" percent="0" rank="0" text="" dxfId="0">
      <formula>AND(ISNUMBER(E119),E119&lt;0)</formula>
    </cfRule>
    <cfRule type="expression" priority="143" aboveAverage="0" equalAverage="0" bottom="0" percent="0" rank="0" text="" dxfId="2">
      <formula>AND(ISNUMBER(E119),E119&gt;0)</formula>
    </cfRule>
  </conditionalFormatting>
  <conditionalFormatting sqref="E133 G133 I133 K133">
    <cfRule type="expression" priority="144" aboveAverage="0" equalAverage="0" bottom="0" percent="0" rank="0" text="" dxfId="0">
      <formula>AND(ISNUMBER(E133),E133&gt;0)</formula>
    </cfRule>
    <cfRule type="expression" priority="145" aboveAverage="0" equalAverage="0" bottom="0" percent="0" rank="0" text="" dxfId="2">
      <formula>AND(ISNUMBER(E133),E133&lt;0)</formula>
    </cfRule>
  </conditionalFormatting>
  <conditionalFormatting sqref="E134 G134 I134 K134">
    <cfRule type="expression" priority="146" aboveAverage="0" equalAverage="0" bottom="0" percent="0" rank="0" text="" dxfId="0">
      <formula>AND(ISNUMBER(E134),E134&gt;0)</formula>
    </cfRule>
    <cfRule type="expression" priority="147" aboveAverage="0" equalAverage="0" bottom="0" percent="0" rank="0" text="" dxfId="2">
      <formula>AND(ISNUMBER(E134),E134&lt;0)</formula>
    </cfRule>
  </conditionalFormatting>
  <conditionalFormatting sqref="E135 G135 I135 K135">
    <cfRule type="expression" priority="148" aboveAverage="0" equalAverage="0" bottom="0" percent="0" rank="0" text="" dxfId="0">
      <formula>AND(ISNUMBER(E135),E135&gt;0)</formula>
    </cfRule>
    <cfRule type="expression" priority="149" aboveAverage="0" equalAverage="0" bottom="0" percent="0" rank="0" text="" dxfId="2">
      <formula>AND(ISNUMBER(E135),E135&lt;0)</formula>
    </cfRule>
  </conditionalFormatting>
  <conditionalFormatting sqref="E136 G136 I136 K136">
    <cfRule type="expression" priority="150" aboveAverage="0" equalAverage="0" bottom="0" percent="0" rank="0" text="" dxfId="0">
      <formula>AND(ISNUMBER(E136),E136&gt;0)</formula>
    </cfRule>
    <cfRule type="expression" priority="151" aboveAverage="0" equalAverage="0" bottom="0" percent="0" rank="0" text="" dxfId="2">
      <formula>AND(ISNUMBER(E136),E136&lt;0)</formula>
    </cfRule>
  </conditionalFormatting>
  <conditionalFormatting sqref="E137 G137 I137 K137">
    <cfRule type="expression" priority="152" aboveAverage="0" equalAverage="0" bottom="0" percent="0" rank="0" text="" dxfId="0">
      <formula>AND(ISNUMBER(E137),E137&gt;0)</formula>
    </cfRule>
    <cfRule type="expression" priority="153" aboveAverage="0" equalAverage="0" bottom="0" percent="0" rank="0" text="" dxfId="2">
      <formula>AND(ISNUMBER(E137),E137&lt;0)</formula>
    </cfRule>
  </conditionalFormatting>
  <conditionalFormatting sqref="E138 G138 I138 K138">
    <cfRule type="expression" priority="154" aboveAverage="0" equalAverage="0" bottom="0" percent="0" rank="0" text="" dxfId="0">
      <formula>AND(ISNUMBER(E138),E138&gt;0)</formula>
    </cfRule>
    <cfRule type="expression" priority="155" aboveAverage="0" equalAverage="0" bottom="0" percent="0" rank="0" text="" dxfId="2">
      <formula>AND(ISNUMBER(E138),E138&lt;0)</formula>
    </cfRule>
  </conditionalFormatting>
  <conditionalFormatting sqref="E139 G139 I139 K139">
    <cfRule type="expression" priority="156" aboveAverage="0" equalAverage="0" bottom="0" percent="0" rank="0" text="" dxfId="0">
      <formula>AND(ISNUMBER(E139),E139&gt;0)</formula>
    </cfRule>
    <cfRule type="expression" priority="157" aboveAverage="0" equalAverage="0" bottom="0" percent="0" rank="0" text="" dxfId="2">
      <formula>AND(ISNUMBER(E139),E139&lt;0)</formula>
    </cfRule>
  </conditionalFormatting>
  <conditionalFormatting sqref="E140 G140 I140 K140">
    <cfRule type="expression" priority="158" aboveAverage="0" equalAverage="0" bottom="0" percent="0" rank="0" text="" dxfId="0">
      <formula>AND(ISNUMBER(E140),E140&gt;0)</formula>
    </cfRule>
    <cfRule type="expression" priority="159" aboveAverage="0" equalAverage="0" bottom="0" percent="0" rank="0" text="" dxfId="2">
      <formula>AND(ISNUMBER(E140),E140&lt;0)</formula>
    </cfRule>
  </conditionalFormatting>
  <conditionalFormatting sqref="E142 G142 I142 K142">
    <cfRule type="expression" priority="160" aboveAverage="0" equalAverage="0" bottom="0" percent="0" rank="0" text="" dxfId="0">
      <formula>AND(ISNUMBER(E142),E142&lt;0)</formula>
    </cfRule>
    <cfRule type="expression" priority="161" aboveAverage="0" equalAverage="0" bottom="0" percent="0" rank="0" text="" dxfId="2">
      <formula>AND(ISNUMBER(E142),E142&gt;0)</formula>
    </cfRule>
  </conditionalFormatting>
  <conditionalFormatting sqref="E145 G145 I145 K145">
    <cfRule type="expression" priority="162" aboveAverage="0" equalAverage="0" bottom="0" percent="0" rank="0" text="" dxfId="0">
      <formula>AND(ISNUMBER(E145),E145&gt;0)</formula>
    </cfRule>
    <cfRule type="expression" priority="163" aboveAverage="0" equalAverage="0" bottom="0" percent="0" rank="0" text="" dxfId="2">
      <formula>AND(ISNUMBER(E145),E145&lt;0)</formula>
    </cfRule>
  </conditionalFormatting>
  <conditionalFormatting sqref="E146 G146 I146 K146">
    <cfRule type="expression" priority="164" aboveAverage="0" equalAverage="0" bottom="0" percent="0" rank="0" text="" dxfId="0">
      <formula>AND(ISNUMBER(E146),E146&gt;0)</formula>
    </cfRule>
    <cfRule type="expression" priority="165" aboveAverage="0" equalAverage="0" bottom="0" percent="0" rank="0" text="" dxfId="2">
      <formula>AND(ISNUMBER(E146),E146&lt;0)</formula>
    </cfRule>
  </conditionalFormatting>
  <conditionalFormatting sqref="E147 G147 I147 K147">
    <cfRule type="expression" priority="166" aboveAverage="0" equalAverage="0" bottom="0" percent="0" rank="0" text="" dxfId="0">
      <formula>AND(ISNUMBER(E147),E147&gt;0)</formula>
    </cfRule>
    <cfRule type="expression" priority="167" aboveAverage="0" equalAverage="0" bottom="0" percent="0" rank="0" text="" dxfId="2">
      <formula>AND(ISNUMBER(E147),E147&lt;0)</formula>
    </cfRule>
  </conditionalFormatting>
  <conditionalFormatting sqref="E148 G148 I148 K148">
    <cfRule type="expression" priority="168" aboveAverage="0" equalAverage="0" bottom="0" percent="0" rank="0" text="" dxfId="0">
      <formula>AND(ISNUMBER(E148),E148&gt;0)</formula>
    </cfRule>
    <cfRule type="expression" priority="169" aboveAverage="0" equalAverage="0" bottom="0" percent="0" rank="0" text="" dxfId="2">
      <formula>AND(ISNUMBER(E148),E148&lt;0)</formula>
    </cfRule>
  </conditionalFormatting>
  <conditionalFormatting sqref="E149 G149 I149 K149">
    <cfRule type="expression" priority="170" aboveAverage="0" equalAverage="0" bottom="0" percent="0" rank="0" text="" dxfId="0">
      <formula>AND(ISNUMBER(E149),E149&gt;0)</formula>
    </cfRule>
    <cfRule type="expression" priority="171" aboveAverage="0" equalAverage="0" bottom="0" percent="0" rank="0" text="" dxfId="2">
      <formula>AND(ISNUMBER(E149),E149&lt;0)</formula>
    </cfRule>
  </conditionalFormatting>
  <conditionalFormatting sqref="E150 G150 I150 K150">
    <cfRule type="expression" priority="172" aboveAverage="0" equalAverage="0" bottom="0" percent="0" rank="0" text="" dxfId="0">
      <formula>AND(ISNUMBER(E150),E150&gt;0)</formula>
    </cfRule>
    <cfRule type="expression" priority="173" aboveAverage="0" equalAverage="0" bottom="0" percent="0" rank="0" text="" dxfId="2">
      <formula>AND(ISNUMBER(E150),E150&lt;0)</formula>
    </cfRule>
  </conditionalFormatting>
  <conditionalFormatting sqref="E151 G151 I151 K151">
    <cfRule type="expression" priority="174" aboveAverage="0" equalAverage="0" bottom="0" percent="0" rank="0" text="" dxfId="0">
      <formula>AND(ISNUMBER(E151),E151&gt;0)</formula>
    </cfRule>
    <cfRule type="expression" priority="175" aboveAverage="0" equalAverage="0" bottom="0" percent="0" rank="0" text="" dxfId="2">
      <formula>AND(ISNUMBER(E151),E151&lt;0)</formula>
    </cfRule>
  </conditionalFormatting>
  <conditionalFormatting sqref="E152 G152 I152 K152">
    <cfRule type="expression" priority="176" aboveAverage="0" equalAverage="0" bottom="0" percent="0" rank="0" text="" dxfId="0">
      <formula>AND(ISNUMBER(E152),E152&gt;0)</formula>
    </cfRule>
    <cfRule type="expression" priority="177" aboveAverage="0" equalAverage="0" bottom="0" percent="0" rank="0" text="" dxfId="2">
      <formula>AND(ISNUMBER(E152),E152&lt;0)</formula>
    </cfRule>
  </conditionalFormatting>
  <conditionalFormatting sqref="E154 G154 I154 K154">
    <cfRule type="expression" priority="178" aboveAverage="0" equalAverage="0" bottom="0" percent="0" rank="0" text="" dxfId="0">
      <formula>AND(ISNUMBER(E154),E154&lt;0)</formula>
    </cfRule>
    <cfRule type="expression" priority="179" aboveAverage="0" equalAverage="0" bottom="0" percent="0" rank="0" text="" dxfId="2">
      <formula>AND(ISNUMBER(E154),E154&gt;0)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C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</cols>
  <sheetData>
    <row r="1" customFormat="false" ht="19.7" hidden="false" customHeight="false" outlineLevel="0" collapsed="false">
      <c r="A1" s="7" t="s">
        <v>1152</v>
      </c>
    </row>
    <row r="2" customFormat="false" ht="15" hidden="false" customHeight="false" outlineLevel="0" collapsed="false">
      <c r="A2" s="3" t="s">
        <v>1153</v>
      </c>
    </row>
    <row r="3" customFormat="false" ht="15" hidden="false" customHeight="false" outlineLevel="0" collapsed="false">
      <c r="A3" s="8" t="s">
        <v>85</v>
      </c>
    </row>
    <row r="58" customFormat="false" ht="15" hidden="false" customHeight="false" outlineLevel="0" collapsed="false">
      <c r="A58" s="20" t="s">
        <v>1154</v>
      </c>
    </row>
    <row r="59" customFormat="false" ht="30" hidden="false" customHeight="true" outlineLevel="0" collapsed="false">
      <c r="A59" s="12" t="s">
        <v>1155</v>
      </c>
      <c r="B59" s="12" t="s">
        <v>1156</v>
      </c>
      <c r="C59" s="12" t="s">
        <v>1157</v>
      </c>
    </row>
    <row r="60" customFormat="false" ht="15" hidden="false" customHeight="false" outlineLevel="0" collapsed="false">
      <c r="A60" s="5" t="s">
        <v>107</v>
      </c>
      <c r="B60" s="81" t="n">
        <f aca="false">IF(ISNUMBER('Season by Year'!D65),'Season by Year'!D65,"")</f>
        <v>1.85</v>
      </c>
      <c r="C60" s="81" t="n">
        <f aca="false">IF(ISNUMBER('Season by Year'!F65),'Season by Year'!F65,"")</f>
        <v>2.1</v>
      </c>
    </row>
    <row r="61" customFormat="false" ht="15" hidden="false" customHeight="false" outlineLevel="0" collapsed="false">
      <c r="A61" s="5" t="s">
        <v>1158</v>
      </c>
      <c r="B61" s="81" t="n">
        <f aca="false">IF(ISNUMBER('Season by Year'!D66),'Season by Year'!D66,"")</f>
        <v>2</v>
      </c>
      <c r="C61" s="81" t="n">
        <f aca="false">IF(ISNUMBER('Season by Year'!F66),'Season by Year'!F66,"")</f>
        <v>2.15</v>
      </c>
    </row>
    <row r="62" customFormat="false" ht="15" hidden="false" customHeight="false" outlineLevel="0" collapsed="false">
      <c r="A62" s="5" t="s">
        <v>1088</v>
      </c>
      <c r="B62" s="39" t="n">
        <f aca="false">IF(ISNUMBER('Season by Year'!D67),'Season by Year'!D67,"")</f>
        <v>0.142</v>
      </c>
      <c r="C62" s="39" t="n">
        <f aca="false">IF(ISNUMBER('Season by Year'!F67),'Season by Year'!F67,"")</f>
        <v>0.155</v>
      </c>
    </row>
    <row r="63" customFormat="false" ht="15" hidden="false" customHeight="false" outlineLevel="0" collapsed="false">
      <c r="A63" s="5" t="s">
        <v>1159</v>
      </c>
      <c r="B63" s="39" t="n">
        <f aca="false">IF(ISNUMBER('Season by Year'!D68),'Season by Year'!D68,"")</f>
        <v>0.15</v>
      </c>
      <c r="C63" s="39" t="n">
        <f aca="false">IF(ISNUMBER('Season by Year'!F68),'Season by Year'!F68,"")</f>
        <v>0.155</v>
      </c>
    </row>
    <row r="64" customFormat="false" ht="15" hidden="false" customHeight="false" outlineLevel="0" collapsed="false">
      <c r="A64" s="5" t="s">
        <v>1090</v>
      </c>
      <c r="B64" s="81" t="n">
        <f aca="false">IF(ISNUMBER('Season by Year'!D69),'Season by Year'!D69,"")</f>
        <v>22.4</v>
      </c>
      <c r="C64" s="81" t="n">
        <f aca="false">IF(ISNUMBER('Season by Year'!F69),'Season by Year'!F69,"")</f>
        <v>26.1</v>
      </c>
    </row>
    <row r="65" customFormat="false" ht="15" hidden="false" customHeight="false" outlineLevel="0" collapsed="false">
      <c r="A65" s="5" t="s">
        <v>1160</v>
      </c>
      <c r="B65" s="81" t="n">
        <f aca="false">IF(ISNUMBER('Season by Year'!D70),'Season by Year'!D70,"")</f>
        <v>25</v>
      </c>
      <c r="C65" s="81" t="n">
        <f aca="false">IF(ISNUMBER('Season by Year'!F70),'Season by Year'!F70,"")</f>
        <v>27</v>
      </c>
    </row>
    <row r="66" customFormat="false" ht="15" hidden="false" customHeight="false" outlineLevel="0" collapsed="false">
      <c r="A66" s="5" t="s">
        <v>115</v>
      </c>
      <c r="B66" s="26" t="n">
        <f aca="false">IF(ISNUMBER('Season by Year'!D74),'Season by Year'!D74,"")</f>
        <v>68</v>
      </c>
      <c r="C66" s="26" t="n">
        <f aca="false">IF(ISNUMBER('Season by Year'!F74),'Season by Year'!F74,"")</f>
        <v>71</v>
      </c>
    </row>
    <row r="67" customFormat="false" ht="15" hidden="false" customHeight="false" outlineLevel="0" collapsed="false">
      <c r="A67" s="5" t="s">
        <v>1161</v>
      </c>
      <c r="B67" s="26" t="n">
        <f aca="false">IF(ISNUMBER('Season by Year'!D75),'Season by Year'!D75,"")</f>
        <v>70</v>
      </c>
      <c r="C67" s="26" t="n">
        <f aca="false">IF(ISNUMBER('Season by Year'!F75),'Season by Year'!F75,"")</f>
        <v>72</v>
      </c>
    </row>
    <row r="68" customFormat="false" ht="15" hidden="false" customHeight="false" outlineLevel="0" collapsed="false">
      <c r="A68" s="5" t="s">
        <v>1093</v>
      </c>
      <c r="B68" s="26" t="n">
        <f aca="false">IF(ISNUMBER('Season by Year'!D73),'Season by Year'!D73,"")</f>
        <v>8</v>
      </c>
      <c r="C68" s="26" t="n">
        <f aca="false">IF(ISNUMBER('Season by Year'!F73),'Season by Year'!F73,"")</f>
        <v>9</v>
      </c>
    </row>
    <row r="69" customFormat="false" ht="15" hidden="false" customHeight="false" outlineLevel="0" collapsed="false">
      <c r="A69" s="5" t="s">
        <v>1095</v>
      </c>
      <c r="B69" s="26" t="n">
        <f aca="false">IF(ISNUMBER('Season by Year'!D76),'Season by Year'!D76,"")</f>
        <v>78</v>
      </c>
      <c r="C69" s="26" t="n">
        <f aca="false">IF(ISNUMBER('Season by Year'!F76),'Season by Year'!F76,"")</f>
        <v>84</v>
      </c>
    </row>
    <row r="70" customFormat="false" ht="15" hidden="false" customHeight="false" outlineLevel="0" collapsed="false">
      <c r="A70" s="5" t="s">
        <v>389</v>
      </c>
      <c r="B70" s="26" t="n">
        <f aca="false">IF(ISNUMBER('Season by Year'!D77),'Season by Year'!D77,"")</f>
        <v>3</v>
      </c>
      <c r="C70" s="26" t="n">
        <f aca="false">IF(ISNUMBER('Season by Year'!F77),'Season by Year'!F77,"")</f>
        <v>2</v>
      </c>
    </row>
    <row r="71" customFormat="false" ht="15" hidden="false" customHeight="false" outlineLevel="0" collapsed="false">
      <c r="A71" s="5" t="s">
        <v>1097</v>
      </c>
      <c r="B71" s="42" t="n">
        <f aca="false">IF(ISNUMBER('Season by Year'!D78),'Season by Year'!D78,"")</f>
        <v>412000</v>
      </c>
      <c r="C71" s="42" t="n">
        <f aca="false">IF(ISNUMBER('Season by Year'!F78),'Season by Year'!F78,"")</f>
        <v>455000</v>
      </c>
    </row>
    <row r="72" customFormat="false" ht="15" hidden="false" customHeight="false" outlineLevel="0" collapsed="false">
      <c r="A72" s="5" t="s">
        <v>1098</v>
      </c>
      <c r="B72" s="42" t="n">
        <f aca="false">IF(ISNUMBER('Season by Year'!D79),'Season by Year'!D79,"")</f>
        <v>18500</v>
      </c>
      <c r="C72" s="42" t="n">
        <f aca="false">IF(ISNUMBER('Season by Year'!F79),'Season by Year'!F79,"")</f>
        <v>21900</v>
      </c>
    </row>
    <row r="73" customFormat="false" ht="15" hidden="false" customHeight="false" outlineLevel="0" collapsed="false">
      <c r="A73" s="5" t="s">
        <v>1162</v>
      </c>
      <c r="B73" s="27" t="n">
        <f aca="false">IF(ISNUMBER('Season by Year'!D95),'Season by Year'!D95,"")</f>
        <v>12.225</v>
      </c>
      <c r="C73" s="27" t="n">
        <f aca="false">IF(ISNUMBER('Season by Year'!F95),'Season by Year'!F95,"")</f>
        <v>12.975</v>
      </c>
    </row>
    <row r="74" customFormat="false" ht="15" hidden="false" customHeight="false" outlineLevel="0" collapsed="false">
      <c r="A74" s="5" t="s">
        <v>1163</v>
      </c>
      <c r="B74" s="27" t="n">
        <f aca="false">IF(ISNUMBER('Season by Year'!D110),'Season by Year'!D110,"")</f>
        <v>11.975</v>
      </c>
      <c r="C74" s="27" t="n">
        <f aca="false">IF(ISNUMBER('Season by Year'!F110),'Season by Year'!F110,"")</f>
        <v>12.55</v>
      </c>
    </row>
    <row r="75" customFormat="false" ht="15" hidden="false" customHeight="false" outlineLevel="0" collapsed="false">
      <c r="A75" s="5" t="s">
        <v>1164</v>
      </c>
      <c r="B75" s="35" t="n">
        <f aca="false">IF(ISNUMBER('Season by Year'!D87),'Season by Year'!D87,"")</f>
        <v>182</v>
      </c>
      <c r="C75" s="35" t="n">
        <f aca="false">IF(ISNUMBER('Season by Year'!F87),'Season by Year'!F87,"")</f>
        <v>176</v>
      </c>
    </row>
    <row r="76" customFormat="false" ht="15" hidden="false" customHeight="false" outlineLevel="0" collapsed="false">
      <c r="A76" s="5" t="s">
        <v>1165</v>
      </c>
      <c r="B76" s="35" t="n">
        <f aca="false">IF(ISNUMBER('Season by Year'!D88),'Season by Year'!D88,"")</f>
        <v>186</v>
      </c>
      <c r="C76" s="35" t="n">
        <f aca="false">IF(ISNUMBER('Season by Year'!F88),'Season by Year'!F88,"")</f>
        <v>184</v>
      </c>
    </row>
    <row r="77" customFormat="false" ht="15" hidden="false" customHeight="false" outlineLevel="0" collapsed="false">
      <c r="A77" s="5" t="s">
        <v>1166</v>
      </c>
      <c r="B77" s="35" t="n">
        <f aca="false">IF(ISNUMBER('Season by Year'!D102),'Season by Year'!D102,"")</f>
        <v>905</v>
      </c>
      <c r="C77" s="35" t="n">
        <f aca="false">IF(ISNUMBER('Season by Year'!F102),'Season by Year'!F102,"")</f>
        <v>884</v>
      </c>
    </row>
    <row r="78" customFormat="false" ht="15" hidden="false" customHeight="false" outlineLevel="0" collapsed="false">
      <c r="A78" s="5" t="s">
        <v>1167</v>
      </c>
      <c r="B78" s="35" t="n">
        <f aca="false">IF(ISNUMBER('Season by Year'!D103),'Season by Year'!D103,"")</f>
        <v>890</v>
      </c>
      <c r="C78" s="35" t="n">
        <f aca="false">IF(ISNUMBER('Season by Year'!F103),'Season by Year'!F103,"")</f>
        <v>879</v>
      </c>
    </row>
    <row r="79" customFormat="false" ht="15" hidden="false" customHeight="false" outlineLevel="0" collapsed="false">
      <c r="A79" s="5" t="s">
        <v>1104</v>
      </c>
      <c r="B79" s="25" t="n">
        <f aca="false">IF(ISNUMBER('Season by Year'!D84),'Season by Year'!D84,"")</f>
        <v>-0.0434782608695652</v>
      </c>
      <c r="C79" s="25" t="n">
        <f aca="false">IF(ISNUMBER('Season by Year'!F84),'Season by Year'!F84,"")</f>
        <v>-0.044280442804428</v>
      </c>
    </row>
    <row r="80" customFormat="false" ht="15" hidden="false" customHeight="false" outlineLevel="0" collapsed="false">
      <c r="A80" s="5" t="s">
        <v>1168</v>
      </c>
      <c r="B80" s="25" t="n">
        <f aca="false">IF(ISNUMBER('Season by Year'!D89),'Season by Year'!D89,"")</f>
        <v>-0.021505376344086</v>
      </c>
      <c r="C80" s="25" t="n">
        <f aca="false">IF(ISNUMBER('Season by Year'!F89),'Season by Year'!F89,"")</f>
        <v>-0.0434782608695652</v>
      </c>
    </row>
    <row r="81" customFormat="false" ht="15" hidden="false" customHeight="false" outlineLevel="0" collapsed="false">
      <c r="A81" s="5" t="s">
        <v>1120</v>
      </c>
      <c r="B81" s="25" t="n">
        <f aca="false">IF(ISNUMBER('Season by Year'!D99),'Season by Year'!D99,"")</f>
        <v>0.0351464435146442</v>
      </c>
      <c r="C81" s="25" t="n">
        <f aca="false">IF(ISNUMBER('Season by Year'!F99),'Season by Year'!F99,"")</f>
        <v>0.0345117845117846</v>
      </c>
    </row>
    <row r="82" customFormat="false" ht="15" hidden="false" customHeight="false" outlineLevel="0" collapsed="false">
      <c r="A82" s="5" t="s">
        <v>1169</v>
      </c>
      <c r="B82" s="25" t="n">
        <f aca="false">IF(ISNUMBER('Season by Year'!D104),'Season by Year'!D104,"")</f>
        <v>0.0168539325842696</v>
      </c>
      <c r="C82" s="25" t="n">
        <f aca="false">IF(ISNUMBER('Season by Year'!F104),'Season by Year'!F104,"")</f>
        <v>0.00568828213879402</v>
      </c>
    </row>
    <row r="83" customFormat="false" ht="15" hidden="false" customHeight="false" outlineLevel="0" collapsed="false">
      <c r="A83" s="5" t="s">
        <v>1110</v>
      </c>
      <c r="B83" s="39" t="n">
        <f aca="false">IF(ISNUMBER('Season by Year'!D90),'Season by Year'!D90,"")</f>
        <v>0.11</v>
      </c>
      <c r="C83" s="39" t="n">
        <f aca="false">IF(ISNUMBER('Season by Year'!F90),'Season by Year'!F90,"")</f>
        <v>0.125</v>
      </c>
    </row>
    <row r="84" customFormat="false" ht="15" hidden="false" customHeight="false" outlineLevel="0" collapsed="false">
      <c r="A84" s="5" t="s">
        <v>1126</v>
      </c>
      <c r="B84" s="39" t="n">
        <f aca="false">IF(ISNUMBER('Season by Year'!D105),'Season by Year'!D105,"")</f>
        <v>0.09</v>
      </c>
      <c r="C84" s="39" t="n">
        <f aca="false">IF(ISNUMBER('Season by Year'!F105),'Season by Year'!F105,"")</f>
        <v>0.105</v>
      </c>
    </row>
    <row r="85" customFormat="false" ht="15" hidden="false" customHeight="false" outlineLevel="0" collapsed="false">
      <c r="A85" s="5" t="s">
        <v>1134</v>
      </c>
      <c r="B85" s="26" t="n">
        <f aca="false">IF(ISNUMBER('Competition by Year'!B6),'Competition by Year'!B6,"")</f>
        <v>81</v>
      </c>
      <c r="C85" s="26" t="n">
        <f aca="false">IF(ISNUMBER('Competition by Year'!D6),'Competition by Year'!D6,"")</f>
        <v>83</v>
      </c>
    </row>
    <row r="86" customFormat="false" ht="15" hidden="false" customHeight="false" outlineLevel="0" collapsed="false">
      <c r="A86" s="5" t="s">
        <v>1135</v>
      </c>
      <c r="B86" s="26" t="n">
        <f aca="false">IF(ISNUMBER('Competition by Year'!B7),'Competition by Year'!B7,"")</f>
        <v>70</v>
      </c>
      <c r="C86" s="26" t="n">
        <f aca="false">IF(ISNUMBER('Competition by Year'!D7),'Competition by Year'!D7,"")</f>
        <v>72</v>
      </c>
    </row>
    <row r="87" customFormat="false" ht="15" hidden="false" customHeight="false" outlineLevel="0" collapsed="false">
      <c r="A87" s="5" t="s">
        <v>1170</v>
      </c>
      <c r="B87" s="26" t="n">
        <f aca="false">IF(ISNUMBER('Competition by Year'!B8),'Competition by Year'!B8,"")</f>
        <v>78</v>
      </c>
      <c r="C87" s="26" t="n">
        <f aca="false">IF(ISNUMBER('Competition by Year'!D8),'Competition by Year'!D8,"")</f>
        <v>84</v>
      </c>
    </row>
    <row r="88" customFormat="false" ht="15" hidden="false" customHeight="false" outlineLevel="0" collapsed="false">
      <c r="A88" s="5" t="s">
        <v>1137</v>
      </c>
      <c r="B88" s="26" t="n">
        <f aca="false">IF(ISNUMBER('Competition by Year'!B9),'Competition by Year'!B9,"")</f>
        <v>83</v>
      </c>
      <c r="C88" s="26" t="n">
        <f aca="false">IF(ISNUMBER('Competition by Year'!D9),'Competition by Year'!D9,"")</f>
        <v>86</v>
      </c>
    </row>
    <row r="89" customFormat="false" ht="15" hidden="false" customHeight="false" outlineLevel="0" collapsed="false">
      <c r="A89" s="5" t="s">
        <v>1138</v>
      </c>
      <c r="B89" s="26" t="n">
        <f aca="false">IF(ISNUMBER('Competition by Year'!B10),'Competition by Year'!B10,"")</f>
        <v>66</v>
      </c>
      <c r="C89" s="26" t="n">
        <f aca="false">IF(ISNUMBER('Competition by Year'!D10),'Competition by Year'!D10,"")</f>
        <v>63</v>
      </c>
    </row>
    <row r="90" customFormat="false" ht="15" hidden="false" customHeight="false" outlineLevel="0" collapsed="false">
      <c r="A90" s="5" t="s">
        <v>1139</v>
      </c>
      <c r="B90" s="26" t="n">
        <f aca="false">IF(ISNUMBER('Competition by Year'!B11),'Competition by Year'!B11,"")</f>
        <v>74</v>
      </c>
      <c r="C90" s="26" t="n">
        <f aca="false">IF(ISNUMBER('Competition by Year'!D11),'Competition by Year'!D11,"")</f>
        <v>75</v>
      </c>
    </row>
    <row r="91" customFormat="false" ht="15" hidden="false" customHeight="false" outlineLevel="0" collapsed="false">
      <c r="A91" s="5" t="s">
        <v>1140</v>
      </c>
      <c r="B91" s="26" t="n">
        <f aca="false">IF(ISNUMBER('Competition by Year'!B12),'Competition by Year'!B12,"")</f>
        <v>77</v>
      </c>
      <c r="C91" s="26" t="n">
        <f aca="false">IF(ISNUMBER('Competition by Year'!D12),'Competition by Year'!D12,"")</f>
        <v>80</v>
      </c>
    </row>
    <row r="92" customFormat="false" ht="15" hidden="false" customHeight="false" outlineLevel="0" collapsed="false">
      <c r="A92" s="5" t="s">
        <v>1141</v>
      </c>
      <c r="B92" s="26" t="n">
        <f aca="false">IF(ISNUMBER('Competition by Year'!B13),'Competition by Year'!B13,"")</f>
        <v>69</v>
      </c>
      <c r="C92" s="26" t="n">
        <f aca="false">IF(ISNUMBER('Competition by Year'!D13),'Competition by Year'!D13,"")</f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6" min="5" style="0" width="44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7" t="s">
        <v>1171</v>
      </c>
    </row>
    <row r="2" customFormat="false" ht="15" hidden="false" customHeight="false" outlineLevel="0" collapsed="false">
      <c r="A2" s="3" t="s">
        <v>1172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217</v>
      </c>
      <c r="B5" s="12" t="s">
        <v>452</v>
      </c>
      <c r="C5" s="12" t="s">
        <v>129</v>
      </c>
      <c r="D5" s="12" t="s">
        <v>1173</v>
      </c>
      <c r="E5" s="12" t="s">
        <v>486</v>
      </c>
      <c r="F5" s="12" t="s">
        <v>1174</v>
      </c>
      <c r="G5" s="12" t="s">
        <v>1175</v>
      </c>
      <c r="H5" s="12" t="s">
        <v>474</v>
      </c>
    </row>
    <row r="6" customFormat="false" ht="43.5" hidden="false" customHeight="true" outlineLevel="0" collapsed="false">
      <c r="A6" s="86" t="n">
        <v>7</v>
      </c>
      <c r="B6" s="86" t="s">
        <v>280</v>
      </c>
      <c r="C6" s="86" t="s">
        <v>1100</v>
      </c>
      <c r="D6" s="86" t="s">
        <v>1176</v>
      </c>
      <c r="E6" s="86" t="s">
        <v>1177</v>
      </c>
      <c r="F6" s="86"/>
      <c r="G6" s="11"/>
      <c r="H6" s="11" t="s">
        <v>1178</v>
      </c>
    </row>
    <row r="7" customFormat="false" ht="43.5" hidden="false" customHeight="true" outlineLevel="0" collapsed="false">
      <c r="A7" s="86" t="n">
        <v>7</v>
      </c>
      <c r="B7" s="86" t="s">
        <v>280</v>
      </c>
      <c r="C7" s="86" t="s">
        <v>1116</v>
      </c>
      <c r="D7" s="86" t="s">
        <v>1176</v>
      </c>
      <c r="E7" s="86" t="s">
        <v>1179</v>
      </c>
      <c r="F7" s="86"/>
      <c r="G7" s="11"/>
      <c r="H7" s="11" t="s">
        <v>1178</v>
      </c>
    </row>
    <row r="8" customFormat="false" ht="43.5" hidden="false" customHeight="true" outlineLevel="0" collapsed="false">
      <c r="A8" s="86" t="n">
        <v>7</v>
      </c>
      <c r="B8" s="86" t="s">
        <v>1180</v>
      </c>
      <c r="C8" s="86" t="s">
        <v>1116</v>
      </c>
      <c r="D8" s="86" t="s">
        <v>1181</v>
      </c>
      <c r="E8" s="86" t="s">
        <v>1182</v>
      </c>
      <c r="F8" s="86" t="s">
        <v>1183</v>
      </c>
      <c r="G8" s="11"/>
      <c r="H8" s="11" t="s">
        <v>1178</v>
      </c>
    </row>
    <row r="9" customFormat="false" ht="43.5" hidden="false" customHeight="true" outlineLevel="0" collapsed="false">
      <c r="A9" s="86" t="n">
        <v>7</v>
      </c>
      <c r="B9" s="86" t="s">
        <v>1184</v>
      </c>
      <c r="C9" s="86" t="s">
        <v>107</v>
      </c>
      <c r="D9" s="86" t="s">
        <v>1185</v>
      </c>
      <c r="E9" s="86" t="s">
        <v>1186</v>
      </c>
      <c r="F9" s="86" t="s">
        <v>1187</v>
      </c>
      <c r="G9" s="11"/>
      <c r="H9" s="11" t="s">
        <v>1178</v>
      </c>
    </row>
    <row r="10" customFormat="false" ht="43.5" hidden="false" customHeight="true" outlineLevel="0" collapsed="false">
      <c r="A10" s="86" t="n">
        <v>7</v>
      </c>
      <c r="B10" s="86" t="s">
        <v>1184</v>
      </c>
      <c r="C10" s="86" t="s">
        <v>111</v>
      </c>
      <c r="D10" s="86" t="s">
        <v>1188</v>
      </c>
      <c r="E10" s="86" t="s">
        <v>1189</v>
      </c>
      <c r="F10" s="86" t="s">
        <v>1190</v>
      </c>
      <c r="G10" s="11"/>
      <c r="H10" s="11" t="s">
        <v>1178</v>
      </c>
    </row>
    <row r="11" customFormat="false" ht="43.5" hidden="false" customHeight="true" outlineLevel="0" collapsed="false">
      <c r="A11" s="86" t="n">
        <v>7</v>
      </c>
      <c r="B11" s="86" t="s">
        <v>1184</v>
      </c>
      <c r="C11" s="86" t="s">
        <v>115</v>
      </c>
      <c r="D11" s="86" t="s">
        <v>1191</v>
      </c>
      <c r="E11" s="86" t="s">
        <v>1192</v>
      </c>
      <c r="F11" s="86" t="s">
        <v>1193</v>
      </c>
      <c r="G11" s="11"/>
      <c r="H11" s="11" t="s">
        <v>1178</v>
      </c>
    </row>
    <row r="12" customFormat="false" ht="43.5" hidden="false" customHeight="true" outlineLevel="0" collapsed="false">
      <c r="A12" s="86" t="n">
        <v>7</v>
      </c>
      <c r="B12" s="86" t="s">
        <v>1194</v>
      </c>
      <c r="C12" s="86"/>
      <c r="D12" s="86" t="s">
        <v>1195</v>
      </c>
      <c r="E12" s="86"/>
      <c r="F12" s="86"/>
      <c r="G12" s="11"/>
      <c r="H12" s="11" t="s">
        <v>1178</v>
      </c>
    </row>
    <row r="13" customFormat="false" ht="43.5" hidden="false" customHeight="true" outlineLevel="0" collapsed="false">
      <c r="A13" s="86" t="n">
        <v>7</v>
      </c>
      <c r="B13" s="86" t="s">
        <v>1194</v>
      </c>
      <c r="C13" s="86"/>
      <c r="D13" s="86" t="s">
        <v>1196</v>
      </c>
      <c r="E13" s="86"/>
      <c r="F13" s="86"/>
      <c r="G13" s="11"/>
      <c r="H13" s="11" t="s">
        <v>1178</v>
      </c>
    </row>
    <row r="14" customFormat="false" ht="19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9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9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</row>
    <row r="17" customFormat="false" ht="19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</row>
    <row r="18" customFormat="false" ht="19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</row>
    <row r="19" customFormat="false" ht="19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</row>
    <row r="20" customFormat="false" ht="19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</row>
    <row r="21" customFormat="false" ht="19.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</row>
    <row r="22" customFormat="false" ht="19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</row>
    <row r="23" customFormat="false" ht="19.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</row>
    <row r="24" customFormat="false" ht="19.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</row>
    <row r="25" customFormat="false" ht="19.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</row>
    <row r="26" customFormat="false" ht="19.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</row>
    <row r="27" customFormat="false" ht="19.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</row>
    <row r="28" customFormat="false" ht="19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</row>
    <row r="29" customFormat="false" ht="19.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</row>
    <row r="30" customFormat="false" ht="19.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</row>
    <row r="31" customFormat="false" ht="19.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</row>
    <row r="32" customFormat="false" ht="19.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</row>
    <row r="33" customFormat="false" ht="19.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</row>
    <row r="34" customFormat="false" ht="19.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</row>
    <row r="35" customFormat="false" ht="19.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</row>
    <row r="36" customFormat="false" ht="19.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</row>
    <row r="37" customFormat="false" ht="19.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</row>
    <row r="38" customFormat="false" ht="19.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</row>
    <row r="39" customFormat="false" ht="19.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</row>
    <row r="40" customFormat="false" ht="19.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</row>
    <row r="41" customFormat="false" ht="19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</row>
    <row r="42" customFormat="false" ht="19.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</row>
    <row r="43" customFormat="false" ht="19.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</row>
    <row r="44" customFormat="false" ht="19.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</row>
    <row r="45" customFormat="false" ht="19.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</row>
  </sheetData>
  <conditionalFormatting sqref="H6:H45">
    <cfRule type="expression" priority="2" aboveAverage="0" equalAverage="0" bottom="0" percent="0" rank="0" text="" dxfId="0">
      <formula>OR(H6="Acted on",H6="Closed")</formula>
    </cfRule>
    <cfRule type="expression" priority="3" aboveAverage="0" equalAverage="0" bottom="0" percent="0" rank="0" text="" dxfId="1">
      <formula>H6="Discussed"</formula>
    </cfRule>
    <cfRule type="expression" priority="4" aboveAverage="0" equalAverage="0" bottom="0" percent="0" rank="0" text="" dxfId="2">
      <formula>H6="Open"</formula>
    </cfRule>
  </conditionalFormatting>
  <dataValidations count="2">
    <dataValidation allowBlank="true" errorStyle="stop" operator="between" showDropDown="false" showErrorMessage="false" showInputMessage="false" sqref="B6:B45" type="list">
      <formula1>"Finding,Watch item,Question to consider,Management goal"</formula1>
      <formula2>0</formula2>
    </dataValidation>
    <dataValidation allowBlank="true" errorStyle="stop" operator="between" showDropDown="false" showErrorMessage="false" showInputMessage="false" sqref="H6:H45" type="list">
      <formula1>"Open,Discussed,Acted 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2026-10-07T23:47:36Z</dcterms:created>
  <dc:creator>openpyxl</dc:creator>
  <dc:description/>
  <dc:language>en-US</dc:language>
  <cp:lastModifiedBy/>
  <dcterms:modified xsi:type="dcterms:W3CDTF">2026-10-07T19:47:43Z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